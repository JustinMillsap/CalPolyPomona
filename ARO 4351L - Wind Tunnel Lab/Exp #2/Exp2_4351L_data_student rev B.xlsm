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84d89bc317757c6/Desktop/Cal Poly Pomona/CPP GIT/ARO 4351L - Wind Tunnel Lab/Exp ^N2/"/>
    </mc:Choice>
  </mc:AlternateContent>
  <xr:revisionPtr revIDLastSave="476" documentId="11_60D18C16690146F4583BE62848C67A35C5D6E8F5" xr6:coauthVersionLast="47" xr6:coauthVersionMax="47" xr10:uidLastSave="{BDC3C34E-C826-4952-AEEF-6752AEFCC620}"/>
  <bookViews>
    <workbookView xWindow="-120" yWindow="-120" windowWidth="29040" windowHeight="15720" activeTab="1" xr2:uid="{00000000-000D-0000-FFFF-FFFF00000000}"/>
  </bookViews>
  <sheets>
    <sheet name="Coord" sheetId="4" r:id="rId1"/>
    <sheet name="Calcs" sheetId="15" r:id="rId2"/>
    <sheet name="FMS Data" sheetId="1" r:id="rId3"/>
    <sheet name="25fps" sheetId="2" r:id="rId4"/>
    <sheet name="50fps" sheetId="3" r:id="rId5"/>
    <sheet name="75fps" sheetId="11" r:id="rId6"/>
    <sheet name="100fps" sheetId="5" r:id="rId7"/>
    <sheet name="120fps" sheetId="6" r:id="rId8"/>
    <sheet name="140fps" sheetId="7" r:id="rId9"/>
    <sheet name="160fps" sheetId="8" r:id="rId10"/>
    <sheet name="180fps" sheetId="12" r:id="rId11"/>
    <sheet name="200fps" sheetId="13" r:id="rId12"/>
    <sheet name="220fps" sheetId="14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4" i="15" l="1"/>
  <c r="R13" i="15"/>
  <c r="AL169" i="15"/>
  <c r="AM169" i="15"/>
  <c r="AN169" i="15"/>
  <c r="AO169" i="15"/>
  <c r="AP169" i="15"/>
  <c r="AQ169" i="15"/>
  <c r="AR169" i="15"/>
  <c r="AS169" i="15"/>
  <c r="AT169" i="15"/>
  <c r="AU169" i="15"/>
  <c r="AV169" i="15"/>
  <c r="AW169" i="15"/>
  <c r="AX169" i="15"/>
  <c r="AY169" i="15"/>
  <c r="AZ169" i="15"/>
  <c r="BA169" i="15"/>
  <c r="BB169" i="15"/>
  <c r="BC169" i="15"/>
  <c r="BD169" i="15"/>
  <c r="BE169" i="15"/>
  <c r="BF169" i="15"/>
  <c r="BG169" i="15"/>
  <c r="AL170" i="15"/>
  <c r="AM170" i="15"/>
  <c r="AN170" i="15"/>
  <c r="AO170" i="15"/>
  <c r="AP170" i="15"/>
  <c r="AQ170" i="15"/>
  <c r="AR170" i="15"/>
  <c r="AS170" i="15"/>
  <c r="AT170" i="15"/>
  <c r="AU170" i="15"/>
  <c r="AV170" i="15"/>
  <c r="AW170" i="15"/>
  <c r="AX170" i="15"/>
  <c r="AY170" i="15"/>
  <c r="AZ170" i="15"/>
  <c r="BA170" i="15"/>
  <c r="BB170" i="15"/>
  <c r="BC170" i="15"/>
  <c r="BD170" i="15"/>
  <c r="BE170" i="15"/>
  <c r="BF170" i="15"/>
  <c r="BG170" i="15"/>
  <c r="AL171" i="15"/>
  <c r="AM171" i="15"/>
  <c r="AN171" i="15"/>
  <c r="AO171" i="15"/>
  <c r="AP171" i="15"/>
  <c r="AQ171" i="15"/>
  <c r="AR171" i="15"/>
  <c r="AS171" i="15"/>
  <c r="AT171" i="15"/>
  <c r="AU171" i="15"/>
  <c r="AV171" i="15"/>
  <c r="AW171" i="15"/>
  <c r="AX171" i="15"/>
  <c r="AY171" i="15"/>
  <c r="AZ171" i="15"/>
  <c r="BA171" i="15"/>
  <c r="BB171" i="15"/>
  <c r="BC171" i="15"/>
  <c r="BD171" i="15"/>
  <c r="BE171" i="15"/>
  <c r="BF171" i="15"/>
  <c r="BG171" i="15"/>
  <c r="AL172" i="15"/>
  <c r="AM172" i="15"/>
  <c r="AN172" i="15"/>
  <c r="AO172" i="15"/>
  <c r="AP172" i="15"/>
  <c r="AQ172" i="15"/>
  <c r="AR172" i="15"/>
  <c r="AS172" i="15"/>
  <c r="AT172" i="15"/>
  <c r="AU172" i="15"/>
  <c r="AV172" i="15"/>
  <c r="AW172" i="15"/>
  <c r="AX172" i="15"/>
  <c r="AY172" i="15"/>
  <c r="AZ172" i="15"/>
  <c r="BA172" i="15"/>
  <c r="BB172" i="15"/>
  <c r="BC172" i="15"/>
  <c r="BD172" i="15"/>
  <c r="BE172" i="15"/>
  <c r="BF172" i="15"/>
  <c r="BG172" i="15"/>
  <c r="AL173" i="15"/>
  <c r="AM173" i="15"/>
  <c r="AN173" i="15"/>
  <c r="AO173" i="15"/>
  <c r="AP173" i="15"/>
  <c r="AQ173" i="15"/>
  <c r="AR173" i="15"/>
  <c r="AS173" i="15"/>
  <c r="AT173" i="15"/>
  <c r="AU173" i="15"/>
  <c r="AV173" i="15"/>
  <c r="AW173" i="15"/>
  <c r="AX173" i="15"/>
  <c r="AY173" i="15"/>
  <c r="AZ173" i="15"/>
  <c r="BA173" i="15"/>
  <c r="BB173" i="15"/>
  <c r="BC173" i="15"/>
  <c r="BD173" i="15"/>
  <c r="BE173" i="15"/>
  <c r="BF173" i="15"/>
  <c r="BG173" i="15"/>
  <c r="AL174" i="15"/>
  <c r="AM174" i="15"/>
  <c r="AN174" i="15"/>
  <c r="AO174" i="15"/>
  <c r="AP174" i="15"/>
  <c r="AQ174" i="15"/>
  <c r="AR174" i="15"/>
  <c r="AS174" i="15"/>
  <c r="AT174" i="15"/>
  <c r="AU174" i="15"/>
  <c r="AV174" i="15"/>
  <c r="AW174" i="15"/>
  <c r="AX174" i="15"/>
  <c r="AY174" i="15"/>
  <c r="AZ174" i="15"/>
  <c r="BA174" i="15"/>
  <c r="BB174" i="15"/>
  <c r="BC174" i="15"/>
  <c r="BD174" i="15"/>
  <c r="BE174" i="15"/>
  <c r="BF174" i="15"/>
  <c r="BG174" i="15"/>
  <c r="AL175" i="15"/>
  <c r="AM175" i="15"/>
  <c r="AN175" i="15"/>
  <c r="AO175" i="15"/>
  <c r="AP175" i="15"/>
  <c r="AQ175" i="15"/>
  <c r="AR175" i="15"/>
  <c r="AS175" i="15"/>
  <c r="AT175" i="15"/>
  <c r="AU175" i="15"/>
  <c r="AV175" i="15"/>
  <c r="AW175" i="15"/>
  <c r="AX175" i="15"/>
  <c r="AY175" i="15"/>
  <c r="AZ175" i="15"/>
  <c r="BA175" i="15"/>
  <c r="BB175" i="15"/>
  <c r="BC175" i="15"/>
  <c r="BD175" i="15"/>
  <c r="BE175" i="15"/>
  <c r="BF175" i="15"/>
  <c r="BG175" i="15"/>
  <c r="AL176" i="15"/>
  <c r="AM176" i="15"/>
  <c r="AN176" i="15"/>
  <c r="AO176" i="15"/>
  <c r="AP176" i="15"/>
  <c r="AQ176" i="15"/>
  <c r="AR176" i="15"/>
  <c r="AS176" i="15"/>
  <c r="AT176" i="15"/>
  <c r="AU176" i="15"/>
  <c r="AV176" i="15"/>
  <c r="AW176" i="15"/>
  <c r="AX176" i="15"/>
  <c r="AY176" i="15"/>
  <c r="AZ176" i="15"/>
  <c r="BA176" i="15"/>
  <c r="BB176" i="15"/>
  <c r="BC176" i="15"/>
  <c r="BD176" i="15"/>
  <c r="BE176" i="15"/>
  <c r="BF176" i="15"/>
  <c r="BG176" i="15"/>
  <c r="AL177" i="15"/>
  <c r="AM177" i="15"/>
  <c r="AN177" i="15"/>
  <c r="AO177" i="15"/>
  <c r="AP177" i="15"/>
  <c r="AQ177" i="15"/>
  <c r="AR177" i="15"/>
  <c r="AS177" i="15"/>
  <c r="AT177" i="15"/>
  <c r="AU177" i="15"/>
  <c r="AV177" i="15"/>
  <c r="AW177" i="15"/>
  <c r="AX177" i="15"/>
  <c r="AY177" i="15"/>
  <c r="AZ177" i="15"/>
  <c r="BA177" i="15"/>
  <c r="BB177" i="15"/>
  <c r="BC177" i="15"/>
  <c r="BD177" i="15"/>
  <c r="BE177" i="15"/>
  <c r="BF177" i="15"/>
  <c r="BG177" i="15"/>
  <c r="AL178" i="15"/>
  <c r="AM178" i="15"/>
  <c r="AN178" i="15"/>
  <c r="AO178" i="15"/>
  <c r="AP178" i="15"/>
  <c r="AQ178" i="15"/>
  <c r="AR178" i="15"/>
  <c r="AS178" i="15"/>
  <c r="AT178" i="15"/>
  <c r="AU178" i="15"/>
  <c r="AV178" i="15"/>
  <c r="AW178" i="15"/>
  <c r="AX178" i="15"/>
  <c r="AY178" i="15"/>
  <c r="AZ178" i="15"/>
  <c r="BA178" i="15"/>
  <c r="BB178" i="15"/>
  <c r="BC178" i="15"/>
  <c r="BD178" i="15"/>
  <c r="BE178" i="15"/>
  <c r="BF178" i="15"/>
  <c r="BG178" i="15"/>
  <c r="AL179" i="15"/>
  <c r="AM179" i="15"/>
  <c r="AN179" i="15"/>
  <c r="AO179" i="15"/>
  <c r="AP179" i="15"/>
  <c r="AQ179" i="15"/>
  <c r="AR179" i="15"/>
  <c r="AS179" i="15"/>
  <c r="AT179" i="15"/>
  <c r="AU179" i="15"/>
  <c r="AV179" i="15"/>
  <c r="AW179" i="15"/>
  <c r="AX179" i="15"/>
  <c r="AY179" i="15"/>
  <c r="AZ179" i="15"/>
  <c r="BA179" i="15"/>
  <c r="BB179" i="15"/>
  <c r="BC179" i="15"/>
  <c r="BD179" i="15"/>
  <c r="BE179" i="15"/>
  <c r="BF179" i="15"/>
  <c r="BG179" i="15"/>
  <c r="AL180" i="15"/>
  <c r="AM180" i="15"/>
  <c r="AN180" i="15"/>
  <c r="AO180" i="15"/>
  <c r="AP180" i="15"/>
  <c r="AQ180" i="15"/>
  <c r="AR180" i="15"/>
  <c r="AS180" i="15"/>
  <c r="AT180" i="15"/>
  <c r="AU180" i="15"/>
  <c r="AV180" i="15"/>
  <c r="AW180" i="15"/>
  <c r="AX180" i="15"/>
  <c r="AY180" i="15"/>
  <c r="AZ180" i="15"/>
  <c r="BA180" i="15"/>
  <c r="BB180" i="15"/>
  <c r="BC180" i="15"/>
  <c r="BD180" i="15"/>
  <c r="BE180" i="15"/>
  <c r="BF180" i="15"/>
  <c r="BG180" i="15"/>
  <c r="AL181" i="15"/>
  <c r="AM181" i="15"/>
  <c r="AN181" i="15"/>
  <c r="AO181" i="15"/>
  <c r="AP181" i="15"/>
  <c r="AQ181" i="15"/>
  <c r="AR181" i="15"/>
  <c r="AS181" i="15"/>
  <c r="AT181" i="15"/>
  <c r="AU181" i="15"/>
  <c r="AV181" i="15"/>
  <c r="AW181" i="15"/>
  <c r="AX181" i="15"/>
  <c r="AY181" i="15"/>
  <c r="AZ181" i="15"/>
  <c r="BA181" i="15"/>
  <c r="BB181" i="15"/>
  <c r="BC181" i="15"/>
  <c r="BD181" i="15"/>
  <c r="BE181" i="15"/>
  <c r="BF181" i="15"/>
  <c r="BG181" i="15"/>
  <c r="AL182" i="15"/>
  <c r="AM182" i="15"/>
  <c r="AN182" i="15"/>
  <c r="AO182" i="15"/>
  <c r="AP182" i="15"/>
  <c r="AQ182" i="15"/>
  <c r="AR182" i="15"/>
  <c r="AS182" i="15"/>
  <c r="AT182" i="15"/>
  <c r="AU182" i="15"/>
  <c r="AV182" i="15"/>
  <c r="AW182" i="15"/>
  <c r="AX182" i="15"/>
  <c r="AY182" i="15"/>
  <c r="AZ182" i="15"/>
  <c r="BA182" i="15"/>
  <c r="BB182" i="15"/>
  <c r="BC182" i="15"/>
  <c r="BD182" i="15"/>
  <c r="BE182" i="15"/>
  <c r="BF182" i="15"/>
  <c r="BG182" i="15"/>
  <c r="AL183" i="15"/>
  <c r="AM183" i="15"/>
  <c r="AN183" i="15"/>
  <c r="AO183" i="15"/>
  <c r="AP183" i="15"/>
  <c r="AQ183" i="15"/>
  <c r="AR183" i="15"/>
  <c r="AS183" i="15"/>
  <c r="AT183" i="15"/>
  <c r="AU183" i="15"/>
  <c r="AV183" i="15"/>
  <c r="AW183" i="15"/>
  <c r="AX183" i="15"/>
  <c r="AY183" i="15"/>
  <c r="AZ183" i="15"/>
  <c r="BA183" i="15"/>
  <c r="BB183" i="15"/>
  <c r="BC183" i="15"/>
  <c r="BD183" i="15"/>
  <c r="BE183" i="15"/>
  <c r="BF183" i="15"/>
  <c r="BG183" i="15"/>
  <c r="AL184" i="15"/>
  <c r="AM184" i="15"/>
  <c r="AN184" i="15"/>
  <c r="AO184" i="15"/>
  <c r="AP184" i="15"/>
  <c r="AQ184" i="15"/>
  <c r="AR184" i="15"/>
  <c r="AS184" i="15"/>
  <c r="AT184" i="15"/>
  <c r="AU184" i="15"/>
  <c r="AV184" i="15"/>
  <c r="AW184" i="15"/>
  <c r="AX184" i="15"/>
  <c r="AY184" i="15"/>
  <c r="AZ184" i="15"/>
  <c r="BA184" i="15"/>
  <c r="BB184" i="15"/>
  <c r="BC184" i="15"/>
  <c r="BD184" i="15"/>
  <c r="BE184" i="15"/>
  <c r="BF184" i="15"/>
  <c r="BG184" i="15"/>
  <c r="AL185" i="15"/>
  <c r="AM185" i="15"/>
  <c r="AN185" i="15"/>
  <c r="AO185" i="15"/>
  <c r="AP185" i="15"/>
  <c r="AQ185" i="15"/>
  <c r="AR185" i="15"/>
  <c r="AS185" i="15"/>
  <c r="AT185" i="15"/>
  <c r="AU185" i="15"/>
  <c r="AV185" i="15"/>
  <c r="AW185" i="15"/>
  <c r="AX185" i="15"/>
  <c r="AY185" i="15"/>
  <c r="AZ185" i="15"/>
  <c r="BA185" i="15"/>
  <c r="BB185" i="15"/>
  <c r="BC185" i="15"/>
  <c r="BD185" i="15"/>
  <c r="BE185" i="15"/>
  <c r="BF185" i="15"/>
  <c r="BG185" i="15"/>
  <c r="AL186" i="15"/>
  <c r="AM186" i="15"/>
  <c r="AN186" i="15"/>
  <c r="AO186" i="15"/>
  <c r="AP186" i="15"/>
  <c r="AQ186" i="15"/>
  <c r="AR186" i="15"/>
  <c r="AS186" i="15"/>
  <c r="AT186" i="15"/>
  <c r="AU186" i="15"/>
  <c r="AV186" i="15"/>
  <c r="AW186" i="15"/>
  <c r="AX186" i="15"/>
  <c r="AY186" i="15"/>
  <c r="AZ186" i="15"/>
  <c r="BA186" i="15"/>
  <c r="BB186" i="15"/>
  <c r="BC186" i="15"/>
  <c r="BD186" i="15"/>
  <c r="BE186" i="15"/>
  <c r="BF186" i="15"/>
  <c r="BG186" i="15"/>
  <c r="AL187" i="15"/>
  <c r="AM187" i="15"/>
  <c r="AN187" i="15"/>
  <c r="AO187" i="15"/>
  <c r="AP187" i="15"/>
  <c r="AQ187" i="15"/>
  <c r="AR187" i="15"/>
  <c r="AS187" i="15"/>
  <c r="AT187" i="15"/>
  <c r="AU187" i="15"/>
  <c r="AV187" i="15"/>
  <c r="AW187" i="15"/>
  <c r="AX187" i="15"/>
  <c r="AY187" i="15"/>
  <c r="AZ187" i="15"/>
  <c r="BA187" i="15"/>
  <c r="BB187" i="15"/>
  <c r="BC187" i="15"/>
  <c r="BD187" i="15"/>
  <c r="BE187" i="15"/>
  <c r="BF187" i="15"/>
  <c r="BG187" i="15"/>
  <c r="AL188" i="15"/>
  <c r="AM188" i="15"/>
  <c r="AN188" i="15"/>
  <c r="AO188" i="15"/>
  <c r="AP188" i="15"/>
  <c r="AQ188" i="15"/>
  <c r="AR188" i="15"/>
  <c r="AS188" i="15"/>
  <c r="AT188" i="15"/>
  <c r="AU188" i="15"/>
  <c r="AV188" i="15"/>
  <c r="AW188" i="15"/>
  <c r="AX188" i="15"/>
  <c r="AY188" i="15"/>
  <c r="AZ188" i="15"/>
  <c r="BA188" i="15"/>
  <c r="BB188" i="15"/>
  <c r="BC188" i="15"/>
  <c r="BD188" i="15"/>
  <c r="BE188" i="15"/>
  <c r="BF188" i="15"/>
  <c r="BG188" i="15"/>
  <c r="AL189" i="15"/>
  <c r="AM189" i="15"/>
  <c r="AN189" i="15"/>
  <c r="AO189" i="15"/>
  <c r="AP189" i="15"/>
  <c r="AQ189" i="15"/>
  <c r="AR189" i="15"/>
  <c r="AS189" i="15"/>
  <c r="AT189" i="15"/>
  <c r="AU189" i="15"/>
  <c r="AV189" i="15"/>
  <c r="AW189" i="15"/>
  <c r="AX189" i="15"/>
  <c r="AY189" i="15"/>
  <c r="AZ189" i="15"/>
  <c r="BA189" i="15"/>
  <c r="BB189" i="15"/>
  <c r="BC189" i="15"/>
  <c r="BD189" i="15"/>
  <c r="BE189" i="15"/>
  <c r="BF189" i="15"/>
  <c r="BG189" i="15"/>
  <c r="AL190" i="15"/>
  <c r="AM190" i="15"/>
  <c r="AN190" i="15"/>
  <c r="AO190" i="15"/>
  <c r="AP190" i="15"/>
  <c r="AQ190" i="15"/>
  <c r="AR190" i="15"/>
  <c r="AS190" i="15"/>
  <c r="AT190" i="15"/>
  <c r="AU190" i="15"/>
  <c r="AV190" i="15"/>
  <c r="AW190" i="15"/>
  <c r="AX190" i="15"/>
  <c r="AY190" i="15"/>
  <c r="AZ190" i="15"/>
  <c r="BA190" i="15"/>
  <c r="BB190" i="15"/>
  <c r="BC190" i="15"/>
  <c r="BD190" i="15"/>
  <c r="BE190" i="15"/>
  <c r="BF190" i="15"/>
  <c r="BG190" i="15"/>
  <c r="AL191" i="15"/>
  <c r="AM191" i="15"/>
  <c r="AN191" i="15"/>
  <c r="AO191" i="15"/>
  <c r="AP191" i="15"/>
  <c r="AQ191" i="15"/>
  <c r="AR191" i="15"/>
  <c r="AS191" i="15"/>
  <c r="AT191" i="15"/>
  <c r="AU191" i="15"/>
  <c r="AV191" i="15"/>
  <c r="AW191" i="15"/>
  <c r="AX191" i="15"/>
  <c r="AY191" i="15"/>
  <c r="AZ191" i="15"/>
  <c r="BA191" i="15"/>
  <c r="BB191" i="15"/>
  <c r="BC191" i="15"/>
  <c r="BD191" i="15"/>
  <c r="BE191" i="15"/>
  <c r="BF191" i="15"/>
  <c r="BG191" i="15"/>
  <c r="AL192" i="15"/>
  <c r="AM192" i="15"/>
  <c r="AN192" i="15"/>
  <c r="AO192" i="15"/>
  <c r="AP192" i="15"/>
  <c r="AQ192" i="15"/>
  <c r="AR192" i="15"/>
  <c r="AS192" i="15"/>
  <c r="AT192" i="15"/>
  <c r="AU192" i="15"/>
  <c r="AV192" i="15"/>
  <c r="AW192" i="15"/>
  <c r="AX192" i="15"/>
  <c r="AY192" i="15"/>
  <c r="AZ192" i="15"/>
  <c r="BA192" i="15"/>
  <c r="BB192" i="15"/>
  <c r="BC192" i="15"/>
  <c r="BD192" i="15"/>
  <c r="BE192" i="15"/>
  <c r="BF192" i="15"/>
  <c r="BG192" i="15"/>
  <c r="AL193" i="15"/>
  <c r="AM193" i="15"/>
  <c r="AN193" i="15"/>
  <c r="AO193" i="15"/>
  <c r="AP193" i="15"/>
  <c r="AQ193" i="15"/>
  <c r="AR193" i="15"/>
  <c r="AS193" i="15"/>
  <c r="AT193" i="15"/>
  <c r="AU193" i="15"/>
  <c r="AV193" i="15"/>
  <c r="AW193" i="15"/>
  <c r="AX193" i="15"/>
  <c r="AY193" i="15"/>
  <c r="AZ193" i="15"/>
  <c r="BA193" i="15"/>
  <c r="BB193" i="15"/>
  <c r="BC193" i="15"/>
  <c r="BD193" i="15"/>
  <c r="BE193" i="15"/>
  <c r="BF193" i="15"/>
  <c r="BG193" i="15"/>
  <c r="AL194" i="15"/>
  <c r="AM194" i="15"/>
  <c r="AN194" i="15"/>
  <c r="AO194" i="15"/>
  <c r="AP194" i="15"/>
  <c r="AQ194" i="15"/>
  <c r="AR194" i="15"/>
  <c r="AS194" i="15"/>
  <c r="AT194" i="15"/>
  <c r="AU194" i="15"/>
  <c r="AV194" i="15"/>
  <c r="AW194" i="15"/>
  <c r="AX194" i="15"/>
  <c r="AY194" i="15"/>
  <c r="AZ194" i="15"/>
  <c r="BA194" i="15"/>
  <c r="BB194" i="15"/>
  <c r="BC194" i="15"/>
  <c r="BD194" i="15"/>
  <c r="BE194" i="15"/>
  <c r="BF194" i="15"/>
  <c r="BG194" i="15"/>
  <c r="AL195" i="15"/>
  <c r="AM195" i="15"/>
  <c r="AN195" i="15"/>
  <c r="AO195" i="15"/>
  <c r="AP195" i="15"/>
  <c r="AQ195" i="15"/>
  <c r="AR195" i="15"/>
  <c r="AS195" i="15"/>
  <c r="AT195" i="15"/>
  <c r="AU195" i="15"/>
  <c r="AV195" i="15"/>
  <c r="AW195" i="15"/>
  <c r="AX195" i="15"/>
  <c r="AY195" i="15"/>
  <c r="AZ195" i="15"/>
  <c r="BA195" i="15"/>
  <c r="BB195" i="15"/>
  <c r="BC195" i="15"/>
  <c r="BD195" i="15"/>
  <c r="BE195" i="15"/>
  <c r="BF195" i="15"/>
  <c r="BG195" i="15"/>
  <c r="AL196" i="15"/>
  <c r="AM196" i="15"/>
  <c r="AN196" i="15"/>
  <c r="AO196" i="15"/>
  <c r="AP196" i="15"/>
  <c r="AQ196" i="15"/>
  <c r="AR196" i="15"/>
  <c r="AS196" i="15"/>
  <c r="AT196" i="15"/>
  <c r="AU196" i="15"/>
  <c r="AV196" i="15"/>
  <c r="AW196" i="15"/>
  <c r="AX196" i="15"/>
  <c r="AY196" i="15"/>
  <c r="AZ196" i="15"/>
  <c r="BA196" i="15"/>
  <c r="BB196" i="15"/>
  <c r="BC196" i="15"/>
  <c r="BD196" i="15"/>
  <c r="BE196" i="15"/>
  <c r="BF196" i="15"/>
  <c r="BG196" i="15"/>
  <c r="AL197" i="15"/>
  <c r="AM197" i="15"/>
  <c r="AN197" i="15"/>
  <c r="AO197" i="15"/>
  <c r="AP197" i="15"/>
  <c r="AQ197" i="15"/>
  <c r="AR197" i="15"/>
  <c r="AS197" i="15"/>
  <c r="AT197" i="15"/>
  <c r="AU197" i="15"/>
  <c r="AV197" i="15"/>
  <c r="AW197" i="15"/>
  <c r="AX197" i="15"/>
  <c r="AY197" i="15"/>
  <c r="AZ197" i="15"/>
  <c r="BA197" i="15"/>
  <c r="BB197" i="15"/>
  <c r="BC197" i="15"/>
  <c r="BD197" i="15"/>
  <c r="BE197" i="15"/>
  <c r="BF197" i="15"/>
  <c r="BG197" i="15"/>
  <c r="AL198" i="15"/>
  <c r="AM198" i="15"/>
  <c r="AN198" i="15"/>
  <c r="AO198" i="15"/>
  <c r="AP198" i="15"/>
  <c r="AQ198" i="15"/>
  <c r="AR198" i="15"/>
  <c r="AS198" i="15"/>
  <c r="AT198" i="15"/>
  <c r="AU198" i="15"/>
  <c r="AV198" i="15"/>
  <c r="AW198" i="15"/>
  <c r="AX198" i="15"/>
  <c r="AY198" i="15"/>
  <c r="AZ198" i="15"/>
  <c r="BA198" i="15"/>
  <c r="BB198" i="15"/>
  <c r="BC198" i="15"/>
  <c r="BD198" i="15"/>
  <c r="BE198" i="15"/>
  <c r="BF198" i="15"/>
  <c r="BG198" i="15"/>
  <c r="AL199" i="15"/>
  <c r="AM199" i="15"/>
  <c r="AN199" i="15"/>
  <c r="AO199" i="15"/>
  <c r="AP199" i="15"/>
  <c r="AQ199" i="15"/>
  <c r="AR199" i="15"/>
  <c r="AS199" i="15"/>
  <c r="AT199" i="15"/>
  <c r="AU199" i="15"/>
  <c r="AV199" i="15"/>
  <c r="AW199" i="15"/>
  <c r="AX199" i="15"/>
  <c r="AY199" i="15"/>
  <c r="AZ199" i="15"/>
  <c r="BA199" i="15"/>
  <c r="BB199" i="15"/>
  <c r="BC199" i="15"/>
  <c r="BD199" i="15"/>
  <c r="BE199" i="15"/>
  <c r="BF199" i="15"/>
  <c r="BG199" i="15"/>
  <c r="AL200" i="15"/>
  <c r="AM200" i="15"/>
  <c r="AN200" i="15"/>
  <c r="AO200" i="15"/>
  <c r="AP200" i="15"/>
  <c r="AQ200" i="15"/>
  <c r="AR200" i="15"/>
  <c r="AS200" i="15"/>
  <c r="AT200" i="15"/>
  <c r="AU200" i="15"/>
  <c r="AV200" i="15"/>
  <c r="AW200" i="15"/>
  <c r="AX200" i="15"/>
  <c r="AY200" i="15"/>
  <c r="AZ200" i="15"/>
  <c r="BA200" i="15"/>
  <c r="BB200" i="15"/>
  <c r="BC200" i="15"/>
  <c r="BD200" i="15"/>
  <c r="BE200" i="15"/>
  <c r="BF200" i="15"/>
  <c r="BG200" i="15"/>
  <c r="AK185" i="15"/>
  <c r="AK170" i="15"/>
  <c r="AK171" i="15"/>
  <c r="AK172" i="15"/>
  <c r="AK173" i="15"/>
  <c r="AK174" i="15"/>
  <c r="AK175" i="15"/>
  <c r="AK176" i="15"/>
  <c r="AK177" i="15"/>
  <c r="AK178" i="15"/>
  <c r="AK179" i="15"/>
  <c r="AK180" i="15"/>
  <c r="AK181" i="15"/>
  <c r="AK182" i="15"/>
  <c r="AK183" i="15"/>
  <c r="AK184" i="15"/>
  <c r="AK186" i="15"/>
  <c r="AK187" i="15"/>
  <c r="AK188" i="15"/>
  <c r="AK189" i="15"/>
  <c r="AK190" i="15"/>
  <c r="AK191" i="15"/>
  <c r="AK192" i="15"/>
  <c r="AK193" i="15"/>
  <c r="AK194" i="15"/>
  <c r="AK195" i="15"/>
  <c r="AK196" i="15"/>
  <c r="AK197" i="15"/>
  <c r="AK198" i="15"/>
  <c r="AK199" i="15"/>
  <c r="AK200" i="15"/>
  <c r="AK169" i="15"/>
  <c r="AI169" i="15"/>
  <c r="J31" i="15"/>
  <c r="N28" i="15"/>
  <c r="K28" i="15"/>
  <c r="Q28" i="15" s="1"/>
  <c r="N27" i="15"/>
  <c r="K27" i="15"/>
  <c r="Q27" i="15" s="1"/>
  <c r="N26" i="15"/>
  <c r="K26" i="15"/>
  <c r="Q26" i="15" s="1"/>
  <c r="N25" i="15"/>
  <c r="K25" i="15"/>
  <c r="Q25" i="15" s="1"/>
  <c r="N24" i="15"/>
  <c r="K24" i="15"/>
  <c r="Q24" i="15" s="1"/>
  <c r="N23" i="15"/>
  <c r="K23" i="15"/>
  <c r="Q23" i="15" s="1"/>
  <c r="T22" i="15"/>
  <c r="Q22" i="15"/>
  <c r="R22" i="15" s="1"/>
  <c r="N22" i="15"/>
  <c r="K22" i="15"/>
  <c r="N21" i="15"/>
  <c r="K21" i="15"/>
  <c r="Q21" i="15" s="1"/>
  <c r="N20" i="15"/>
  <c r="K20" i="15"/>
  <c r="Q20" i="15" s="1"/>
  <c r="N19" i="15"/>
  <c r="K19" i="15"/>
  <c r="Q19" i="15" s="1"/>
  <c r="Q18" i="15"/>
  <c r="T18" i="15" s="1"/>
  <c r="N18" i="15"/>
  <c r="K18" i="15"/>
  <c r="N17" i="15"/>
  <c r="K17" i="15"/>
  <c r="Q17" i="15" s="1"/>
  <c r="Q16" i="15"/>
  <c r="R16" i="15" s="1"/>
  <c r="N16" i="15"/>
  <c r="K16" i="15"/>
  <c r="N15" i="15"/>
  <c r="Q15" i="15" s="1"/>
  <c r="K15" i="15"/>
  <c r="N14" i="15"/>
  <c r="K14" i="15"/>
  <c r="Q14" i="15" s="1"/>
  <c r="N13" i="15"/>
  <c r="Q13" i="15" s="1"/>
  <c r="K13" i="15"/>
  <c r="N12" i="15"/>
  <c r="K12" i="15"/>
  <c r="Q12" i="15" s="1"/>
  <c r="N11" i="15"/>
  <c r="K11" i="15"/>
  <c r="Q11" i="15" s="1"/>
  <c r="N10" i="15"/>
  <c r="K10" i="15"/>
  <c r="Q10" i="15" s="1"/>
  <c r="N9" i="15"/>
  <c r="K9" i="15"/>
  <c r="Q9" i="15" s="1"/>
  <c r="N8" i="15"/>
  <c r="K8" i="15"/>
  <c r="Q8" i="15" s="1"/>
  <c r="N7" i="15"/>
  <c r="K7" i="15"/>
  <c r="Q7" i="15" s="1"/>
  <c r="T6" i="15"/>
  <c r="Q6" i="15"/>
  <c r="R6" i="15" s="1"/>
  <c r="N6" i="15"/>
  <c r="K6" i="15"/>
  <c r="N5" i="15"/>
  <c r="K5" i="15"/>
  <c r="Q5" i="15" s="1"/>
  <c r="N4" i="15"/>
  <c r="K4" i="15"/>
  <c r="Q4" i="15" s="1"/>
  <c r="AM109" i="14"/>
  <c r="AL109" i="14"/>
  <c r="AK109" i="14"/>
  <c r="AJ109" i="14"/>
  <c r="AI109" i="14"/>
  <c r="AH109" i="14"/>
  <c r="AG109" i="14"/>
  <c r="AF109" i="14"/>
  <c r="AE109" i="14"/>
  <c r="AD109" i="14"/>
  <c r="AC109" i="14"/>
  <c r="AB109" i="14"/>
  <c r="AA109" i="14"/>
  <c r="Z109" i="14"/>
  <c r="Y109" i="14"/>
  <c r="X109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K109" i="14"/>
  <c r="J109" i="14"/>
  <c r="I109" i="14"/>
  <c r="H109" i="14"/>
  <c r="AM108" i="14"/>
  <c r="AL108" i="14"/>
  <c r="AK108" i="14"/>
  <c r="AJ108" i="14"/>
  <c r="AI108" i="14"/>
  <c r="AH108" i="14"/>
  <c r="AG108" i="14"/>
  <c r="AF108" i="14"/>
  <c r="AE108" i="14"/>
  <c r="AD108" i="14"/>
  <c r="AC108" i="14"/>
  <c r="AB108" i="14"/>
  <c r="AA108" i="14"/>
  <c r="Z108" i="14"/>
  <c r="Y108" i="14"/>
  <c r="X108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K108" i="14"/>
  <c r="J108" i="14"/>
  <c r="I108" i="14"/>
  <c r="H108" i="14"/>
  <c r="AM107" i="14"/>
  <c r="AL107" i="14"/>
  <c r="AK107" i="14"/>
  <c r="AJ107" i="14"/>
  <c r="AI107" i="14"/>
  <c r="AH107" i="14"/>
  <c r="AG107" i="14"/>
  <c r="AF107" i="14"/>
  <c r="AE107" i="14"/>
  <c r="AD107" i="14"/>
  <c r="AC107" i="14"/>
  <c r="AB107" i="14"/>
  <c r="AA107" i="14"/>
  <c r="Z107" i="14"/>
  <c r="Y107" i="14"/>
  <c r="X107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K107" i="14"/>
  <c r="J107" i="14"/>
  <c r="I107" i="14"/>
  <c r="H107" i="14"/>
  <c r="AM106" i="14"/>
  <c r="AL106" i="14"/>
  <c r="AK106" i="14"/>
  <c r="AJ106" i="14"/>
  <c r="AI106" i="14"/>
  <c r="AH106" i="14"/>
  <c r="AG106" i="14"/>
  <c r="AF106" i="14"/>
  <c r="AE106" i="14"/>
  <c r="AD106" i="14"/>
  <c r="AC106" i="14"/>
  <c r="AB106" i="14"/>
  <c r="AA106" i="14"/>
  <c r="Z106" i="14"/>
  <c r="Y106" i="14"/>
  <c r="X106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K106" i="14"/>
  <c r="J106" i="14"/>
  <c r="I106" i="14"/>
  <c r="H106" i="14"/>
  <c r="AM105" i="14"/>
  <c r="AL105" i="14"/>
  <c r="AK105" i="14"/>
  <c r="AJ105" i="14"/>
  <c r="AI105" i="14"/>
  <c r="AH105" i="14"/>
  <c r="AG105" i="14"/>
  <c r="AF105" i="14"/>
  <c r="AE105" i="14"/>
  <c r="AD105" i="14"/>
  <c r="AC105" i="14"/>
  <c r="AB105" i="14"/>
  <c r="AA105" i="14"/>
  <c r="Z105" i="14"/>
  <c r="Y105" i="14"/>
  <c r="X105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K105" i="14"/>
  <c r="J105" i="14"/>
  <c r="I105" i="14"/>
  <c r="H105" i="14"/>
  <c r="AM104" i="14"/>
  <c r="AL104" i="14"/>
  <c r="AK104" i="14"/>
  <c r="AJ104" i="14"/>
  <c r="AI104" i="14"/>
  <c r="AH104" i="14"/>
  <c r="AG104" i="14"/>
  <c r="AF104" i="14"/>
  <c r="AE104" i="14"/>
  <c r="AD104" i="14"/>
  <c r="AC104" i="14"/>
  <c r="AB104" i="14"/>
  <c r="AA104" i="14"/>
  <c r="Z104" i="14"/>
  <c r="Y104" i="14"/>
  <c r="X104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J104" i="14"/>
  <c r="I104" i="14"/>
  <c r="H104" i="14"/>
  <c r="AM103" i="14"/>
  <c r="AL103" i="14"/>
  <c r="AK103" i="14"/>
  <c r="AJ103" i="14"/>
  <c r="AI103" i="14"/>
  <c r="AH103" i="14"/>
  <c r="AG103" i="14"/>
  <c r="AF103" i="14"/>
  <c r="AE103" i="14"/>
  <c r="AD103" i="14"/>
  <c r="AC103" i="14"/>
  <c r="AB103" i="14"/>
  <c r="AA103" i="14"/>
  <c r="Z103" i="14"/>
  <c r="Y103" i="14"/>
  <c r="X103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K103" i="14"/>
  <c r="J103" i="14"/>
  <c r="I103" i="14"/>
  <c r="H103" i="14"/>
  <c r="AM102" i="14"/>
  <c r="AL102" i="14"/>
  <c r="AK102" i="14"/>
  <c r="AJ102" i="14"/>
  <c r="AI102" i="14"/>
  <c r="AH102" i="14"/>
  <c r="AG102" i="14"/>
  <c r="AF102" i="14"/>
  <c r="AE102" i="14"/>
  <c r="AD102" i="14"/>
  <c r="AC102" i="14"/>
  <c r="AB102" i="14"/>
  <c r="AA102" i="14"/>
  <c r="Z102" i="14"/>
  <c r="Y102" i="14"/>
  <c r="X102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K102" i="14"/>
  <c r="J102" i="14"/>
  <c r="I102" i="14"/>
  <c r="H102" i="14"/>
  <c r="AM101" i="14"/>
  <c r="AL101" i="14"/>
  <c r="AK101" i="14"/>
  <c r="AJ101" i="14"/>
  <c r="AI101" i="14"/>
  <c r="AH101" i="14"/>
  <c r="AG101" i="14"/>
  <c r="AF101" i="14"/>
  <c r="AE101" i="14"/>
  <c r="AD101" i="14"/>
  <c r="AC101" i="14"/>
  <c r="AB101" i="14"/>
  <c r="AA101" i="14"/>
  <c r="Z101" i="14"/>
  <c r="Y101" i="14"/>
  <c r="X101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K101" i="14"/>
  <c r="J101" i="14"/>
  <c r="I101" i="14"/>
  <c r="H101" i="14"/>
  <c r="AM100" i="14"/>
  <c r="AL100" i="14"/>
  <c r="AK100" i="14"/>
  <c r="AJ100" i="14"/>
  <c r="AI100" i="14"/>
  <c r="AH100" i="14"/>
  <c r="AG100" i="14"/>
  <c r="AF100" i="14"/>
  <c r="AE100" i="14"/>
  <c r="AD100" i="14"/>
  <c r="AC100" i="14"/>
  <c r="AB100" i="14"/>
  <c r="AA100" i="14"/>
  <c r="Z100" i="14"/>
  <c r="Y100" i="14"/>
  <c r="X100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K100" i="14"/>
  <c r="J100" i="14"/>
  <c r="I100" i="14"/>
  <c r="H100" i="14"/>
  <c r="AM99" i="14"/>
  <c r="AL99" i="14"/>
  <c r="AK99" i="14"/>
  <c r="AJ99" i="14"/>
  <c r="AI99" i="14"/>
  <c r="AH99" i="14"/>
  <c r="AG99" i="14"/>
  <c r="AF99" i="14"/>
  <c r="AE99" i="14"/>
  <c r="AD99" i="14"/>
  <c r="AC99" i="14"/>
  <c r="AB99" i="14"/>
  <c r="AA99" i="14"/>
  <c r="Z99" i="14"/>
  <c r="Y99" i="14"/>
  <c r="X99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K99" i="14"/>
  <c r="J99" i="14"/>
  <c r="I99" i="14"/>
  <c r="H99" i="14"/>
  <c r="AM98" i="14"/>
  <c r="AL98" i="14"/>
  <c r="AK98" i="14"/>
  <c r="AJ98" i="14"/>
  <c r="AI98" i="14"/>
  <c r="AH98" i="14"/>
  <c r="AG98" i="14"/>
  <c r="AF98" i="14"/>
  <c r="AE98" i="14"/>
  <c r="AD98" i="14"/>
  <c r="AC98" i="14"/>
  <c r="AB98" i="14"/>
  <c r="AA98" i="14"/>
  <c r="Z98" i="14"/>
  <c r="Y98" i="14"/>
  <c r="X98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K98" i="14"/>
  <c r="J98" i="14"/>
  <c r="I98" i="14"/>
  <c r="H98" i="14"/>
  <c r="AM97" i="14"/>
  <c r="AL97" i="14"/>
  <c r="AK97" i="14"/>
  <c r="AJ97" i="14"/>
  <c r="AI97" i="14"/>
  <c r="AH97" i="14"/>
  <c r="AG97" i="14"/>
  <c r="AF97" i="14"/>
  <c r="AE97" i="14"/>
  <c r="AD97" i="14"/>
  <c r="AC97" i="14"/>
  <c r="AB97" i="14"/>
  <c r="AA97" i="14"/>
  <c r="Z97" i="14"/>
  <c r="Y97" i="14"/>
  <c r="X97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K97" i="14"/>
  <c r="J97" i="14"/>
  <c r="I97" i="14"/>
  <c r="H97" i="14"/>
  <c r="AM96" i="14"/>
  <c r="AL96" i="14"/>
  <c r="AK96" i="14"/>
  <c r="AJ96" i="14"/>
  <c r="AI96" i="14"/>
  <c r="AH96" i="14"/>
  <c r="AG96" i="14"/>
  <c r="AF96" i="14"/>
  <c r="AE96" i="14"/>
  <c r="AD96" i="14"/>
  <c r="AC96" i="14"/>
  <c r="AB96" i="14"/>
  <c r="AA96" i="14"/>
  <c r="Z96" i="14"/>
  <c r="Y96" i="14"/>
  <c r="X96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K96" i="14"/>
  <c r="J96" i="14"/>
  <c r="I96" i="14"/>
  <c r="H96" i="14"/>
  <c r="AM95" i="14"/>
  <c r="AL95" i="14"/>
  <c r="AK95" i="14"/>
  <c r="AJ95" i="14"/>
  <c r="AI95" i="14"/>
  <c r="AH95" i="14"/>
  <c r="AG95" i="14"/>
  <c r="AF95" i="14"/>
  <c r="AE95" i="14"/>
  <c r="AD95" i="14"/>
  <c r="AC95" i="14"/>
  <c r="AB95" i="14"/>
  <c r="AA95" i="14"/>
  <c r="Z95" i="14"/>
  <c r="Y95" i="14"/>
  <c r="X95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K95" i="14"/>
  <c r="J95" i="14"/>
  <c r="I95" i="14"/>
  <c r="H95" i="14"/>
  <c r="AM94" i="14"/>
  <c r="AL94" i="14"/>
  <c r="AK94" i="14"/>
  <c r="AJ94" i="14"/>
  <c r="AI94" i="14"/>
  <c r="AH94" i="14"/>
  <c r="AG94" i="14"/>
  <c r="AF94" i="14"/>
  <c r="AE94" i="14"/>
  <c r="AD94" i="14"/>
  <c r="AC94" i="14"/>
  <c r="AB94" i="14"/>
  <c r="AA94" i="14"/>
  <c r="Z94" i="14"/>
  <c r="Y94" i="14"/>
  <c r="X94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K94" i="14"/>
  <c r="J94" i="14"/>
  <c r="I94" i="14"/>
  <c r="H94" i="14"/>
  <c r="AM93" i="14"/>
  <c r="AL93" i="14"/>
  <c r="AK93" i="14"/>
  <c r="AJ93" i="14"/>
  <c r="AI93" i="14"/>
  <c r="AH93" i="14"/>
  <c r="AG93" i="14"/>
  <c r="AF93" i="14"/>
  <c r="AE93" i="14"/>
  <c r="AD93" i="14"/>
  <c r="AC93" i="14"/>
  <c r="AB93" i="14"/>
  <c r="AA93" i="14"/>
  <c r="Z93" i="14"/>
  <c r="Y93" i="14"/>
  <c r="X93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K93" i="14"/>
  <c r="J93" i="14"/>
  <c r="I93" i="14"/>
  <c r="H93" i="14"/>
  <c r="AM92" i="14"/>
  <c r="AL92" i="14"/>
  <c r="AK92" i="14"/>
  <c r="AJ92" i="14"/>
  <c r="AI92" i="14"/>
  <c r="AH92" i="14"/>
  <c r="AG92" i="14"/>
  <c r="AF92" i="14"/>
  <c r="AE92" i="14"/>
  <c r="AD92" i="14"/>
  <c r="AC92" i="14"/>
  <c r="AB92" i="14"/>
  <c r="AA92" i="14"/>
  <c r="Z92" i="14"/>
  <c r="Y92" i="14"/>
  <c r="X92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K92" i="14"/>
  <c r="J92" i="14"/>
  <c r="I92" i="14"/>
  <c r="H92" i="14"/>
  <c r="AM91" i="14"/>
  <c r="AL91" i="14"/>
  <c r="AK91" i="14"/>
  <c r="AJ91" i="14"/>
  <c r="AI91" i="14"/>
  <c r="AH91" i="14"/>
  <c r="AG91" i="14"/>
  <c r="AF91" i="14"/>
  <c r="AE91" i="14"/>
  <c r="AD91" i="14"/>
  <c r="AC91" i="14"/>
  <c r="AB91" i="14"/>
  <c r="AA91" i="14"/>
  <c r="Z91" i="14"/>
  <c r="Y91" i="14"/>
  <c r="X91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K91" i="14"/>
  <c r="J91" i="14"/>
  <c r="I91" i="14"/>
  <c r="H91" i="14"/>
  <c r="AM90" i="14"/>
  <c r="AL90" i="14"/>
  <c r="AK90" i="14"/>
  <c r="AJ90" i="14"/>
  <c r="AI90" i="14"/>
  <c r="AH90" i="14"/>
  <c r="AG90" i="14"/>
  <c r="AF90" i="14"/>
  <c r="AE90" i="14"/>
  <c r="AD90" i="14"/>
  <c r="AC90" i="14"/>
  <c r="AB90" i="14"/>
  <c r="AA90" i="14"/>
  <c r="Z90" i="14"/>
  <c r="Y90" i="14"/>
  <c r="X90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K90" i="14"/>
  <c r="J90" i="14"/>
  <c r="I90" i="14"/>
  <c r="H90" i="14"/>
  <c r="AM89" i="14"/>
  <c r="AL89" i="14"/>
  <c r="AK89" i="14"/>
  <c r="AJ89" i="14"/>
  <c r="AI89" i="14"/>
  <c r="AH89" i="14"/>
  <c r="AG89" i="14"/>
  <c r="AF89" i="14"/>
  <c r="AE89" i="14"/>
  <c r="AD89" i="14"/>
  <c r="AC89" i="14"/>
  <c r="AB89" i="14"/>
  <c r="AA89" i="14"/>
  <c r="Z89" i="14"/>
  <c r="Y89" i="14"/>
  <c r="X89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K89" i="14"/>
  <c r="J89" i="14"/>
  <c r="I89" i="14"/>
  <c r="H89" i="14"/>
  <c r="AM88" i="14"/>
  <c r="AL88" i="14"/>
  <c r="AK88" i="14"/>
  <c r="AJ88" i="14"/>
  <c r="AI88" i="14"/>
  <c r="AH88" i="14"/>
  <c r="AG88" i="14"/>
  <c r="AF88" i="14"/>
  <c r="AE88" i="14"/>
  <c r="AD88" i="14"/>
  <c r="AC88" i="14"/>
  <c r="AB88" i="14"/>
  <c r="AA88" i="14"/>
  <c r="Z88" i="14"/>
  <c r="Y88" i="14"/>
  <c r="X88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K88" i="14"/>
  <c r="J88" i="14"/>
  <c r="I88" i="14"/>
  <c r="H88" i="14"/>
  <c r="AM87" i="14"/>
  <c r="AL87" i="14"/>
  <c r="AK87" i="14"/>
  <c r="AJ87" i="14"/>
  <c r="AI87" i="14"/>
  <c r="AH87" i="14"/>
  <c r="AG87" i="14"/>
  <c r="AF87" i="14"/>
  <c r="AE87" i="14"/>
  <c r="AD87" i="14"/>
  <c r="AC87" i="14"/>
  <c r="AB87" i="14"/>
  <c r="AA87" i="14"/>
  <c r="Z87" i="14"/>
  <c r="Y87" i="14"/>
  <c r="X87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K87" i="14"/>
  <c r="J87" i="14"/>
  <c r="I87" i="14"/>
  <c r="H87" i="14"/>
  <c r="AM86" i="14"/>
  <c r="AL86" i="14"/>
  <c r="AK86" i="14"/>
  <c r="AJ86" i="14"/>
  <c r="AI86" i="14"/>
  <c r="AH86" i="14"/>
  <c r="AG86" i="14"/>
  <c r="AF86" i="14"/>
  <c r="AE86" i="14"/>
  <c r="AD86" i="14"/>
  <c r="AC86" i="14"/>
  <c r="AB86" i="14"/>
  <c r="AA86" i="14"/>
  <c r="Z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AM109" i="13"/>
  <c r="AL109" i="13"/>
  <c r="AK109" i="13"/>
  <c r="AJ109" i="13"/>
  <c r="AI109" i="13"/>
  <c r="AH109" i="13"/>
  <c r="AG109" i="13"/>
  <c r="AF109" i="13"/>
  <c r="AE109" i="13"/>
  <c r="AD109" i="13"/>
  <c r="AC109" i="13"/>
  <c r="AB109" i="13"/>
  <c r="AA109" i="13"/>
  <c r="Z109" i="13"/>
  <c r="Y109" i="13"/>
  <c r="X109" i="13"/>
  <c r="W109" i="13"/>
  <c r="V109" i="13"/>
  <c r="U109" i="13"/>
  <c r="T109" i="13"/>
  <c r="S109" i="13"/>
  <c r="R109" i="13"/>
  <c r="Q109" i="13"/>
  <c r="P109" i="13"/>
  <c r="O109" i="13"/>
  <c r="N109" i="13"/>
  <c r="M109" i="13"/>
  <c r="L109" i="13"/>
  <c r="K109" i="13"/>
  <c r="J109" i="13"/>
  <c r="I109" i="13"/>
  <c r="H109" i="13"/>
  <c r="AM108" i="13"/>
  <c r="AL108" i="13"/>
  <c r="AK108" i="13"/>
  <c r="AJ108" i="13"/>
  <c r="AI108" i="13"/>
  <c r="AH108" i="13"/>
  <c r="AG108" i="13"/>
  <c r="AF108" i="13"/>
  <c r="AE108" i="13"/>
  <c r="AD108" i="13"/>
  <c r="AC108" i="13"/>
  <c r="AB108" i="13"/>
  <c r="AA108" i="13"/>
  <c r="Z108" i="13"/>
  <c r="Y108" i="13"/>
  <c r="X108" i="13"/>
  <c r="W108" i="13"/>
  <c r="V108" i="13"/>
  <c r="U108" i="13"/>
  <c r="T108" i="13"/>
  <c r="S108" i="13"/>
  <c r="R108" i="13"/>
  <c r="Q108" i="13"/>
  <c r="P108" i="13"/>
  <c r="O108" i="13"/>
  <c r="N108" i="13"/>
  <c r="M108" i="13"/>
  <c r="L108" i="13"/>
  <c r="K108" i="13"/>
  <c r="J108" i="13"/>
  <c r="I108" i="13"/>
  <c r="H108" i="13"/>
  <c r="AM107" i="13"/>
  <c r="AL107" i="13"/>
  <c r="AK107" i="13"/>
  <c r="AJ107" i="13"/>
  <c r="AI107" i="13"/>
  <c r="AH107" i="13"/>
  <c r="AG107" i="13"/>
  <c r="AF107" i="13"/>
  <c r="AE107" i="13"/>
  <c r="AD107" i="13"/>
  <c r="AC107" i="13"/>
  <c r="AB107" i="13"/>
  <c r="AA107" i="13"/>
  <c r="Z107" i="13"/>
  <c r="Y107" i="13"/>
  <c r="X107" i="13"/>
  <c r="W107" i="13"/>
  <c r="V107" i="13"/>
  <c r="U107" i="13"/>
  <c r="T107" i="13"/>
  <c r="S107" i="13"/>
  <c r="R107" i="13"/>
  <c r="Q107" i="13"/>
  <c r="P107" i="13"/>
  <c r="O107" i="13"/>
  <c r="N107" i="13"/>
  <c r="M107" i="13"/>
  <c r="L107" i="13"/>
  <c r="K107" i="13"/>
  <c r="J107" i="13"/>
  <c r="I107" i="13"/>
  <c r="H107" i="13"/>
  <c r="AM106" i="13"/>
  <c r="AL106" i="13"/>
  <c r="AK106" i="13"/>
  <c r="AJ106" i="13"/>
  <c r="AI106" i="13"/>
  <c r="AH106" i="13"/>
  <c r="AG106" i="13"/>
  <c r="AF106" i="13"/>
  <c r="AE106" i="13"/>
  <c r="AD106" i="13"/>
  <c r="AC106" i="13"/>
  <c r="AB106" i="13"/>
  <c r="AA106" i="13"/>
  <c r="Z106" i="13"/>
  <c r="Y106" i="13"/>
  <c r="X106" i="13"/>
  <c r="W106" i="13"/>
  <c r="V106" i="13"/>
  <c r="U106" i="13"/>
  <c r="T106" i="13"/>
  <c r="S106" i="13"/>
  <c r="R106" i="13"/>
  <c r="Q106" i="13"/>
  <c r="P106" i="13"/>
  <c r="O106" i="13"/>
  <c r="N106" i="13"/>
  <c r="M106" i="13"/>
  <c r="L106" i="13"/>
  <c r="K106" i="13"/>
  <c r="J106" i="13"/>
  <c r="I106" i="13"/>
  <c r="H106" i="13"/>
  <c r="AM105" i="13"/>
  <c r="AL105" i="13"/>
  <c r="AK105" i="13"/>
  <c r="AJ105" i="13"/>
  <c r="AI105" i="13"/>
  <c r="AH105" i="13"/>
  <c r="AG105" i="13"/>
  <c r="AF105" i="13"/>
  <c r="AE105" i="13"/>
  <c r="AD105" i="13"/>
  <c r="AC105" i="13"/>
  <c r="AB105" i="13"/>
  <c r="AA105" i="13"/>
  <c r="Z105" i="13"/>
  <c r="Y105" i="13"/>
  <c r="X105" i="13"/>
  <c r="W105" i="13"/>
  <c r="V105" i="13"/>
  <c r="U105" i="13"/>
  <c r="T105" i="13"/>
  <c r="S105" i="13"/>
  <c r="R105" i="13"/>
  <c r="Q105" i="13"/>
  <c r="P105" i="13"/>
  <c r="O105" i="13"/>
  <c r="N105" i="13"/>
  <c r="M105" i="13"/>
  <c r="L105" i="13"/>
  <c r="K105" i="13"/>
  <c r="J105" i="13"/>
  <c r="I105" i="13"/>
  <c r="H105" i="13"/>
  <c r="AM104" i="13"/>
  <c r="AL104" i="13"/>
  <c r="AK104" i="13"/>
  <c r="AJ104" i="13"/>
  <c r="AI104" i="13"/>
  <c r="AH104" i="13"/>
  <c r="AG104" i="13"/>
  <c r="AF104" i="13"/>
  <c r="AE104" i="13"/>
  <c r="AD104" i="13"/>
  <c r="AC104" i="13"/>
  <c r="AB104" i="13"/>
  <c r="AA104" i="13"/>
  <c r="Z104" i="13"/>
  <c r="Y104" i="13"/>
  <c r="X104" i="13"/>
  <c r="W104" i="13"/>
  <c r="V104" i="13"/>
  <c r="U104" i="13"/>
  <c r="T104" i="13"/>
  <c r="S104" i="13"/>
  <c r="R104" i="13"/>
  <c r="Q104" i="13"/>
  <c r="P104" i="13"/>
  <c r="O104" i="13"/>
  <c r="N104" i="13"/>
  <c r="M104" i="13"/>
  <c r="L104" i="13"/>
  <c r="K104" i="13"/>
  <c r="J104" i="13"/>
  <c r="I104" i="13"/>
  <c r="H104" i="13"/>
  <c r="AM103" i="13"/>
  <c r="AL103" i="13"/>
  <c r="AK103" i="13"/>
  <c r="AJ103" i="13"/>
  <c r="AI103" i="13"/>
  <c r="AH103" i="13"/>
  <c r="AG103" i="13"/>
  <c r="AF103" i="13"/>
  <c r="AE103" i="13"/>
  <c r="AD103" i="13"/>
  <c r="AC103" i="13"/>
  <c r="AB103" i="13"/>
  <c r="AA103" i="13"/>
  <c r="Z103" i="13"/>
  <c r="Y103" i="13"/>
  <c r="X103" i="13"/>
  <c r="W103" i="13"/>
  <c r="V103" i="13"/>
  <c r="U103" i="13"/>
  <c r="T103" i="13"/>
  <c r="S103" i="13"/>
  <c r="R103" i="13"/>
  <c r="Q103" i="13"/>
  <c r="P103" i="13"/>
  <c r="O103" i="13"/>
  <c r="N103" i="13"/>
  <c r="M103" i="13"/>
  <c r="L103" i="13"/>
  <c r="K103" i="13"/>
  <c r="J103" i="13"/>
  <c r="I103" i="13"/>
  <c r="H103" i="13"/>
  <c r="AM102" i="13"/>
  <c r="AL102" i="13"/>
  <c r="AK102" i="13"/>
  <c r="AJ102" i="13"/>
  <c r="AI102" i="13"/>
  <c r="AH102" i="13"/>
  <c r="AG102" i="13"/>
  <c r="AF102" i="13"/>
  <c r="AE102" i="13"/>
  <c r="AD102" i="13"/>
  <c r="AC102" i="13"/>
  <c r="AB102" i="13"/>
  <c r="AA102" i="13"/>
  <c r="Z102" i="13"/>
  <c r="Y102" i="13"/>
  <c r="X102" i="13"/>
  <c r="W102" i="13"/>
  <c r="V102" i="13"/>
  <c r="U102" i="13"/>
  <c r="T102" i="13"/>
  <c r="S102" i="13"/>
  <c r="R102" i="13"/>
  <c r="Q102" i="13"/>
  <c r="P102" i="13"/>
  <c r="O102" i="13"/>
  <c r="N102" i="13"/>
  <c r="M102" i="13"/>
  <c r="L102" i="13"/>
  <c r="K102" i="13"/>
  <c r="J102" i="13"/>
  <c r="I102" i="13"/>
  <c r="H102" i="13"/>
  <c r="AM101" i="13"/>
  <c r="AL101" i="13"/>
  <c r="AK101" i="13"/>
  <c r="AJ101" i="13"/>
  <c r="AI101" i="13"/>
  <c r="AH101" i="13"/>
  <c r="AG101" i="13"/>
  <c r="AF101" i="13"/>
  <c r="AE101" i="13"/>
  <c r="AD101" i="13"/>
  <c r="AC101" i="13"/>
  <c r="AB101" i="13"/>
  <c r="AA101" i="13"/>
  <c r="Z101" i="13"/>
  <c r="Y101" i="13"/>
  <c r="X101" i="13"/>
  <c r="W101" i="13"/>
  <c r="V101" i="13"/>
  <c r="U101" i="13"/>
  <c r="T101" i="13"/>
  <c r="S101" i="13"/>
  <c r="R101" i="13"/>
  <c r="Q101" i="13"/>
  <c r="P101" i="13"/>
  <c r="O101" i="13"/>
  <c r="N101" i="13"/>
  <c r="M101" i="13"/>
  <c r="L101" i="13"/>
  <c r="K101" i="13"/>
  <c r="J101" i="13"/>
  <c r="I101" i="13"/>
  <c r="H101" i="13"/>
  <c r="AM100" i="13"/>
  <c r="AL100" i="13"/>
  <c r="AK100" i="13"/>
  <c r="AJ100" i="13"/>
  <c r="AI100" i="13"/>
  <c r="AH100" i="13"/>
  <c r="AG100" i="13"/>
  <c r="AF100" i="13"/>
  <c r="AE100" i="13"/>
  <c r="AD100" i="13"/>
  <c r="AC100" i="13"/>
  <c r="AB100" i="13"/>
  <c r="AA100" i="13"/>
  <c r="Z100" i="13"/>
  <c r="Y100" i="13"/>
  <c r="X100" i="13"/>
  <c r="W100" i="13"/>
  <c r="V100" i="13"/>
  <c r="U100" i="13"/>
  <c r="T100" i="13"/>
  <c r="S100" i="13"/>
  <c r="R100" i="13"/>
  <c r="Q100" i="13"/>
  <c r="P100" i="13"/>
  <c r="O100" i="13"/>
  <c r="N100" i="13"/>
  <c r="M100" i="13"/>
  <c r="L100" i="13"/>
  <c r="K100" i="13"/>
  <c r="J100" i="13"/>
  <c r="I100" i="13"/>
  <c r="H100" i="13"/>
  <c r="AM99" i="13"/>
  <c r="AL99" i="13"/>
  <c r="AK99" i="13"/>
  <c r="AJ99" i="13"/>
  <c r="AI99" i="13"/>
  <c r="AH99" i="13"/>
  <c r="AG99" i="13"/>
  <c r="AF99" i="13"/>
  <c r="AE99" i="13"/>
  <c r="AD99" i="13"/>
  <c r="AC99" i="13"/>
  <c r="AB99" i="13"/>
  <c r="AA99" i="13"/>
  <c r="Z99" i="13"/>
  <c r="Y99" i="13"/>
  <c r="X99" i="13"/>
  <c r="W99" i="13"/>
  <c r="V99" i="13"/>
  <c r="U99" i="13"/>
  <c r="T99" i="13"/>
  <c r="S99" i="13"/>
  <c r="R99" i="13"/>
  <c r="Q99" i="13"/>
  <c r="P99" i="13"/>
  <c r="O99" i="13"/>
  <c r="N99" i="13"/>
  <c r="M99" i="13"/>
  <c r="L99" i="13"/>
  <c r="K99" i="13"/>
  <c r="J99" i="13"/>
  <c r="I99" i="13"/>
  <c r="H99" i="13"/>
  <c r="AM98" i="13"/>
  <c r="AL98" i="13"/>
  <c r="AK98" i="13"/>
  <c r="AJ98" i="13"/>
  <c r="AI98" i="13"/>
  <c r="AH98" i="13"/>
  <c r="AG98" i="13"/>
  <c r="AF98" i="13"/>
  <c r="AE98" i="13"/>
  <c r="AD98" i="13"/>
  <c r="AC98" i="13"/>
  <c r="AB98" i="13"/>
  <c r="AA98" i="13"/>
  <c r="Z98" i="13"/>
  <c r="Y98" i="13"/>
  <c r="X98" i="13"/>
  <c r="W98" i="13"/>
  <c r="V98" i="13"/>
  <c r="U98" i="13"/>
  <c r="T98" i="13"/>
  <c r="S98" i="13"/>
  <c r="R98" i="13"/>
  <c r="Q98" i="13"/>
  <c r="P98" i="13"/>
  <c r="O98" i="13"/>
  <c r="N98" i="13"/>
  <c r="M98" i="13"/>
  <c r="L98" i="13"/>
  <c r="K98" i="13"/>
  <c r="J98" i="13"/>
  <c r="I98" i="13"/>
  <c r="H98" i="13"/>
  <c r="AM97" i="13"/>
  <c r="AL97" i="13"/>
  <c r="AK97" i="13"/>
  <c r="AJ97" i="13"/>
  <c r="AI97" i="13"/>
  <c r="AH97" i="13"/>
  <c r="AG97" i="13"/>
  <c r="AF97" i="13"/>
  <c r="AE97" i="13"/>
  <c r="AD97" i="13"/>
  <c r="AC97" i="13"/>
  <c r="AB97" i="13"/>
  <c r="AA97" i="13"/>
  <c r="Z97" i="13"/>
  <c r="Y97" i="13"/>
  <c r="X97" i="13"/>
  <c r="W97" i="13"/>
  <c r="V97" i="13"/>
  <c r="U97" i="13"/>
  <c r="T97" i="13"/>
  <c r="S97" i="13"/>
  <c r="R97" i="13"/>
  <c r="Q97" i="13"/>
  <c r="P97" i="13"/>
  <c r="O97" i="13"/>
  <c r="N97" i="13"/>
  <c r="M97" i="13"/>
  <c r="L97" i="13"/>
  <c r="K97" i="13"/>
  <c r="J97" i="13"/>
  <c r="I97" i="13"/>
  <c r="H97" i="13"/>
  <c r="AM96" i="13"/>
  <c r="AL96" i="13"/>
  <c r="AK96" i="13"/>
  <c r="AJ96" i="13"/>
  <c r="AI96" i="13"/>
  <c r="AH96" i="13"/>
  <c r="AG96" i="13"/>
  <c r="AF96" i="13"/>
  <c r="AE96" i="13"/>
  <c r="AD96" i="13"/>
  <c r="AC96" i="13"/>
  <c r="AB96" i="13"/>
  <c r="AA96" i="13"/>
  <c r="Z96" i="13"/>
  <c r="Y96" i="13"/>
  <c r="X96" i="13"/>
  <c r="W96" i="13"/>
  <c r="V96" i="13"/>
  <c r="U96" i="13"/>
  <c r="T96" i="13"/>
  <c r="S96" i="13"/>
  <c r="R96" i="13"/>
  <c r="Q96" i="13"/>
  <c r="P96" i="13"/>
  <c r="O96" i="13"/>
  <c r="N96" i="13"/>
  <c r="M96" i="13"/>
  <c r="L96" i="13"/>
  <c r="K96" i="13"/>
  <c r="J96" i="13"/>
  <c r="I96" i="13"/>
  <c r="H96" i="13"/>
  <c r="AM95" i="13"/>
  <c r="AL95" i="13"/>
  <c r="AK95" i="13"/>
  <c r="AJ95" i="13"/>
  <c r="AI95" i="13"/>
  <c r="AH95" i="13"/>
  <c r="AG95" i="13"/>
  <c r="AF95" i="13"/>
  <c r="AE95" i="13"/>
  <c r="AD95" i="13"/>
  <c r="AC95" i="13"/>
  <c r="AB95" i="13"/>
  <c r="AA95" i="13"/>
  <c r="Z95" i="13"/>
  <c r="Y95" i="13"/>
  <c r="X95" i="13"/>
  <c r="W95" i="13"/>
  <c r="V95" i="13"/>
  <c r="U95" i="13"/>
  <c r="T95" i="13"/>
  <c r="S95" i="13"/>
  <c r="R95" i="13"/>
  <c r="Q95" i="13"/>
  <c r="P95" i="13"/>
  <c r="O95" i="13"/>
  <c r="N95" i="13"/>
  <c r="M95" i="13"/>
  <c r="L95" i="13"/>
  <c r="K95" i="13"/>
  <c r="J95" i="13"/>
  <c r="I95" i="13"/>
  <c r="H95" i="13"/>
  <c r="AM94" i="13"/>
  <c r="AL94" i="13"/>
  <c r="AK94" i="13"/>
  <c r="AJ94" i="13"/>
  <c r="AI94" i="13"/>
  <c r="AH94" i="13"/>
  <c r="AG94" i="13"/>
  <c r="AF94" i="13"/>
  <c r="AE94" i="13"/>
  <c r="AD94" i="13"/>
  <c r="AC94" i="13"/>
  <c r="AB94" i="13"/>
  <c r="AA94" i="13"/>
  <c r="Z94" i="13"/>
  <c r="Y94" i="13"/>
  <c r="X94" i="13"/>
  <c r="W94" i="13"/>
  <c r="V94" i="13"/>
  <c r="U94" i="13"/>
  <c r="T94" i="13"/>
  <c r="S94" i="13"/>
  <c r="R94" i="13"/>
  <c r="Q94" i="13"/>
  <c r="P94" i="13"/>
  <c r="O94" i="13"/>
  <c r="N94" i="13"/>
  <c r="M94" i="13"/>
  <c r="L94" i="13"/>
  <c r="K94" i="13"/>
  <c r="J94" i="13"/>
  <c r="I94" i="13"/>
  <c r="H94" i="13"/>
  <c r="AM93" i="13"/>
  <c r="AL93" i="13"/>
  <c r="AK93" i="13"/>
  <c r="AJ93" i="13"/>
  <c r="AI93" i="13"/>
  <c r="AH93" i="13"/>
  <c r="AG93" i="13"/>
  <c r="AF93" i="13"/>
  <c r="AE93" i="13"/>
  <c r="AD93" i="13"/>
  <c r="AC93" i="13"/>
  <c r="AB93" i="13"/>
  <c r="AA93" i="13"/>
  <c r="Z93" i="13"/>
  <c r="Y93" i="13"/>
  <c r="X93" i="13"/>
  <c r="W93" i="13"/>
  <c r="V93" i="13"/>
  <c r="U93" i="13"/>
  <c r="T93" i="13"/>
  <c r="S93" i="13"/>
  <c r="R93" i="13"/>
  <c r="Q93" i="13"/>
  <c r="P93" i="13"/>
  <c r="O93" i="13"/>
  <c r="N93" i="13"/>
  <c r="M93" i="13"/>
  <c r="L93" i="13"/>
  <c r="K93" i="13"/>
  <c r="J93" i="13"/>
  <c r="I93" i="13"/>
  <c r="H93" i="13"/>
  <c r="AM92" i="13"/>
  <c r="AL92" i="13"/>
  <c r="AK92" i="13"/>
  <c r="AJ92" i="13"/>
  <c r="AI92" i="13"/>
  <c r="AH92" i="13"/>
  <c r="AG92" i="13"/>
  <c r="AF92" i="13"/>
  <c r="AE92" i="13"/>
  <c r="AD92" i="13"/>
  <c r="AC92" i="13"/>
  <c r="AB92" i="13"/>
  <c r="AA92" i="13"/>
  <c r="Z92" i="13"/>
  <c r="Y92" i="13"/>
  <c r="X92" i="13"/>
  <c r="W92" i="13"/>
  <c r="V92" i="13"/>
  <c r="U92" i="13"/>
  <c r="T92" i="13"/>
  <c r="S92" i="13"/>
  <c r="R92" i="13"/>
  <c r="Q92" i="13"/>
  <c r="P92" i="13"/>
  <c r="O92" i="13"/>
  <c r="N92" i="13"/>
  <c r="M92" i="13"/>
  <c r="L92" i="13"/>
  <c r="K92" i="13"/>
  <c r="J92" i="13"/>
  <c r="I92" i="13"/>
  <c r="H92" i="13"/>
  <c r="AM91" i="13"/>
  <c r="AL91" i="13"/>
  <c r="AK91" i="13"/>
  <c r="AJ91" i="13"/>
  <c r="AI91" i="13"/>
  <c r="AH91" i="13"/>
  <c r="AG91" i="13"/>
  <c r="AF91" i="13"/>
  <c r="AE91" i="13"/>
  <c r="AD91" i="13"/>
  <c r="AC91" i="13"/>
  <c r="AB91" i="13"/>
  <c r="AA91" i="13"/>
  <c r="Z91" i="13"/>
  <c r="Y91" i="13"/>
  <c r="X91" i="13"/>
  <c r="W91" i="13"/>
  <c r="V91" i="13"/>
  <c r="U91" i="13"/>
  <c r="T91" i="13"/>
  <c r="S91" i="13"/>
  <c r="R91" i="13"/>
  <c r="Q91" i="13"/>
  <c r="P91" i="13"/>
  <c r="O91" i="13"/>
  <c r="N91" i="13"/>
  <c r="M91" i="13"/>
  <c r="L91" i="13"/>
  <c r="K91" i="13"/>
  <c r="J91" i="13"/>
  <c r="I91" i="13"/>
  <c r="H91" i="13"/>
  <c r="AM90" i="13"/>
  <c r="AL90" i="13"/>
  <c r="AK90" i="13"/>
  <c r="AJ90" i="13"/>
  <c r="AI90" i="13"/>
  <c r="AH90" i="13"/>
  <c r="AG90" i="13"/>
  <c r="AF90" i="13"/>
  <c r="AE90" i="13"/>
  <c r="AD90" i="13"/>
  <c r="AC90" i="13"/>
  <c r="AB90" i="13"/>
  <c r="AA90" i="13"/>
  <c r="Z90" i="13"/>
  <c r="Y90" i="13"/>
  <c r="X90" i="13"/>
  <c r="W90" i="13"/>
  <c r="V90" i="13"/>
  <c r="U90" i="13"/>
  <c r="T90" i="13"/>
  <c r="S90" i="13"/>
  <c r="R90" i="13"/>
  <c r="Q90" i="13"/>
  <c r="P90" i="13"/>
  <c r="O90" i="13"/>
  <c r="N90" i="13"/>
  <c r="M90" i="13"/>
  <c r="L90" i="13"/>
  <c r="K90" i="13"/>
  <c r="J90" i="13"/>
  <c r="I90" i="13"/>
  <c r="H90" i="13"/>
  <c r="AM89" i="13"/>
  <c r="AL89" i="13"/>
  <c r="AK89" i="13"/>
  <c r="AJ89" i="13"/>
  <c r="AI89" i="13"/>
  <c r="AH89" i="13"/>
  <c r="AG89" i="13"/>
  <c r="AF89" i="13"/>
  <c r="AE89" i="13"/>
  <c r="AD89" i="13"/>
  <c r="AC89" i="13"/>
  <c r="AB89" i="13"/>
  <c r="AA89" i="13"/>
  <c r="Z89" i="13"/>
  <c r="Y89" i="13"/>
  <c r="X89" i="13"/>
  <c r="W89" i="13"/>
  <c r="V89" i="13"/>
  <c r="U89" i="13"/>
  <c r="T89" i="13"/>
  <c r="S89" i="13"/>
  <c r="R89" i="13"/>
  <c r="Q89" i="13"/>
  <c r="P89" i="13"/>
  <c r="O89" i="13"/>
  <c r="N89" i="13"/>
  <c r="M89" i="13"/>
  <c r="L89" i="13"/>
  <c r="K89" i="13"/>
  <c r="J89" i="13"/>
  <c r="I89" i="13"/>
  <c r="H89" i="13"/>
  <c r="AM88" i="13"/>
  <c r="AL88" i="13"/>
  <c r="AK88" i="13"/>
  <c r="AJ88" i="13"/>
  <c r="AI88" i="13"/>
  <c r="AH88" i="13"/>
  <c r="AG88" i="13"/>
  <c r="AF88" i="13"/>
  <c r="AE88" i="13"/>
  <c r="AD88" i="13"/>
  <c r="AC88" i="13"/>
  <c r="AB88" i="13"/>
  <c r="AA88" i="13"/>
  <c r="Z88" i="13"/>
  <c r="Y88" i="13"/>
  <c r="X88" i="13"/>
  <c r="W88" i="13"/>
  <c r="V88" i="13"/>
  <c r="U88" i="13"/>
  <c r="T88" i="13"/>
  <c r="S88" i="13"/>
  <c r="R88" i="13"/>
  <c r="Q88" i="13"/>
  <c r="P88" i="13"/>
  <c r="O88" i="13"/>
  <c r="N88" i="13"/>
  <c r="M88" i="13"/>
  <c r="L88" i="13"/>
  <c r="K88" i="13"/>
  <c r="J88" i="13"/>
  <c r="I88" i="13"/>
  <c r="H88" i="13"/>
  <c r="AM87" i="13"/>
  <c r="AL87" i="13"/>
  <c r="AK87" i="13"/>
  <c r="AJ87" i="13"/>
  <c r="AI87" i="13"/>
  <c r="AH87" i="13"/>
  <c r="AG87" i="13"/>
  <c r="AF87" i="13"/>
  <c r="AE87" i="13"/>
  <c r="AD87" i="13"/>
  <c r="AC87" i="13"/>
  <c r="AB87" i="13"/>
  <c r="AA87" i="13"/>
  <c r="Z87" i="13"/>
  <c r="Y87" i="13"/>
  <c r="X87" i="13"/>
  <c r="W87" i="13"/>
  <c r="V87" i="13"/>
  <c r="U87" i="13"/>
  <c r="T87" i="13"/>
  <c r="S87" i="13"/>
  <c r="R87" i="13"/>
  <c r="Q87" i="13"/>
  <c r="P87" i="13"/>
  <c r="O87" i="13"/>
  <c r="N87" i="13"/>
  <c r="M87" i="13"/>
  <c r="L87" i="13"/>
  <c r="K87" i="13"/>
  <c r="J87" i="13"/>
  <c r="I87" i="13"/>
  <c r="H87" i="13"/>
  <c r="AM86" i="13"/>
  <c r="AL86" i="13"/>
  <c r="AK86" i="13"/>
  <c r="AJ86" i="13"/>
  <c r="AI86" i="13"/>
  <c r="AH86" i="13"/>
  <c r="AG86" i="13"/>
  <c r="AF86" i="13"/>
  <c r="AE86" i="13"/>
  <c r="AD86" i="13"/>
  <c r="AC86" i="13"/>
  <c r="AB86" i="13"/>
  <c r="AA86" i="13"/>
  <c r="Z86" i="13"/>
  <c r="Y86" i="13"/>
  <c r="X86" i="13"/>
  <c r="W86" i="13"/>
  <c r="V86" i="13"/>
  <c r="U86" i="13"/>
  <c r="T86" i="13"/>
  <c r="S86" i="13"/>
  <c r="R86" i="13"/>
  <c r="Q86" i="13"/>
  <c r="P86" i="13"/>
  <c r="O86" i="13"/>
  <c r="N86" i="13"/>
  <c r="M86" i="13"/>
  <c r="L86" i="13"/>
  <c r="K86" i="13"/>
  <c r="J86" i="13"/>
  <c r="I86" i="13"/>
  <c r="H86" i="13"/>
  <c r="AM109" i="12"/>
  <c r="AL109" i="12"/>
  <c r="AK109" i="12"/>
  <c r="AJ109" i="12"/>
  <c r="AI109" i="12"/>
  <c r="AH109" i="12"/>
  <c r="AG109" i="12"/>
  <c r="AF109" i="12"/>
  <c r="AE109" i="12"/>
  <c r="AD109" i="12"/>
  <c r="AC109" i="12"/>
  <c r="AB109" i="12"/>
  <c r="AA109" i="12"/>
  <c r="Z109" i="12"/>
  <c r="Y109" i="12"/>
  <c r="X109" i="12"/>
  <c r="W109" i="12"/>
  <c r="V109" i="12"/>
  <c r="U109" i="12"/>
  <c r="T109" i="12"/>
  <c r="S109" i="12"/>
  <c r="R109" i="12"/>
  <c r="Q109" i="12"/>
  <c r="P109" i="12"/>
  <c r="O109" i="12"/>
  <c r="N109" i="12"/>
  <c r="M109" i="12"/>
  <c r="L109" i="12"/>
  <c r="K109" i="12"/>
  <c r="J109" i="12"/>
  <c r="I109" i="12"/>
  <c r="H109" i="12"/>
  <c r="AM108" i="12"/>
  <c r="AL108" i="12"/>
  <c r="AK108" i="12"/>
  <c r="AJ108" i="12"/>
  <c r="AI108" i="12"/>
  <c r="AH108" i="12"/>
  <c r="AG108" i="12"/>
  <c r="AF108" i="12"/>
  <c r="AE108" i="12"/>
  <c r="AD108" i="12"/>
  <c r="AC108" i="12"/>
  <c r="AB108" i="12"/>
  <c r="AA108" i="12"/>
  <c r="Z108" i="12"/>
  <c r="Y108" i="12"/>
  <c r="X108" i="12"/>
  <c r="W108" i="12"/>
  <c r="V108" i="12"/>
  <c r="U108" i="12"/>
  <c r="T108" i="12"/>
  <c r="S108" i="12"/>
  <c r="R108" i="12"/>
  <c r="Q108" i="12"/>
  <c r="P108" i="12"/>
  <c r="O108" i="12"/>
  <c r="N108" i="12"/>
  <c r="M108" i="12"/>
  <c r="L108" i="12"/>
  <c r="K108" i="12"/>
  <c r="J108" i="12"/>
  <c r="I108" i="12"/>
  <c r="H108" i="12"/>
  <c r="AM107" i="12"/>
  <c r="AL107" i="12"/>
  <c r="AK107" i="12"/>
  <c r="AJ107" i="12"/>
  <c r="AI107" i="12"/>
  <c r="AH107" i="12"/>
  <c r="AG107" i="12"/>
  <c r="AF107" i="12"/>
  <c r="AE107" i="12"/>
  <c r="AD107" i="12"/>
  <c r="AC107" i="12"/>
  <c r="AB107" i="12"/>
  <c r="AA107" i="12"/>
  <c r="Z107" i="12"/>
  <c r="Y107" i="12"/>
  <c r="X107" i="12"/>
  <c r="W107" i="12"/>
  <c r="V107" i="12"/>
  <c r="U107" i="12"/>
  <c r="T107" i="12"/>
  <c r="S107" i="12"/>
  <c r="R107" i="12"/>
  <c r="Q107" i="12"/>
  <c r="P107" i="12"/>
  <c r="O107" i="12"/>
  <c r="N107" i="12"/>
  <c r="M107" i="12"/>
  <c r="L107" i="12"/>
  <c r="K107" i="12"/>
  <c r="J107" i="12"/>
  <c r="I107" i="12"/>
  <c r="H107" i="12"/>
  <c r="AM106" i="12"/>
  <c r="AL106" i="12"/>
  <c r="AK106" i="12"/>
  <c r="AJ106" i="12"/>
  <c r="AI106" i="12"/>
  <c r="AH106" i="12"/>
  <c r="AG106" i="12"/>
  <c r="AF106" i="12"/>
  <c r="AE106" i="12"/>
  <c r="AD106" i="12"/>
  <c r="AC106" i="12"/>
  <c r="AB106" i="12"/>
  <c r="AA106" i="12"/>
  <c r="Z106" i="12"/>
  <c r="Y106" i="12"/>
  <c r="X106" i="12"/>
  <c r="W106" i="12"/>
  <c r="V106" i="12"/>
  <c r="U106" i="12"/>
  <c r="T106" i="12"/>
  <c r="S106" i="12"/>
  <c r="R106" i="12"/>
  <c r="Q106" i="12"/>
  <c r="P106" i="12"/>
  <c r="O106" i="12"/>
  <c r="N106" i="12"/>
  <c r="M106" i="12"/>
  <c r="L106" i="12"/>
  <c r="K106" i="12"/>
  <c r="J106" i="12"/>
  <c r="I106" i="12"/>
  <c r="H106" i="12"/>
  <c r="AM105" i="12"/>
  <c r="AL105" i="12"/>
  <c r="AK105" i="12"/>
  <c r="AJ105" i="12"/>
  <c r="AI105" i="12"/>
  <c r="AH105" i="12"/>
  <c r="AG105" i="12"/>
  <c r="AF105" i="12"/>
  <c r="AE105" i="12"/>
  <c r="AD105" i="12"/>
  <c r="AC105" i="12"/>
  <c r="AB105" i="12"/>
  <c r="AA105" i="12"/>
  <c r="Z105" i="12"/>
  <c r="Y105" i="12"/>
  <c r="X105" i="12"/>
  <c r="W105" i="12"/>
  <c r="V105" i="12"/>
  <c r="U105" i="12"/>
  <c r="T105" i="12"/>
  <c r="S105" i="12"/>
  <c r="R105" i="12"/>
  <c r="Q105" i="12"/>
  <c r="P105" i="12"/>
  <c r="O105" i="12"/>
  <c r="N105" i="12"/>
  <c r="M105" i="12"/>
  <c r="L105" i="12"/>
  <c r="K105" i="12"/>
  <c r="J105" i="12"/>
  <c r="I105" i="12"/>
  <c r="H105" i="12"/>
  <c r="AM104" i="12"/>
  <c r="AL104" i="12"/>
  <c r="AK104" i="12"/>
  <c r="AJ104" i="12"/>
  <c r="AI104" i="12"/>
  <c r="AH104" i="12"/>
  <c r="AG104" i="12"/>
  <c r="AF104" i="12"/>
  <c r="AE104" i="12"/>
  <c r="AD104" i="12"/>
  <c r="AC104" i="12"/>
  <c r="AB104" i="12"/>
  <c r="AA104" i="12"/>
  <c r="Z104" i="12"/>
  <c r="Y104" i="12"/>
  <c r="X104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AM103" i="12"/>
  <c r="AL103" i="12"/>
  <c r="AK103" i="12"/>
  <c r="AJ103" i="12"/>
  <c r="AI103" i="12"/>
  <c r="AH103" i="12"/>
  <c r="AG103" i="12"/>
  <c r="AF103" i="12"/>
  <c r="AE103" i="12"/>
  <c r="AD103" i="12"/>
  <c r="AC103" i="12"/>
  <c r="AB103" i="12"/>
  <c r="AA103" i="12"/>
  <c r="Z103" i="12"/>
  <c r="Y103" i="12"/>
  <c r="X103" i="12"/>
  <c r="W103" i="12"/>
  <c r="V103" i="12"/>
  <c r="U103" i="12"/>
  <c r="T103" i="12"/>
  <c r="S103" i="12"/>
  <c r="R103" i="12"/>
  <c r="Q103" i="12"/>
  <c r="P103" i="12"/>
  <c r="O103" i="12"/>
  <c r="N103" i="12"/>
  <c r="M103" i="12"/>
  <c r="L103" i="12"/>
  <c r="K103" i="12"/>
  <c r="J103" i="12"/>
  <c r="I103" i="12"/>
  <c r="H103" i="12"/>
  <c r="AM102" i="12"/>
  <c r="AL102" i="12"/>
  <c r="AK102" i="12"/>
  <c r="AJ102" i="12"/>
  <c r="AI102" i="12"/>
  <c r="AH102" i="12"/>
  <c r="AG102" i="12"/>
  <c r="AF102" i="12"/>
  <c r="AE102" i="12"/>
  <c r="AD102" i="12"/>
  <c r="AC102" i="12"/>
  <c r="AB102" i="12"/>
  <c r="AA102" i="12"/>
  <c r="Z102" i="12"/>
  <c r="Y102" i="12"/>
  <c r="X102" i="12"/>
  <c r="W102" i="12"/>
  <c r="V102" i="12"/>
  <c r="U102" i="12"/>
  <c r="T102" i="12"/>
  <c r="S102" i="12"/>
  <c r="R102" i="12"/>
  <c r="Q102" i="12"/>
  <c r="P102" i="12"/>
  <c r="O102" i="12"/>
  <c r="N102" i="12"/>
  <c r="M102" i="12"/>
  <c r="L102" i="12"/>
  <c r="K102" i="12"/>
  <c r="J102" i="12"/>
  <c r="I102" i="12"/>
  <c r="H102" i="12"/>
  <c r="AM101" i="12"/>
  <c r="AL101" i="12"/>
  <c r="AK101" i="12"/>
  <c r="AJ101" i="12"/>
  <c r="AI101" i="12"/>
  <c r="AH101" i="12"/>
  <c r="AG101" i="12"/>
  <c r="AF101" i="12"/>
  <c r="AE101" i="12"/>
  <c r="AD101" i="12"/>
  <c r="AC101" i="12"/>
  <c r="AB101" i="12"/>
  <c r="AA101" i="12"/>
  <c r="Z101" i="12"/>
  <c r="Y101" i="12"/>
  <c r="X101" i="12"/>
  <c r="W101" i="12"/>
  <c r="V101" i="12"/>
  <c r="U101" i="12"/>
  <c r="T101" i="12"/>
  <c r="S101" i="12"/>
  <c r="R101" i="12"/>
  <c r="Q101" i="12"/>
  <c r="P101" i="12"/>
  <c r="O101" i="12"/>
  <c r="N101" i="12"/>
  <c r="M101" i="12"/>
  <c r="L101" i="12"/>
  <c r="K101" i="12"/>
  <c r="J101" i="12"/>
  <c r="I101" i="12"/>
  <c r="H101" i="12"/>
  <c r="AM100" i="12"/>
  <c r="AL100" i="12"/>
  <c r="AK100" i="12"/>
  <c r="AJ100" i="12"/>
  <c r="AI100" i="12"/>
  <c r="AH100" i="12"/>
  <c r="AG100" i="12"/>
  <c r="AF100" i="12"/>
  <c r="AE100" i="12"/>
  <c r="AD100" i="12"/>
  <c r="AC100" i="12"/>
  <c r="AB100" i="12"/>
  <c r="AA100" i="12"/>
  <c r="Z100" i="12"/>
  <c r="Y100" i="12"/>
  <c r="X100" i="12"/>
  <c r="W100" i="12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J100" i="12"/>
  <c r="I100" i="12"/>
  <c r="H100" i="12"/>
  <c r="AM99" i="12"/>
  <c r="AL99" i="12"/>
  <c r="AK99" i="12"/>
  <c r="AJ99" i="12"/>
  <c r="AI99" i="12"/>
  <c r="AH99" i="12"/>
  <c r="AG99" i="12"/>
  <c r="AF99" i="12"/>
  <c r="AE99" i="12"/>
  <c r="AD99" i="12"/>
  <c r="AC99" i="12"/>
  <c r="AB99" i="12"/>
  <c r="AA99" i="12"/>
  <c r="Z99" i="12"/>
  <c r="Y99" i="12"/>
  <c r="X99" i="12"/>
  <c r="W99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J99" i="12"/>
  <c r="I99" i="12"/>
  <c r="H99" i="12"/>
  <c r="AM98" i="12"/>
  <c r="AL98" i="12"/>
  <c r="AK98" i="12"/>
  <c r="AJ98" i="12"/>
  <c r="AI98" i="12"/>
  <c r="AH98" i="12"/>
  <c r="AG98" i="12"/>
  <c r="AF98" i="12"/>
  <c r="AE98" i="12"/>
  <c r="AD98" i="12"/>
  <c r="AC98" i="12"/>
  <c r="AB98" i="12"/>
  <c r="AA98" i="12"/>
  <c r="Z98" i="12"/>
  <c r="Y98" i="12"/>
  <c r="X98" i="12"/>
  <c r="W98" i="12"/>
  <c r="V98" i="12"/>
  <c r="U98" i="12"/>
  <c r="T98" i="12"/>
  <c r="S98" i="12"/>
  <c r="R98" i="12"/>
  <c r="Q98" i="12"/>
  <c r="P98" i="12"/>
  <c r="O98" i="12"/>
  <c r="N98" i="12"/>
  <c r="M98" i="12"/>
  <c r="L98" i="12"/>
  <c r="K98" i="12"/>
  <c r="J98" i="12"/>
  <c r="I98" i="12"/>
  <c r="H98" i="12"/>
  <c r="AM97" i="12"/>
  <c r="AL97" i="12"/>
  <c r="AK97" i="12"/>
  <c r="AJ97" i="12"/>
  <c r="AI97" i="12"/>
  <c r="AH97" i="12"/>
  <c r="AG97" i="12"/>
  <c r="AF97" i="12"/>
  <c r="AE97" i="12"/>
  <c r="AD97" i="12"/>
  <c r="AC97" i="12"/>
  <c r="AB97" i="12"/>
  <c r="AA97" i="12"/>
  <c r="Z97" i="12"/>
  <c r="Y97" i="12"/>
  <c r="X97" i="12"/>
  <c r="W97" i="12"/>
  <c r="V97" i="12"/>
  <c r="U97" i="12"/>
  <c r="T97" i="12"/>
  <c r="S97" i="12"/>
  <c r="R97" i="12"/>
  <c r="Q97" i="12"/>
  <c r="P97" i="12"/>
  <c r="O97" i="12"/>
  <c r="N97" i="12"/>
  <c r="M97" i="12"/>
  <c r="L97" i="12"/>
  <c r="K97" i="12"/>
  <c r="J97" i="12"/>
  <c r="I97" i="12"/>
  <c r="H97" i="12"/>
  <c r="AM96" i="12"/>
  <c r="AL96" i="12"/>
  <c r="AK96" i="12"/>
  <c r="AJ96" i="12"/>
  <c r="AI96" i="12"/>
  <c r="AH96" i="12"/>
  <c r="AG96" i="12"/>
  <c r="AF96" i="12"/>
  <c r="AE96" i="12"/>
  <c r="AD96" i="12"/>
  <c r="AC96" i="12"/>
  <c r="AB96" i="12"/>
  <c r="AA96" i="12"/>
  <c r="Z96" i="12"/>
  <c r="Y96" i="12"/>
  <c r="X96" i="12"/>
  <c r="W96" i="12"/>
  <c r="V96" i="12"/>
  <c r="U96" i="12"/>
  <c r="T96" i="12"/>
  <c r="S96" i="12"/>
  <c r="R96" i="12"/>
  <c r="Q96" i="12"/>
  <c r="P96" i="12"/>
  <c r="O96" i="12"/>
  <c r="N96" i="12"/>
  <c r="M96" i="12"/>
  <c r="L96" i="12"/>
  <c r="K96" i="12"/>
  <c r="J96" i="12"/>
  <c r="I96" i="12"/>
  <c r="H96" i="12"/>
  <c r="AM95" i="12"/>
  <c r="AL95" i="12"/>
  <c r="AK95" i="12"/>
  <c r="AJ95" i="12"/>
  <c r="AI95" i="12"/>
  <c r="AH95" i="12"/>
  <c r="AG95" i="12"/>
  <c r="AF95" i="12"/>
  <c r="AE95" i="12"/>
  <c r="AD95" i="12"/>
  <c r="AC95" i="12"/>
  <c r="AB95" i="12"/>
  <c r="AA95" i="12"/>
  <c r="Z95" i="12"/>
  <c r="Y95" i="12"/>
  <c r="X95" i="12"/>
  <c r="W95" i="12"/>
  <c r="V95" i="12"/>
  <c r="U95" i="12"/>
  <c r="T95" i="12"/>
  <c r="S95" i="12"/>
  <c r="R95" i="12"/>
  <c r="Q95" i="12"/>
  <c r="P95" i="12"/>
  <c r="O95" i="12"/>
  <c r="N95" i="12"/>
  <c r="M95" i="12"/>
  <c r="L95" i="12"/>
  <c r="K95" i="12"/>
  <c r="J95" i="12"/>
  <c r="I95" i="12"/>
  <c r="H95" i="12"/>
  <c r="AM94" i="12"/>
  <c r="AL94" i="12"/>
  <c r="AK94" i="12"/>
  <c r="AJ94" i="12"/>
  <c r="AI94" i="12"/>
  <c r="AH94" i="12"/>
  <c r="AG94" i="12"/>
  <c r="AF94" i="12"/>
  <c r="AE94" i="12"/>
  <c r="AD94" i="12"/>
  <c r="AC94" i="12"/>
  <c r="AB94" i="12"/>
  <c r="AA94" i="12"/>
  <c r="Z94" i="12"/>
  <c r="Y94" i="12"/>
  <c r="X94" i="12"/>
  <c r="W94" i="12"/>
  <c r="V94" i="12"/>
  <c r="U94" i="12"/>
  <c r="T94" i="12"/>
  <c r="S94" i="12"/>
  <c r="R94" i="12"/>
  <c r="Q94" i="12"/>
  <c r="P94" i="12"/>
  <c r="O94" i="12"/>
  <c r="N94" i="12"/>
  <c r="M94" i="12"/>
  <c r="L94" i="12"/>
  <c r="K94" i="12"/>
  <c r="J94" i="12"/>
  <c r="I94" i="12"/>
  <c r="H94" i="12"/>
  <c r="AM93" i="12"/>
  <c r="AL93" i="12"/>
  <c r="AK93" i="12"/>
  <c r="AJ93" i="12"/>
  <c r="AI93" i="12"/>
  <c r="AH93" i="12"/>
  <c r="AG93" i="12"/>
  <c r="AF93" i="12"/>
  <c r="AE93" i="12"/>
  <c r="AD93" i="12"/>
  <c r="AC93" i="12"/>
  <c r="AB93" i="12"/>
  <c r="AA93" i="12"/>
  <c r="Z93" i="12"/>
  <c r="Y93" i="12"/>
  <c r="X93" i="12"/>
  <c r="W93" i="12"/>
  <c r="V93" i="12"/>
  <c r="U93" i="12"/>
  <c r="T93" i="12"/>
  <c r="S93" i="12"/>
  <c r="R93" i="12"/>
  <c r="Q93" i="12"/>
  <c r="P93" i="12"/>
  <c r="O93" i="12"/>
  <c r="N93" i="12"/>
  <c r="M93" i="12"/>
  <c r="L93" i="12"/>
  <c r="K93" i="12"/>
  <c r="J93" i="12"/>
  <c r="I93" i="12"/>
  <c r="H93" i="12"/>
  <c r="AM92" i="12"/>
  <c r="AL92" i="12"/>
  <c r="AK92" i="12"/>
  <c r="AJ92" i="12"/>
  <c r="AI92" i="12"/>
  <c r="AH92" i="12"/>
  <c r="AG92" i="12"/>
  <c r="AF92" i="12"/>
  <c r="AE92" i="12"/>
  <c r="AD92" i="12"/>
  <c r="AC92" i="12"/>
  <c r="AB92" i="12"/>
  <c r="AA92" i="12"/>
  <c r="Z92" i="12"/>
  <c r="Y92" i="12"/>
  <c r="X92" i="12"/>
  <c r="W92" i="12"/>
  <c r="V92" i="12"/>
  <c r="U92" i="12"/>
  <c r="T92" i="12"/>
  <c r="S92" i="12"/>
  <c r="R92" i="12"/>
  <c r="Q92" i="12"/>
  <c r="P92" i="12"/>
  <c r="O92" i="12"/>
  <c r="N92" i="12"/>
  <c r="M92" i="12"/>
  <c r="L92" i="12"/>
  <c r="K92" i="12"/>
  <c r="J92" i="12"/>
  <c r="I92" i="12"/>
  <c r="H92" i="12"/>
  <c r="AM91" i="12"/>
  <c r="AL91" i="12"/>
  <c r="AK91" i="12"/>
  <c r="AJ91" i="12"/>
  <c r="AI91" i="12"/>
  <c r="AH91" i="12"/>
  <c r="AG91" i="12"/>
  <c r="AF91" i="12"/>
  <c r="AE91" i="12"/>
  <c r="AD91" i="12"/>
  <c r="AC91" i="12"/>
  <c r="AB91" i="12"/>
  <c r="AA91" i="12"/>
  <c r="Z91" i="12"/>
  <c r="Y91" i="12"/>
  <c r="X91" i="12"/>
  <c r="W91" i="12"/>
  <c r="V91" i="12"/>
  <c r="U91" i="12"/>
  <c r="T91" i="12"/>
  <c r="S91" i="12"/>
  <c r="R91" i="12"/>
  <c r="Q91" i="12"/>
  <c r="P91" i="12"/>
  <c r="O91" i="12"/>
  <c r="N91" i="12"/>
  <c r="M91" i="12"/>
  <c r="L91" i="12"/>
  <c r="K91" i="12"/>
  <c r="J91" i="12"/>
  <c r="I91" i="12"/>
  <c r="H91" i="12"/>
  <c r="AM90" i="12"/>
  <c r="AL90" i="12"/>
  <c r="AK90" i="12"/>
  <c r="AJ90" i="12"/>
  <c r="AI90" i="12"/>
  <c r="AH90" i="12"/>
  <c r="AG90" i="12"/>
  <c r="AF90" i="12"/>
  <c r="AE90" i="12"/>
  <c r="AD90" i="12"/>
  <c r="AC90" i="12"/>
  <c r="AB90" i="12"/>
  <c r="AA90" i="12"/>
  <c r="Z90" i="12"/>
  <c r="Y90" i="12"/>
  <c r="X90" i="12"/>
  <c r="W90" i="12"/>
  <c r="V90" i="12"/>
  <c r="U90" i="12"/>
  <c r="T90" i="12"/>
  <c r="S90" i="12"/>
  <c r="R90" i="12"/>
  <c r="Q90" i="12"/>
  <c r="P90" i="12"/>
  <c r="O90" i="12"/>
  <c r="N90" i="12"/>
  <c r="M90" i="12"/>
  <c r="L90" i="12"/>
  <c r="K90" i="12"/>
  <c r="J90" i="12"/>
  <c r="I90" i="12"/>
  <c r="H90" i="12"/>
  <c r="AM89" i="12"/>
  <c r="AL89" i="12"/>
  <c r="AK89" i="12"/>
  <c r="AJ89" i="12"/>
  <c r="AI89" i="12"/>
  <c r="AH89" i="12"/>
  <c r="AG89" i="12"/>
  <c r="AF89" i="12"/>
  <c r="AE89" i="12"/>
  <c r="AD89" i="12"/>
  <c r="AC89" i="12"/>
  <c r="AB89" i="12"/>
  <c r="AA89" i="12"/>
  <c r="Z89" i="12"/>
  <c r="Y89" i="12"/>
  <c r="X89" i="12"/>
  <c r="W89" i="12"/>
  <c r="V89" i="12"/>
  <c r="U89" i="12"/>
  <c r="T89" i="12"/>
  <c r="S89" i="12"/>
  <c r="R89" i="12"/>
  <c r="Q89" i="12"/>
  <c r="P89" i="12"/>
  <c r="O89" i="12"/>
  <c r="N89" i="12"/>
  <c r="M89" i="12"/>
  <c r="L89" i="12"/>
  <c r="K89" i="12"/>
  <c r="J89" i="12"/>
  <c r="I89" i="12"/>
  <c r="H89" i="12"/>
  <c r="AM88" i="12"/>
  <c r="AL88" i="12"/>
  <c r="AK88" i="12"/>
  <c r="AJ88" i="12"/>
  <c r="AI88" i="12"/>
  <c r="AH88" i="12"/>
  <c r="AG88" i="12"/>
  <c r="AF88" i="12"/>
  <c r="AE88" i="12"/>
  <c r="AD88" i="12"/>
  <c r="AC88" i="12"/>
  <c r="AB88" i="12"/>
  <c r="AA88" i="12"/>
  <c r="Z88" i="12"/>
  <c r="Y88" i="12"/>
  <c r="X88" i="12"/>
  <c r="W88" i="12"/>
  <c r="V88" i="12"/>
  <c r="U88" i="12"/>
  <c r="T88" i="12"/>
  <c r="S88" i="12"/>
  <c r="R88" i="12"/>
  <c r="Q88" i="12"/>
  <c r="P88" i="12"/>
  <c r="O88" i="12"/>
  <c r="N88" i="12"/>
  <c r="M88" i="12"/>
  <c r="L88" i="12"/>
  <c r="K88" i="12"/>
  <c r="J88" i="12"/>
  <c r="I88" i="12"/>
  <c r="H88" i="12"/>
  <c r="AM87" i="12"/>
  <c r="AL87" i="12"/>
  <c r="AK87" i="12"/>
  <c r="AJ87" i="12"/>
  <c r="AI87" i="12"/>
  <c r="AH87" i="12"/>
  <c r="AG87" i="12"/>
  <c r="AF87" i="12"/>
  <c r="AE87" i="12"/>
  <c r="AD87" i="12"/>
  <c r="AC87" i="12"/>
  <c r="AB87" i="12"/>
  <c r="AA87" i="12"/>
  <c r="Z87" i="12"/>
  <c r="Y87" i="12"/>
  <c r="X87" i="12"/>
  <c r="W87" i="12"/>
  <c r="V87" i="12"/>
  <c r="U87" i="12"/>
  <c r="T87" i="12"/>
  <c r="S87" i="12"/>
  <c r="R87" i="12"/>
  <c r="Q87" i="12"/>
  <c r="P87" i="12"/>
  <c r="O87" i="12"/>
  <c r="N87" i="12"/>
  <c r="M87" i="12"/>
  <c r="L87" i="12"/>
  <c r="K87" i="12"/>
  <c r="J87" i="12"/>
  <c r="I87" i="12"/>
  <c r="H87" i="12"/>
  <c r="AM86" i="12"/>
  <c r="AL86" i="12"/>
  <c r="AK86" i="12"/>
  <c r="AJ86" i="12"/>
  <c r="AI86" i="12"/>
  <c r="AH86" i="12"/>
  <c r="AG86" i="12"/>
  <c r="AF86" i="12"/>
  <c r="AE86" i="12"/>
  <c r="AD86" i="12"/>
  <c r="AC86" i="12"/>
  <c r="AB86" i="12"/>
  <c r="AA86" i="12"/>
  <c r="Z86" i="12"/>
  <c r="Y86" i="12"/>
  <c r="X86" i="12"/>
  <c r="W86" i="12"/>
  <c r="V86" i="12"/>
  <c r="U86" i="12"/>
  <c r="T86" i="12"/>
  <c r="S86" i="12"/>
  <c r="R86" i="12"/>
  <c r="Q86" i="12"/>
  <c r="P86" i="12"/>
  <c r="O86" i="12"/>
  <c r="N86" i="12"/>
  <c r="M86" i="12"/>
  <c r="L86" i="12"/>
  <c r="K86" i="12"/>
  <c r="J86" i="12"/>
  <c r="I86" i="12"/>
  <c r="H86" i="12"/>
  <c r="AM109" i="11"/>
  <c r="AL109" i="11"/>
  <c r="AK109" i="11"/>
  <c r="AJ109" i="11"/>
  <c r="AI109" i="11"/>
  <c r="AH109" i="11"/>
  <c r="AG109" i="11"/>
  <c r="AF109" i="11"/>
  <c r="AE109" i="11"/>
  <c r="AD109" i="11"/>
  <c r="AC109" i="11"/>
  <c r="AB109" i="11"/>
  <c r="AA109" i="11"/>
  <c r="Z109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AM108" i="11"/>
  <c r="AL108" i="11"/>
  <c r="AK108" i="11"/>
  <c r="AJ108" i="11"/>
  <c r="AI108" i="11"/>
  <c r="AH108" i="11"/>
  <c r="AG108" i="11"/>
  <c r="AF108" i="11"/>
  <c r="AE108" i="11"/>
  <c r="AD108" i="11"/>
  <c r="AC108" i="11"/>
  <c r="AB108" i="11"/>
  <c r="AA108" i="11"/>
  <c r="Z108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AM107" i="11"/>
  <c r="AL107" i="11"/>
  <c r="AK107" i="11"/>
  <c r="AJ107" i="11"/>
  <c r="AI107" i="11"/>
  <c r="AH107" i="11"/>
  <c r="AG107" i="11"/>
  <c r="AF107" i="11"/>
  <c r="AE107" i="11"/>
  <c r="AD107" i="11"/>
  <c r="AC107" i="1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AM106" i="11"/>
  <c r="AL106" i="11"/>
  <c r="AK106" i="11"/>
  <c r="AJ106" i="11"/>
  <c r="AI106" i="11"/>
  <c r="AH106" i="11"/>
  <c r="AG106" i="11"/>
  <c r="AF106" i="11"/>
  <c r="AE106" i="11"/>
  <c r="AD106" i="11"/>
  <c r="AC106" i="11"/>
  <c r="AB106" i="11"/>
  <c r="AA106" i="11"/>
  <c r="Z106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AM105" i="11"/>
  <c r="AL105" i="11"/>
  <c r="AK105" i="11"/>
  <c r="AJ105" i="11"/>
  <c r="AI105" i="11"/>
  <c r="AH105" i="11"/>
  <c r="AG105" i="11"/>
  <c r="AF105" i="11"/>
  <c r="AE105" i="11"/>
  <c r="AD105" i="11"/>
  <c r="AC105" i="11"/>
  <c r="AB105" i="11"/>
  <c r="AA105" i="11"/>
  <c r="Z105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AM104" i="11"/>
  <c r="AL104" i="11"/>
  <c r="AK104" i="11"/>
  <c r="AJ104" i="11"/>
  <c r="AI104" i="11"/>
  <c r="AH104" i="11"/>
  <c r="AG104" i="11"/>
  <c r="AF104" i="11"/>
  <c r="AE104" i="11"/>
  <c r="AD104" i="11"/>
  <c r="AC104" i="11"/>
  <c r="AB104" i="11"/>
  <c r="AA104" i="11"/>
  <c r="Z104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AM103" i="11"/>
  <c r="AL103" i="11"/>
  <c r="AK103" i="11"/>
  <c r="AJ103" i="11"/>
  <c r="AI103" i="11"/>
  <c r="AH103" i="11"/>
  <c r="AG103" i="11"/>
  <c r="AF103" i="11"/>
  <c r="AE103" i="11"/>
  <c r="AD103" i="11"/>
  <c r="AC103" i="11"/>
  <c r="AB103" i="11"/>
  <c r="AA103" i="11"/>
  <c r="Z103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AM102" i="11"/>
  <c r="AL102" i="11"/>
  <c r="AK102" i="11"/>
  <c r="AJ102" i="11"/>
  <c r="AI102" i="11"/>
  <c r="AH102" i="11"/>
  <c r="AG102" i="11"/>
  <c r="AF102" i="11"/>
  <c r="AE102" i="11"/>
  <c r="AD102" i="11"/>
  <c r="AC102" i="11"/>
  <c r="AB102" i="11"/>
  <c r="AA102" i="11"/>
  <c r="Z102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AM101" i="11"/>
  <c r="AL101" i="11"/>
  <c r="AK101" i="11"/>
  <c r="AJ101" i="11"/>
  <c r="AI101" i="11"/>
  <c r="AH101" i="11"/>
  <c r="AG101" i="11"/>
  <c r="AF101" i="11"/>
  <c r="AE101" i="11"/>
  <c r="AD101" i="11"/>
  <c r="AC101" i="11"/>
  <c r="AB101" i="11"/>
  <c r="AA101" i="11"/>
  <c r="Z101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AM100" i="11"/>
  <c r="AL100" i="11"/>
  <c r="AK100" i="11"/>
  <c r="AJ100" i="11"/>
  <c r="AI100" i="11"/>
  <c r="AH100" i="11"/>
  <c r="AG100" i="11"/>
  <c r="AF100" i="11"/>
  <c r="AE100" i="11"/>
  <c r="AD100" i="11"/>
  <c r="AC100" i="11"/>
  <c r="AB100" i="11"/>
  <c r="AA100" i="11"/>
  <c r="Z100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AM99" i="11"/>
  <c r="AL99" i="11"/>
  <c r="AK99" i="11"/>
  <c r="AJ99" i="11"/>
  <c r="AI99" i="11"/>
  <c r="AH99" i="11"/>
  <c r="AG99" i="11"/>
  <c r="AF99" i="11"/>
  <c r="AE99" i="11"/>
  <c r="AD99" i="11"/>
  <c r="AC99" i="11"/>
  <c r="AB99" i="11"/>
  <c r="AA99" i="11"/>
  <c r="Z99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AM98" i="11"/>
  <c r="AL98" i="11"/>
  <c r="AK98" i="11"/>
  <c r="AJ98" i="11"/>
  <c r="AI98" i="11"/>
  <c r="AH98" i="11"/>
  <c r="AG98" i="11"/>
  <c r="AF98" i="11"/>
  <c r="AE98" i="11"/>
  <c r="AD98" i="11"/>
  <c r="AC98" i="11"/>
  <c r="AB98" i="11"/>
  <c r="AA98" i="11"/>
  <c r="Z98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AM97" i="11"/>
  <c r="AL97" i="11"/>
  <c r="AK97" i="11"/>
  <c r="AJ97" i="11"/>
  <c r="AI97" i="11"/>
  <c r="AH97" i="11"/>
  <c r="AG97" i="11"/>
  <c r="AF97" i="11"/>
  <c r="AE97" i="11"/>
  <c r="AD97" i="11"/>
  <c r="AC97" i="11"/>
  <c r="AB97" i="11"/>
  <c r="AA97" i="11"/>
  <c r="Z97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AM96" i="11"/>
  <c r="AL96" i="11"/>
  <c r="AK96" i="11"/>
  <c r="AJ96" i="11"/>
  <c r="AI96" i="11"/>
  <c r="AH96" i="11"/>
  <c r="AG96" i="11"/>
  <c r="AF96" i="11"/>
  <c r="AE96" i="11"/>
  <c r="AD96" i="11"/>
  <c r="AC96" i="11"/>
  <c r="AB96" i="11"/>
  <c r="AA96" i="11"/>
  <c r="Z96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AM95" i="11"/>
  <c r="AL95" i="11"/>
  <c r="AK95" i="11"/>
  <c r="AJ95" i="11"/>
  <c r="AI95" i="11"/>
  <c r="AH95" i="11"/>
  <c r="AG95" i="11"/>
  <c r="AF95" i="11"/>
  <c r="AE95" i="11"/>
  <c r="AD95" i="11"/>
  <c r="AC95" i="11"/>
  <c r="AB95" i="11"/>
  <c r="AA95" i="11"/>
  <c r="Z95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AM94" i="11"/>
  <c r="AL94" i="11"/>
  <c r="AK94" i="11"/>
  <c r="AJ94" i="11"/>
  <c r="AI94" i="11"/>
  <c r="AH94" i="11"/>
  <c r="AG94" i="11"/>
  <c r="AF94" i="11"/>
  <c r="AE94" i="11"/>
  <c r="AD94" i="11"/>
  <c r="AC94" i="11"/>
  <c r="AB94" i="11"/>
  <c r="AA94" i="11"/>
  <c r="Z94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AM93" i="11"/>
  <c r="AL93" i="11"/>
  <c r="AK93" i="11"/>
  <c r="AJ93" i="11"/>
  <c r="AI93" i="11"/>
  <c r="AH93" i="11"/>
  <c r="AG93" i="11"/>
  <c r="AF93" i="11"/>
  <c r="AE93" i="11"/>
  <c r="AD93" i="11"/>
  <c r="AC93" i="11"/>
  <c r="AB93" i="11"/>
  <c r="AA93" i="11"/>
  <c r="Z93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AM92" i="11"/>
  <c r="AL92" i="11"/>
  <c r="AK92" i="11"/>
  <c r="AJ92" i="11"/>
  <c r="AI92" i="11"/>
  <c r="AH92" i="11"/>
  <c r="AG92" i="11"/>
  <c r="AF92" i="11"/>
  <c r="AE92" i="11"/>
  <c r="AD92" i="11"/>
  <c r="AC92" i="11"/>
  <c r="AB92" i="11"/>
  <c r="AA92" i="11"/>
  <c r="Z92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AM91" i="11"/>
  <c r="AL91" i="11"/>
  <c r="AK91" i="11"/>
  <c r="AJ91" i="11"/>
  <c r="AI91" i="11"/>
  <c r="AH91" i="11"/>
  <c r="AG91" i="11"/>
  <c r="AF91" i="11"/>
  <c r="AE91" i="11"/>
  <c r="AD91" i="11"/>
  <c r="AC91" i="11"/>
  <c r="AB91" i="11"/>
  <c r="AA91" i="11"/>
  <c r="Z91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AM90" i="11"/>
  <c r="AL90" i="11"/>
  <c r="AK90" i="11"/>
  <c r="AJ90" i="11"/>
  <c r="AI90" i="11"/>
  <c r="AH90" i="11"/>
  <c r="AG90" i="11"/>
  <c r="AF90" i="11"/>
  <c r="AE90" i="11"/>
  <c r="AD90" i="11"/>
  <c r="AC90" i="11"/>
  <c r="AB90" i="11"/>
  <c r="AA90" i="11"/>
  <c r="Z90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AM89" i="11"/>
  <c r="AL89" i="11"/>
  <c r="AK89" i="11"/>
  <c r="AJ89" i="11"/>
  <c r="AI89" i="11"/>
  <c r="AH89" i="11"/>
  <c r="AG89" i="11"/>
  <c r="AF89" i="11"/>
  <c r="AE89" i="11"/>
  <c r="AD89" i="11"/>
  <c r="AC89" i="11"/>
  <c r="AB89" i="11"/>
  <c r="AA89" i="11"/>
  <c r="Z89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AM88" i="11"/>
  <c r="AL88" i="11"/>
  <c r="AK88" i="11"/>
  <c r="AJ88" i="11"/>
  <c r="AI88" i="11"/>
  <c r="AH88" i="11"/>
  <c r="AG88" i="11"/>
  <c r="AF88" i="11"/>
  <c r="AE88" i="11"/>
  <c r="AD88" i="11"/>
  <c r="AC88" i="11"/>
  <c r="AB88" i="11"/>
  <c r="AA88" i="11"/>
  <c r="Z88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AM87" i="11"/>
  <c r="AL87" i="11"/>
  <c r="AK87" i="11"/>
  <c r="AJ87" i="11"/>
  <c r="AI87" i="11"/>
  <c r="AH87" i="11"/>
  <c r="AG87" i="11"/>
  <c r="AF87" i="11"/>
  <c r="AE87" i="11"/>
  <c r="AD87" i="11"/>
  <c r="AC87" i="11"/>
  <c r="AB87" i="11"/>
  <c r="AA87" i="11"/>
  <c r="Z87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AM86" i="11"/>
  <c r="AL86" i="11"/>
  <c r="AK86" i="11"/>
  <c r="AJ86" i="11"/>
  <c r="AI86" i="11"/>
  <c r="AH86" i="11"/>
  <c r="AG86" i="11"/>
  <c r="AF86" i="11"/>
  <c r="AE86" i="11"/>
  <c r="AD86" i="11"/>
  <c r="AC86" i="11"/>
  <c r="AB86" i="11"/>
  <c r="AA86" i="11"/>
  <c r="Z86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T9" i="15" l="1"/>
  <c r="R9" i="15"/>
  <c r="T4" i="15"/>
  <c r="R4" i="15"/>
  <c r="T11" i="15"/>
  <c r="R11" i="15"/>
  <c r="T25" i="15"/>
  <c r="R25" i="15"/>
  <c r="R20" i="15"/>
  <c r="T20" i="15"/>
  <c r="T27" i="15"/>
  <c r="R27" i="15"/>
  <c r="T13" i="15"/>
  <c r="T7" i="15"/>
  <c r="U28" i="15" s="1"/>
  <c r="R7" i="15"/>
  <c r="T15" i="15"/>
  <c r="R15" i="15"/>
  <c r="T8" i="15"/>
  <c r="R8" i="15"/>
  <c r="T23" i="15"/>
  <c r="R23" i="15"/>
  <c r="R17" i="15"/>
  <c r="T17" i="15"/>
  <c r="T10" i="15"/>
  <c r="R10" i="15"/>
  <c r="T24" i="15"/>
  <c r="R24" i="15"/>
  <c r="T5" i="15"/>
  <c r="R5" i="15"/>
  <c r="T12" i="15"/>
  <c r="R12" i="15"/>
  <c r="T19" i="15"/>
  <c r="R19" i="15"/>
  <c r="T26" i="15"/>
  <c r="R26" i="15"/>
  <c r="T14" i="15"/>
  <c r="T21" i="15"/>
  <c r="R21" i="15"/>
  <c r="T28" i="15"/>
  <c r="R28" i="15"/>
  <c r="T16" i="15"/>
  <c r="R18" i="15"/>
  <c r="N253" i="1"/>
  <c r="K253" i="1"/>
  <c r="N252" i="1"/>
  <c r="Q252" i="1" s="1"/>
  <c r="T252" i="1" s="1"/>
  <c r="K252" i="1"/>
  <c r="N251" i="1"/>
  <c r="K251" i="1"/>
  <c r="N250" i="1"/>
  <c r="K250" i="1"/>
  <c r="N249" i="1"/>
  <c r="K249" i="1"/>
  <c r="Q249" i="1" s="1"/>
  <c r="N248" i="1"/>
  <c r="K248" i="1"/>
  <c r="N247" i="1"/>
  <c r="K247" i="1"/>
  <c r="Q247" i="1" s="1"/>
  <c r="N246" i="1"/>
  <c r="Q246" i="1" s="1"/>
  <c r="K246" i="1"/>
  <c r="N245" i="1"/>
  <c r="K245" i="1"/>
  <c r="N244" i="1"/>
  <c r="Q244" i="1" s="1"/>
  <c r="T244" i="1" s="1"/>
  <c r="K244" i="1"/>
  <c r="N243" i="1"/>
  <c r="K243" i="1"/>
  <c r="N242" i="1"/>
  <c r="K242" i="1"/>
  <c r="N241" i="1"/>
  <c r="K241" i="1"/>
  <c r="Q241" i="1" s="1"/>
  <c r="N240" i="1"/>
  <c r="K240" i="1"/>
  <c r="Q240" i="1" s="1"/>
  <c r="N239" i="1"/>
  <c r="Q239" i="1" s="1"/>
  <c r="K239" i="1"/>
  <c r="N238" i="1"/>
  <c r="Q238" i="1" s="1"/>
  <c r="K238" i="1"/>
  <c r="N237" i="1"/>
  <c r="K237" i="1"/>
  <c r="Q237" i="1" s="1"/>
  <c r="N236" i="1"/>
  <c r="K236" i="1"/>
  <c r="N235" i="1"/>
  <c r="K235" i="1"/>
  <c r="Q235" i="1" s="1"/>
  <c r="N234" i="1"/>
  <c r="K234" i="1"/>
  <c r="N233" i="1"/>
  <c r="K233" i="1"/>
  <c r="Q233" i="1" s="1"/>
  <c r="N232" i="1"/>
  <c r="K232" i="1"/>
  <c r="Q231" i="1"/>
  <c r="R231" i="1" s="1"/>
  <c r="N231" i="1"/>
  <c r="K231" i="1"/>
  <c r="N230" i="1"/>
  <c r="Q230" i="1" s="1"/>
  <c r="K230" i="1"/>
  <c r="N229" i="1"/>
  <c r="K229" i="1"/>
  <c r="N228" i="1"/>
  <c r="K228" i="1"/>
  <c r="Q228" i="1" s="1"/>
  <c r="T228" i="1" s="1"/>
  <c r="N227" i="1"/>
  <c r="K227" i="1"/>
  <c r="Q226" i="1"/>
  <c r="R226" i="1" s="1"/>
  <c r="N226" i="1"/>
  <c r="K226" i="1"/>
  <c r="R225" i="1"/>
  <c r="N225" i="1"/>
  <c r="K225" i="1"/>
  <c r="Q225" i="1" s="1"/>
  <c r="T225" i="1" s="1"/>
  <c r="N224" i="1"/>
  <c r="K224" i="1"/>
  <c r="N223" i="1"/>
  <c r="K223" i="1"/>
  <c r="N222" i="1"/>
  <c r="K222" i="1"/>
  <c r="Q222" i="1" s="1"/>
  <c r="N221" i="1"/>
  <c r="K221" i="1"/>
  <c r="Q221" i="1" s="1"/>
  <c r="Q220" i="1"/>
  <c r="R220" i="1" s="1"/>
  <c r="N220" i="1"/>
  <c r="K220" i="1"/>
  <c r="N219" i="1"/>
  <c r="Q219" i="1" s="1"/>
  <c r="K219" i="1"/>
  <c r="Q218" i="1"/>
  <c r="R218" i="1" s="1"/>
  <c r="N218" i="1"/>
  <c r="K218" i="1"/>
  <c r="N217" i="1"/>
  <c r="K217" i="1"/>
  <c r="N216" i="1"/>
  <c r="K216" i="1"/>
  <c r="Q216" i="1" s="1"/>
  <c r="N215" i="1"/>
  <c r="K215" i="1"/>
  <c r="Q215" i="1" s="1"/>
  <c r="Q214" i="1"/>
  <c r="N214" i="1"/>
  <c r="K214" i="1"/>
  <c r="N213" i="1"/>
  <c r="K213" i="1"/>
  <c r="Q212" i="1"/>
  <c r="R212" i="1" s="1"/>
  <c r="N212" i="1"/>
  <c r="K212" i="1"/>
  <c r="N211" i="1"/>
  <c r="K211" i="1"/>
  <c r="N210" i="1"/>
  <c r="K210" i="1"/>
  <c r="Q210" i="1" s="1"/>
  <c r="N209" i="1"/>
  <c r="K209" i="1"/>
  <c r="Q209" i="1" s="1"/>
  <c r="T209" i="1" s="1"/>
  <c r="N208" i="1"/>
  <c r="K208" i="1"/>
  <c r="Q208" i="1" s="1"/>
  <c r="N207" i="1"/>
  <c r="K207" i="1"/>
  <c r="N206" i="1"/>
  <c r="Q206" i="1" s="1"/>
  <c r="K206" i="1"/>
  <c r="N205" i="1"/>
  <c r="K205" i="1"/>
  <c r="N204" i="1"/>
  <c r="K204" i="1"/>
  <c r="Q204" i="1" s="1"/>
  <c r="N203" i="1"/>
  <c r="K203" i="1"/>
  <c r="Q203" i="1" s="1"/>
  <c r="N202" i="1"/>
  <c r="K202" i="1"/>
  <c r="N201" i="1"/>
  <c r="K201" i="1"/>
  <c r="Q201" i="1" s="1"/>
  <c r="N200" i="1"/>
  <c r="K200" i="1"/>
  <c r="Q200" i="1" s="1"/>
  <c r="N199" i="1"/>
  <c r="K199" i="1"/>
  <c r="Q199" i="1" s="1"/>
  <c r="N198" i="1"/>
  <c r="K198" i="1"/>
  <c r="Q198" i="1" s="1"/>
  <c r="T198" i="1" s="1"/>
  <c r="N197" i="1"/>
  <c r="K197" i="1"/>
  <c r="Q197" i="1" s="1"/>
  <c r="N196" i="1"/>
  <c r="K196" i="1"/>
  <c r="Q196" i="1" s="1"/>
  <c r="N195" i="1"/>
  <c r="K195" i="1"/>
  <c r="Q195" i="1" s="1"/>
  <c r="N194" i="1"/>
  <c r="K194" i="1"/>
  <c r="N193" i="1"/>
  <c r="Q193" i="1" s="1"/>
  <c r="K193" i="1"/>
  <c r="N192" i="1"/>
  <c r="K192" i="1"/>
  <c r="N191" i="1"/>
  <c r="K191" i="1"/>
  <c r="Q191" i="1" s="1"/>
  <c r="N190" i="1"/>
  <c r="K190" i="1"/>
  <c r="Q190" i="1" s="1"/>
  <c r="T190" i="1" s="1"/>
  <c r="N189" i="1"/>
  <c r="K189" i="1"/>
  <c r="N188" i="1"/>
  <c r="K188" i="1"/>
  <c r="Q188" i="1" s="1"/>
  <c r="N187" i="1"/>
  <c r="K187" i="1"/>
  <c r="Q187" i="1" s="1"/>
  <c r="N186" i="1"/>
  <c r="K186" i="1"/>
  <c r="N185" i="1"/>
  <c r="K185" i="1"/>
  <c r="Q185" i="1" s="1"/>
  <c r="N184" i="1"/>
  <c r="K184" i="1"/>
  <c r="Q184" i="1" s="1"/>
  <c r="Q183" i="1"/>
  <c r="R183" i="1" s="1"/>
  <c r="N183" i="1"/>
  <c r="K183" i="1"/>
  <c r="N182" i="1"/>
  <c r="K182" i="1"/>
  <c r="N181" i="1"/>
  <c r="K181" i="1"/>
  <c r="Q181" i="1" s="1"/>
  <c r="N180" i="1"/>
  <c r="K180" i="1"/>
  <c r="N179" i="1"/>
  <c r="K179" i="1"/>
  <c r="Q179" i="1" s="1"/>
  <c r="N178" i="1"/>
  <c r="K178" i="1"/>
  <c r="Q178" i="1" s="1"/>
  <c r="N177" i="1"/>
  <c r="K177" i="1"/>
  <c r="Q177" i="1" s="1"/>
  <c r="Q176" i="1"/>
  <c r="N176" i="1"/>
  <c r="K176" i="1"/>
  <c r="N175" i="1"/>
  <c r="K175" i="1"/>
  <c r="N174" i="1"/>
  <c r="K174" i="1"/>
  <c r="N173" i="1"/>
  <c r="K173" i="1"/>
  <c r="N172" i="1"/>
  <c r="K172" i="1"/>
  <c r="Q172" i="1" s="1"/>
  <c r="T172" i="1" s="1"/>
  <c r="N171" i="1"/>
  <c r="K171" i="1"/>
  <c r="N170" i="1"/>
  <c r="K170" i="1"/>
  <c r="N169" i="1"/>
  <c r="K169" i="1"/>
  <c r="Q169" i="1" s="1"/>
  <c r="N168" i="1"/>
  <c r="K168" i="1"/>
  <c r="Q168" i="1" s="1"/>
  <c r="N167" i="1"/>
  <c r="K167" i="1"/>
  <c r="N166" i="1"/>
  <c r="K166" i="1"/>
  <c r="Q166" i="1" s="1"/>
  <c r="R166" i="1" s="1"/>
  <c r="N165" i="1"/>
  <c r="K165" i="1"/>
  <c r="Q165" i="1" s="1"/>
  <c r="N164" i="1"/>
  <c r="K164" i="1"/>
  <c r="Q164" i="1" s="1"/>
  <c r="T164" i="1" s="1"/>
  <c r="N163" i="1"/>
  <c r="K163" i="1"/>
  <c r="N162" i="1"/>
  <c r="K162" i="1"/>
  <c r="N161" i="1"/>
  <c r="K161" i="1"/>
  <c r="Q161" i="1" s="1"/>
  <c r="N160" i="1"/>
  <c r="Q160" i="1" s="1"/>
  <c r="K160" i="1"/>
  <c r="N159" i="1"/>
  <c r="K159" i="1"/>
  <c r="N158" i="1"/>
  <c r="K158" i="1"/>
  <c r="Q158" i="1" s="1"/>
  <c r="R158" i="1" s="1"/>
  <c r="N157" i="1"/>
  <c r="K157" i="1"/>
  <c r="N156" i="1"/>
  <c r="K156" i="1"/>
  <c r="Q156" i="1" s="1"/>
  <c r="T156" i="1" s="1"/>
  <c r="N155" i="1"/>
  <c r="K155" i="1"/>
  <c r="N154" i="1"/>
  <c r="K154" i="1"/>
  <c r="N153" i="1"/>
  <c r="K153" i="1"/>
  <c r="Q153" i="1" s="1"/>
  <c r="N152" i="1"/>
  <c r="K152" i="1"/>
  <c r="N151" i="1"/>
  <c r="K151" i="1"/>
  <c r="Q151" i="1" s="1"/>
  <c r="N150" i="1"/>
  <c r="K150" i="1"/>
  <c r="Q150" i="1" s="1"/>
  <c r="N149" i="1"/>
  <c r="K149" i="1"/>
  <c r="Q149" i="1" s="1"/>
  <c r="N148" i="1"/>
  <c r="K148" i="1"/>
  <c r="Q148" i="1" s="1"/>
  <c r="N147" i="1"/>
  <c r="K147" i="1"/>
  <c r="N146" i="1"/>
  <c r="K146" i="1"/>
  <c r="N145" i="1"/>
  <c r="K145" i="1"/>
  <c r="Q145" i="1" s="1"/>
  <c r="T145" i="1" s="1"/>
  <c r="N144" i="1"/>
  <c r="K144" i="1"/>
  <c r="N143" i="1"/>
  <c r="K143" i="1"/>
  <c r="Q143" i="1" s="1"/>
  <c r="N142" i="1"/>
  <c r="K142" i="1"/>
  <c r="N141" i="1"/>
  <c r="Q141" i="1" s="1"/>
  <c r="K141" i="1"/>
  <c r="N140" i="1"/>
  <c r="K140" i="1"/>
  <c r="N139" i="1"/>
  <c r="K139" i="1"/>
  <c r="Q139" i="1" s="1"/>
  <c r="R139" i="1" s="1"/>
  <c r="N138" i="1"/>
  <c r="K138" i="1"/>
  <c r="N137" i="1"/>
  <c r="Q137" i="1" s="1"/>
  <c r="T137" i="1" s="1"/>
  <c r="K137" i="1"/>
  <c r="N136" i="1"/>
  <c r="K136" i="1"/>
  <c r="N135" i="1"/>
  <c r="K135" i="1"/>
  <c r="Q135" i="1" s="1"/>
  <c r="N134" i="1"/>
  <c r="K134" i="1"/>
  <c r="N133" i="1"/>
  <c r="K133" i="1"/>
  <c r="Q133" i="1" s="1"/>
  <c r="N132" i="1"/>
  <c r="K132" i="1"/>
  <c r="Q132" i="1" s="1"/>
  <c r="N131" i="1"/>
  <c r="K131" i="1"/>
  <c r="Q131" i="1" s="1"/>
  <c r="R131" i="1" s="1"/>
  <c r="N130" i="1"/>
  <c r="K130" i="1"/>
  <c r="Q129" i="1"/>
  <c r="T129" i="1" s="1"/>
  <c r="N129" i="1"/>
  <c r="K129" i="1"/>
  <c r="N128" i="1"/>
  <c r="K128" i="1"/>
  <c r="N127" i="1"/>
  <c r="K127" i="1"/>
  <c r="N126" i="1"/>
  <c r="K126" i="1"/>
  <c r="Q126" i="1" s="1"/>
  <c r="T126" i="1" s="1"/>
  <c r="N125" i="1"/>
  <c r="K125" i="1"/>
  <c r="Q125" i="1" s="1"/>
  <c r="T125" i="1" s="1"/>
  <c r="N124" i="1"/>
  <c r="K124" i="1"/>
  <c r="Q124" i="1" s="1"/>
  <c r="N123" i="1"/>
  <c r="K123" i="1"/>
  <c r="N122" i="1"/>
  <c r="Q122" i="1" s="1"/>
  <c r="K122" i="1"/>
  <c r="N121" i="1"/>
  <c r="K121" i="1"/>
  <c r="N120" i="1"/>
  <c r="K120" i="1"/>
  <c r="Q120" i="1" s="1"/>
  <c r="R120" i="1" s="1"/>
  <c r="N119" i="1"/>
  <c r="K119" i="1"/>
  <c r="N118" i="1"/>
  <c r="Q118" i="1" s="1"/>
  <c r="T118" i="1" s="1"/>
  <c r="K118" i="1"/>
  <c r="N117" i="1"/>
  <c r="K117" i="1"/>
  <c r="N116" i="1"/>
  <c r="K116" i="1"/>
  <c r="Q116" i="1" s="1"/>
  <c r="N115" i="1"/>
  <c r="K115" i="1"/>
  <c r="N114" i="1"/>
  <c r="K114" i="1"/>
  <c r="Q114" i="1" s="1"/>
  <c r="N113" i="1"/>
  <c r="K113" i="1"/>
  <c r="Q113" i="1" s="1"/>
  <c r="N112" i="1"/>
  <c r="K112" i="1"/>
  <c r="Q112" i="1" s="1"/>
  <c r="R112" i="1" s="1"/>
  <c r="N111" i="1"/>
  <c r="K111" i="1"/>
  <c r="Q111" i="1" s="1"/>
  <c r="Q110" i="1"/>
  <c r="T110" i="1" s="1"/>
  <c r="N110" i="1"/>
  <c r="K110" i="1"/>
  <c r="N109" i="1"/>
  <c r="K109" i="1"/>
  <c r="N108" i="1"/>
  <c r="K108" i="1"/>
  <c r="Q108" i="1" s="1"/>
  <c r="N107" i="1"/>
  <c r="K107" i="1"/>
  <c r="Q107" i="1" s="1"/>
  <c r="N106" i="1"/>
  <c r="K106" i="1"/>
  <c r="Q106" i="1" s="1"/>
  <c r="N105" i="1"/>
  <c r="K105" i="1"/>
  <c r="N104" i="1"/>
  <c r="K104" i="1"/>
  <c r="N103" i="1"/>
  <c r="K103" i="1"/>
  <c r="Q103" i="1" s="1"/>
  <c r="N102" i="1"/>
  <c r="K102" i="1"/>
  <c r="N101" i="1"/>
  <c r="K101" i="1"/>
  <c r="Q101" i="1" s="1"/>
  <c r="R101" i="1" s="1"/>
  <c r="N100" i="1"/>
  <c r="K100" i="1"/>
  <c r="N99" i="1"/>
  <c r="K99" i="1"/>
  <c r="Q99" i="1" s="1"/>
  <c r="T99" i="1" s="1"/>
  <c r="N98" i="1"/>
  <c r="K98" i="1"/>
  <c r="N97" i="1"/>
  <c r="K97" i="1"/>
  <c r="Q97" i="1" s="1"/>
  <c r="N96" i="1"/>
  <c r="K96" i="1"/>
  <c r="Q96" i="1" s="1"/>
  <c r="Q95" i="1"/>
  <c r="N95" i="1"/>
  <c r="K95" i="1"/>
  <c r="N94" i="1"/>
  <c r="K94" i="1"/>
  <c r="Q94" i="1" s="1"/>
  <c r="N93" i="1"/>
  <c r="K93" i="1"/>
  <c r="Q93" i="1" s="1"/>
  <c r="R93" i="1" s="1"/>
  <c r="N92" i="1"/>
  <c r="K92" i="1"/>
  <c r="Q92" i="1" s="1"/>
  <c r="Q91" i="1"/>
  <c r="T91" i="1" s="1"/>
  <c r="N91" i="1"/>
  <c r="K91" i="1"/>
  <c r="R90" i="1"/>
  <c r="N90" i="1"/>
  <c r="K90" i="1"/>
  <c r="Q90" i="1" s="1"/>
  <c r="T90" i="1" s="1"/>
  <c r="N89" i="1"/>
  <c r="K89" i="1"/>
  <c r="N88" i="1"/>
  <c r="K88" i="1"/>
  <c r="N87" i="1"/>
  <c r="K87" i="1"/>
  <c r="Q87" i="1" s="1"/>
  <c r="N86" i="1"/>
  <c r="K86" i="1"/>
  <c r="Q86" i="1" s="1"/>
  <c r="N85" i="1"/>
  <c r="K85" i="1"/>
  <c r="Q85" i="1" s="1"/>
  <c r="R85" i="1" s="1"/>
  <c r="N84" i="1"/>
  <c r="K84" i="1"/>
  <c r="Q83" i="1"/>
  <c r="T83" i="1" s="1"/>
  <c r="N83" i="1"/>
  <c r="K83" i="1"/>
  <c r="N82" i="1"/>
  <c r="K82" i="1"/>
  <c r="N81" i="1"/>
  <c r="K81" i="1"/>
  <c r="N80" i="1"/>
  <c r="K80" i="1"/>
  <c r="N79" i="1"/>
  <c r="K79" i="1"/>
  <c r="Q79" i="1" s="1"/>
  <c r="N78" i="1"/>
  <c r="K78" i="1"/>
  <c r="Q78" i="1" s="1"/>
  <c r="N77" i="1"/>
  <c r="K77" i="1"/>
  <c r="Q76" i="1"/>
  <c r="N76" i="1"/>
  <c r="K76" i="1"/>
  <c r="N75" i="1"/>
  <c r="K75" i="1"/>
  <c r="N74" i="1"/>
  <c r="K74" i="1"/>
  <c r="Q74" i="1" s="1"/>
  <c r="R74" i="1" s="1"/>
  <c r="N73" i="1"/>
  <c r="K73" i="1"/>
  <c r="Q73" i="1" s="1"/>
  <c r="N72" i="1"/>
  <c r="K72" i="1"/>
  <c r="Q72" i="1" s="1"/>
  <c r="T72" i="1" s="1"/>
  <c r="N71" i="1"/>
  <c r="Q71" i="1" s="1"/>
  <c r="T71" i="1" s="1"/>
  <c r="K71" i="1"/>
  <c r="N70" i="1"/>
  <c r="K70" i="1"/>
  <c r="Q70" i="1" s="1"/>
  <c r="N69" i="1"/>
  <c r="K69" i="1"/>
  <c r="Q69" i="1" s="1"/>
  <c r="Q68" i="1"/>
  <c r="N68" i="1"/>
  <c r="K68" i="1"/>
  <c r="N67" i="1"/>
  <c r="K67" i="1"/>
  <c r="Q67" i="1" s="1"/>
  <c r="N66" i="1"/>
  <c r="K66" i="1"/>
  <c r="Q66" i="1" s="1"/>
  <c r="R66" i="1" s="1"/>
  <c r="N65" i="1"/>
  <c r="K65" i="1"/>
  <c r="N64" i="1"/>
  <c r="Q64" i="1" s="1"/>
  <c r="T64" i="1" s="1"/>
  <c r="K64" i="1"/>
  <c r="N63" i="1"/>
  <c r="K63" i="1"/>
  <c r="N62" i="1"/>
  <c r="K62" i="1"/>
  <c r="Q62" i="1" s="1"/>
  <c r="N61" i="1"/>
  <c r="K61" i="1"/>
  <c r="N60" i="1"/>
  <c r="K60" i="1"/>
  <c r="Q60" i="1" s="1"/>
  <c r="N59" i="1"/>
  <c r="K59" i="1"/>
  <c r="N58" i="1"/>
  <c r="K58" i="1"/>
  <c r="Q58" i="1" s="1"/>
  <c r="R58" i="1" s="1"/>
  <c r="N57" i="1"/>
  <c r="K57" i="1"/>
  <c r="Q57" i="1" s="1"/>
  <c r="Q56" i="1"/>
  <c r="N56" i="1"/>
  <c r="K56" i="1"/>
  <c r="R55" i="1"/>
  <c r="N55" i="1"/>
  <c r="Q55" i="1" s="1"/>
  <c r="T55" i="1" s="1"/>
  <c r="K55" i="1"/>
  <c r="N54" i="1"/>
  <c r="K54" i="1"/>
  <c r="Q54" i="1" s="1"/>
  <c r="R54" i="1" s="1"/>
  <c r="N53" i="1"/>
  <c r="K53" i="1"/>
  <c r="N52" i="1"/>
  <c r="K52" i="1"/>
  <c r="N51" i="1"/>
  <c r="K51" i="1"/>
  <c r="N50" i="1"/>
  <c r="K50" i="1"/>
  <c r="N49" i="1"/>
  <c r="K49" i="1"/>
  <c r="Q49" i="1" s="1"/>
  <c r="N48" i="1"/>
  <c r="K48" i="1"/>
  <c r="N47" i="1"/>
  <c r="K47" i="1"/>
  <c r="Q47" i="1" s="1"/>
  <c r="R47" i="1" s="1"/>
  <c r="N46" i="1"/>
  <c r="K46" i="1"/>
  <c r="N45" i="1"/>
  <c r="K45" i="1"/>
  <c r="Q45" i="1" s="1"/>
  <c r="N44" i="1"/>
  <c r="K44" i="1"/>
  <c r="N43" i="1"/>
  <c r="K43" i="1"/>
  <c r="Q43" i="1" s="1"/>
  <c r="R43" i="1" s="1"/>
  <c r="N42" i="1"/>
  <c r="K42" i="1"/>
  <c r="Q41" i="1"/>
  <c r="N41" i="1"/>
  <c r="K41" i="1"/>
  <c r="N40" i="1"/>
  <c r="K40" i="1"/>
  <c r="Q40" i="1" s="1"/>
  <c r="T40" i="1" s="1"/>
  <c r="N39" i="1"/>
  <c r="K39" i="1"/>
  <c r="Q39" i="1" s="1"/>
  <c r="N38" i="1"/>
  <c r="K38" i="1"/>
  <c r="N37" i="1"/>
  <c r="K37" i="1"/>
  <c r="Q37" i="1" s="1"/>
  <c r="N36" i="1"/>
  <c r="K36" i="1"/>
  <c r="Q36" i="1" s="1"/>
  <c r="T36" i="1" s="1"/>
  <c r="N35" i="1"/>
  <c r="Q35" i="1" s="1"/>
  <c r="K35" i="1"/>
  <c r="N34" i="1"/>
  <c r="K34" i="1"/>
  <c r="Q34" i="1" s="1"/>
  <c r="Q33" i="1"/>
  <c r="R33" i="1" s="1"/>
  <c r="N33" i="1"/>
  <c r="K33" i="1"/>
  <c r="N32" i="1"/>
  <c r="K32" i="1"/>
  <c r="Q32" i="1" s="1"/>
  <c r="R32" i="1" s="1"/>
  <c r="N31" i="1"/>
  <c r="K31" i="1"/>
  <c r="Q31" i="1" s="1"/>
  <c r="N30" i="1"/>
  <c r="K30" i="1"/>
  <c r="Q30" i="1" s="1"/>
  <c r="N29" i="1"/>
  <c r="K29" i="1"/>
  <c r="N28" i="1"/>
  <c r="K28" i="1"/>
  <c r="N27" i="1"/>
  <c r="K27" i="1"/>
  <c r="Q27" i="1" s="1"/>
  <c r="N26" i="1"/>
  <c r="Q26" i="1" s="1"/>
  <c r="K26" i="1"/>
  <c r="N25" i="1"/>
  <c r="K25" i="1"/>
  <c r="Q25" i="1" s="1"/>
  <c r="N24" i="1"/>
  <c r="K24" i="1"/>
  <c r="Q24" i="1" s="1"/>
  <c r="N23" i="1"/>
  <c r="K23" i="1"/>
  <c r="Q23" i="1" s="1"/>
  <c r="N22" i="1"/>
  <c r="Q22" i="1" s="1"/>
  <c r="R22" i="1" s="1"/>
  <c r="K22" i="1"/>
  <c r="N21" i="1"/>
  <c r="Q21" i="1" s="1"/>
  <c r="R21" i="1" s="1"/>
  <c r="K21" i="1"/>
  <c r="N20" i="1"/>
  <c r="K20" i="1"/>
  <c r="Q20" i="1" s="1"/>
  <c r="N19" i="1"/>
  <c r="K19" i="1"/>
  <c r="N18" i="1"/>
  <c r="K18" i="1"/>
  <c r="N17" i="1"/>
  <c r="K17" i="1"/>
  <c r="Q17" i="1" s="1"/>
  <c r="N16" i="1"/>
  <c r="K16" i="1"/>
  <c r="Q16" i="1" s="1"/>
  <c r="N15" i="1"/>
  <c r="K15" i="1"/>
  <c r="Q15" i="1" s="1"/>
  <c r="N14" i="1"/>
  <c r="K14" i="1"/>
  <c r="Q14" i="1" s="1"/>
  <c r="R14" i="1" s="1"/>
  <c r="N13" i="1"/>
  <c r="K13" i="1"/>
  <c r="Q13" i="1" s="1"/>
  <c r="T13" i="1" s="1"/>
  <c r="N12" i="1"/>
  <c r="K12" i="1"/>
  <c r="N11" i="1"/>
  <c r="K11" i="1"/>
  <c r="Q11" i="1" s="1"/>
  <c r="N10" i="1"/>
  <c r="K10" i="1"/>
  <c r="N9" i="1"/>
  <c r="K9" i="1"/>
  <c r="Q9" i="1" s="1"/>
  <c r="N8" i="1"/>
  <c r="K8" i="1"/>
  <c r="Q8" i="1" s="1"/>
  <c r="N7" i="1"/>
  <c r="K7" i="1"/>
  <c r="Q7" i="1" s="1"/>
  <c r="Q6" i="1"/>
  <c r="R6" i="1" s="1"/>
  <c r="N6" i="1"/>
  <c r="K6" i="1"/>
  <c r="Q5" i="1"/>
  <c r="R5" i="1" s="1"/>
  <c r="N5" i="1"/>
  <c r="K5" i="1"/>
  <c r="N4" i="1"/>
  <c r="K4" i="1"/>
  <c r="Q4" i="1" s="1"/>
  <c r="R204" i="1" l="1"/>
  <c r="T204" i="1"/>
  <c r="R210" i="1"/>
  <c r="T210" i="1"/>
  <c r="R193" i="1"/>
  <c r="T193" i="1"/>
  <c r="R247" i="1"/>
  <c r="T247" i="1"/>
  <c r="R239" i="1"/>
  <c r="T239" i="1"/>
  <c r="R185" i="1"/>
  <c r="T185" i="1"/>
  <c r="R201" i="1"/>
  <c r="T201" i="1"/>
  <c r="Q227" i="1"/>
  <c r="T93" i="1"/>
  <c r="Q152" i="1"/>
  <c r="T152" i="1" s="1"/>
  <c r="Q159" i="1"/>
  <c r="Q192" i="1"/>
  <c r="Q217" i="1"/>
  <c r="Q234" i="1"/>
  <c r="T183" i="1"/>
  <c r="T220" i="1"/>
  <c r="Q80" i="1"/>
  <c r="T80" i="1" s="1"/>
  <c r="T120" i="1"/>
  <c r="T139" i="1"/>
  <c r="R228" i="1"/>
  <c r="T226" i="1"/>
  <c r="Q52" i="1"/>
  <c r="T112" i="1"/>
  <c r="R125" i="1"/>
  <c r="Q119" i="1"/>
  <c r="R119" i="1" s="1"/>
  <c r="Q59" i="1"/>
  <c r="T158" i="1"/>
  <c r="Q81" i="1"/>
  <c r="Q121" i="1"/>
  <c r="Q127" i="1"/>
  <c r="Q140" i="1"/>
  <c r="R140" i="1" s="1"/>
  <c r="Q146" i="1"/>
  <c r="T146" i="1" s="1"/>
  <c r="Q205" i="1"/>
  <c r="T205" i="1" s="1"/>
  <c r="Q211" i="1"/>
  <c r="R211" i="1" s="1"/>
  <c r="Q223" i="1"/>
  <c r="Q229" i="1"/>
  <c r="Q248" i="1"/>
  <c r="R248" i="1" s="1"/>
  <c r="T58" i="1"/>
  <c r="T131" i="1"/>
  <c r="Q10" i="1"/>
  <c r="T10" i="1" s="1"/>
  <c r="Q46" i="1"/>
  <c r="T46" i="1" s="1"/>
  <c r="Q18" i="1"/>
  <c r="Q12" i="1"/>
  <c r="Q19" i="1"/>
  <c r="Q48" i="1"/>
  <c r="T48" i="1" s="1"/>
  <c r="T74" i="1"/>
  <c r="Q88" i="1"/>
  <c r="Q102" i="1"/>
  <c r="R102" i="1" s="1"/>
  <c r="Q109" i="1"/>
  <c r="Q115" i="1"/>
  <c r="T115" i="1" s="1"/>
  <c r="Q128" i="1"/>
  <c r="Q134" i="1"/>
  <c r="T134" i="1" s="1"/>
  <c r="Q147" i="1"/>
  <c r="Q154" i="1"/>
  <c r="T154" i="1" s="1"/>
  <c r="Q167" i="1"/>
  <c r="R167" i="1" s="1"/>
  <c r="Q180" i="1"/>
  <c r="T180" i="1" s="1"/>
  <c r="Q236" i="1"/>
  <c r="Q144" i="1"/>
  <c r="Q171" i="1"/>
  <c r="Q38" i="1"/>
  <c r="R38" i="1" s="1"/>
  <c r="Q138" i="1"/>
  <c r="Q61" i="1"/>
  <c r="Q75" i="1"/>
  <c r="T75" i="1" s="1"/>
  <c r="Q82" i="1"/>
  <c r="T82" i="1" s="1"/>
  <c r="Q89" i="1"/>
  <c r="Q174" i="1"/>
  <c r="Q186" i="1"/>
  <c r="Q224" i="1"/>
  <c r="T224" i="1" s="1"/>
  <c r="Q242" i="1"/>
  <c r="T242" i="1" s="1"/>
  <c r="Q243" i="1"/>
  <c r="Q155" i="1"/>
  <c r="T212" i="1"/>
  <c r="T218" i="1"/>
  <c r="Q28" i="1"/>
  <c r="Q104" i="1"/>
  <c r="Q117" i="1"/>
  <c r="Q123" i="1"/>
  <c r="Q136" i="1"/>
  <c r="Q142" i="1"/>
  <c r="Q162" i="1"/>
  <c r="Q175" i="1"/>
  <c r="T175" i="1" s="1"/>
  <c r="Q182" i="1"/>
  <c r="T182" i="1" s="1"/>
  <c r="Q194" i="1"/>
  <c r="Q207" i="1"/>
  <c r="Q213" i="1"/>
  <c r="T213" i="1" s="1"/>
  <c r="Q250" i="1"/>
  <c r="T250" i="1" s="1"/>
  <c r="R244" i="1"/>
  <c r="Q251" i="1"/>
  <c r="R251" i="1" s="1"/>
  <c r="Q63" i="1"/>
  <c r="T63" i="1" s="1"/>
  <c r="T231" i="1"/>
  <c r="Q29" i="1"/>
  <c r="Q44" i="1"/>
  <c r="T44" i="1" s="1"/>
  <c r="Q51" i="1"/>
  <c r="R51" i="1" s="1"/>
  <c r="Q77" i="1"/>
  <c r="T77" i="1" s="1"/>
  <c r="Q98" i="1"/>
  <c r="T98" i="1" s="1"/>
  <c r="Q105" i="1"/>
  <c r="T105" i="1" s="1"/>
  <c r="Q130" i="1"/>
  <c r="Q163" i="1"/>
  <c r="Q170" i="1"/>
  <c r="R170" i="1" s="1"/>
  <c r="Q189" i="1"/>
  <c r="T189" i="1" s="1"/>
  <c r="Q202" i="1"/>
  <c r="T202" i="1" s="1"/>
  <c r="Q232" i="1"/>
  <c r="T232" i="1" s="1"/>
  <c r="Q245" i="1"/>
  <c r="T245" i="1" s="1"/>
  <c r="Q253" i="1"/>
  <c r="T253" i="1" s="1"/>
  <c r="T38" i="1"/>
  <c r="T17" i="1"/>
  <c r="R17" i="1"/>
  <c r="T24" i="1"/>
  <c r="R24" i="1"/>
  <c r="T28" i="1"/>
  <c r="R28" i="1"/>
  <c r="R39" i="1"/>
  <c r="T39" i="1"/>
  <c r="T35" i="1"/>
  <c r="R35" i="1"/>
  <c r="T11" i="1"/>
  <c r="R11" i="1"/>
  <c r="T18" i="1"/>
  <c r="R18" i="1"/>
  <c r="T8" i="1"/>
  <c r="R8" i="1"/>
  <c r="R12" i="1"/>
  <c r="T12" i="1"/>
  <c r="T15" i="1"/>
  <c r="R15" i="1"/>
  <c r="T19" i="1"/>
  <c r="R19" i="1"/>
  <c r="T30" i="1"/>
  <c r="R30" i="1"/>
  <c r="R37" i="1"/>
  <c r="T37" i="1"/>
  <c r="T4" i="1"/>
  <c r="R4" i="1"/>
  <c r="T7" i="1"/>
  <c r="R7" i="1"/>
  <c r="T25" i="1"/>
  <c r="R25" i="1"/>
  <c r="T29" i="1"/>
  <c r="R29" i="1"/>
  <c r="T26" i="1"/>
  <c r="R26" i="1"/>
  <c r="T9" i="1"/>
  <c r="R9" i="1"/>
  <c r="T16" i="1"/>
  <c r="R16" i="1"/>
  <c r="R20" i="1"/>
  <c r="T20" i="1"/>
  <c r="T23" i="1"/>
  <c r="R23" i="1"/>
  <c r="T27" i="1"/>
  <c r="R27" i="1"/>
  <c r="T31" i="1"/>
  <c r="R31" i="1"/>
  <c r="T34" i="1"/>
  <c r="R34" i="1"/>
  <c r="T181" i="1"/>
  <c r="R181" i="1"/>
  <c r="T6" i="1"/>
  <c r="T14" i="1"/>
  <c r="T22" i="1"/>
  <c r="T33" i="1"/>
  <c r="Q42" i="1"/>
  <c r="R44" i="1"/>
  <c r="T47" i="1"/>
  <c r="T68" i="1"/>
  <c r="R68" i="1"/>
  <c r="T78" i="1"/>
  <c r="R78" i="1"/>
  <c r="T87" i="1"/>
  <c r="R87" i="1"/>
  <c r="T94" i="1"/>
  <c r="R94" i="1"/>
  <c r="T107" i="1"/>
  <c r="R107" i="1"/>
  <c r="T123" i="1"/>
  <c r="R123" i="1"/>
  <c r="T142" i="1"/>
  <c r="R142" i="1"/>
  <c r="T195" i="1"/>
  <c r="R195" i="1"/>
  <c r="T199" i="1"/>
  <c r="R199" i="1"/>
  <c r="T208" i="1"/>
  <c r="R208" i="1"/>
  <c r="T219" i="1"/>
  <c r="R219" i="1"/>
  <c r="T234" i="1"/>
  <c r="R234" i="1"/>
  <c r="R205" i="1"/>
  <c r="T56" i="1"/>
  <c r="R56" i="1"/>
  <c r="T196" i="1"/>
  <c r="R196" i="1"/>
  <c r="T222" i="1"/>
  <c r="R222" i="1"/>
  <c r="R13" i="1"/>
  <c r="T57" i="1"/>
  <c r="R57" i="1"/>
  <c r="T229" i="1"/>
  <c r="R229" i="1"/>
  <c r="T241" i="1"/>
  <c r="R241" i="1"/>
  <c r="T5" i="1"/>
  <c r="T21" i="1"/>
  <c r="T32" i="1"/>
  <c r="T45" i="1"/>
  <c r="R45" i="1"/>
  <c r="R48" i="1"/>
  <c r="T51" i="1"/>
  <c r="T54" i="1"/>
  <c r="T66" i="1"/>
  <c r="T70" i="1"/>
  <c r="R70" i="1"/>
  <c r="T73" i="1"/>
  <c r="R73" i="1"/>
  <c r="R82" i="1"/>
  <c r="T85" i="1"/>
  <c r="T89" i="1"/>
  <c r="R89" i="1"/>
  <c r="T92" i="1"/>
  <c r="R92" i="1"/>
  <c r="T101" i="1"/>
  <c r="T114" i="1"/>
  <c r="R114" i="1"/>
  <c r="T121" i="1"/>
  <c r="R121" i="1"/>
  <c r="T127" i="1"/>
  <c r="R127" i="1"/>
  <c r="T130" i="1"/>
  <c r="R130" i="1"/>
  <c r="T133" i="1"/>
  <c r="R133" i="1"/>
  <c r="T140" i="1"/>
  <c r="T149" i="1"/>
  <c r="R149" i="1"/>
  <c r="T153" i="1"/>
  <c r="R153" i="1"/>
  <c r="T169" i="1"/>
  <c r="R169" i="1"/>
  <c r="R190" i="1"/>
  <c r="T197" i="1"/>
  <c r="R197" i="1"/>
  <c r="T214" i="1"/>
  <c r="R214" i="1"/>
  <c r="T238" i="1"/>
  <c r="R238" i="1"/>
  <c r="T108" i="1"/>
  <c r="R108" i="1"/>
  <c r="T143" i="1"/>
  <c r="R143" i="1"/>
  <c r="R152" i="1"/>
  <c r="T168" i="1"/>
  <c r="R168" i="1"/>
  <c r="T178" i="1"/>
  <c r="R178" i="1"/>
  <c r="T184" i="1"/>
  <c r="R184" i="1"/>
  <c r="T200" i="1"/>
  <c r="R200" i="1"/>
  <c r="T223" i="1"/>
  <c r="R223" i="1"/>
  <c r="T248" i="1"/>
  <c r="R36" i="1"/>
  <c r="R40" i="1"/>
  <c r="T60" i="1"/>
  <c r="R60" i="1"/>
  <c r="T67" i="1"/>
  <c r="R67" i="1"/>
  <c r="T76" i="1"/>
  <c r="R76" i="1"/>
  <c r="T79" i="1"/>
  <c r="R79" i="1"/>
  <c r="T86" i="1"/>
  <c r="R86" i="1"/>
  <c r="T95" i="1"/>
  <c r="R95" i="1"/>
  <c r="T102" i="1"/>
  <c r="T150" i="1"/>
  <c r="R150" i="1"/>
  <c r="T187" i="1"/>
  <c r="R187" i="1"/>
  <c r="T191" i="1"/>
  <c r="R191" i="1"/>
  <c r="T203" i="1"/>
  <c r="R203" i="1"/>
  <c r="R209" i="1"/>
  <c r="T215" i="1"/>
  <c r="R215" i="1"/>
  <c r="T186" i="1"/>
  <c r="R186" i="1"/>
  <c r="T88" i="1"/>
  <c r="R88" i="1"/>
  <c r="T111" i="1"/>
  <c r="R111" i="1"/>
  <c r="T124" i="1"/>
  <c r="R124" i="1"/>
  <c r="T159" i="1"/>
  <c r="R159" i="1"/>
  <c r="T43" i="1"/>
  <c r="T61" i="1"/>
  <c r="R61" i="1"/>
  <c r="T96" i="1"/>
  <c r="R96" i="1"/>
  <c r="R154" i="1"/>
  <c r="Q157" i="1"/>
  <c r="T166" i="1"/>
  <c r="T170" i="1"/>
  <c r="Q173" i="1"/>
  <c r="T188" i="1"/>
  <c r="R188" i="1"/>
  <c r="T194" i="1"/>
  <c r="R194" i="1"/>
  <c r="T206" i="1"/>
  <c r="R206" i="1"/>
  <c r="T221" i="1"/>
  <c r="R221" i="1"/>
  <c r="T230" i="1"/>
  <c r="R230" i="1"/>
  <c r="T243" i="1"/>
  <c r="R243" i="1"/>
  <c r="T246" i="1"/>
  <c r="R246" i="1"/>
  <c r="R252" i="1"/>
  <c r="T165" i="1"/>
  <c r="R165" i="1"/>
  <c r="T235" i="1"/>
  <c r="R235" i="1"/>
  <c r="R80" i="1"/>
  <c r="T103" i="1"/>
  <c r="R103" i="1"/>
  <c r="T116" i="1"/>
  <c r="R116" i="1"/>
  <c r="T135" i="1"/>
  <c r="R135" i="1"/>
  <c r="T151" i="1"/>
  <c r="R151" i="1"/>
  <c r="T160" i="1"/>
  <c r="R160" i="1"/>
  <c r="T176" i="1"/>
  <c r="R176" i="1"/>
  <c r="T179" i="1"/>
  <c r="R179" i="1"/>
  <c r="T192" i="1"/>
  <c r="R192" i="1"/>
  <c r="T207" i="1"/>
  <c r="R207" i="1"/>
  <c r="T216" i="1"/>
  <c r="R216" i="1"/>
  <c r="T227" i="1"/>
  <c r="R227" i="1"/>
  <c r="T233" i="1"/>
  <c r="R233" i="1"/>
  <c r="T237" i="1"/>
  <c r="R237" i="1"/>
  <c r="T240" i="1"/>
  <c r="R240" i="1"/>
  <c r="T249" i="1"/>
  <c r="R249" i="1"/>
  <c r="T69" i="1"/>
  <c r="R69" i="1"/>
  <c r="T162" i="1"/>
  <c r="R162" i="1"/>
  <c r="T49" i="1"/>
  <c r="R49" i="1"/>
  <c r="T41" i="1"/>
  <c r="R41" i="1"/>
  <c r="Q50" i="1"/>
  <c r="Q53" i="1"/>
  <c r="T62" i="1"/>
  <c r="R62" i="1"/>
  <c r="Q65" i="1"/>
  <c r="R71" i="1"/>
  <c r="T81" i="1"/>
  <c r="R81" i="1"/>
  <c r="Q84" i="1"/>
  <c r="T97" i="1"/>
  <c r="R97" i="1"/>
  <c r="Q100" i="1"/>
  <c r="T106" i="1"/>
  <c r="R106" i="1"/>
  <c r="T113" i="1"/>
  <c r="R113" i="1"/>
  <c r="T122" i="1"/>
  <c r="R122" i="1"/>
  <c r="T132" i="1"/>
  <c r="R132" i="1"/>
  <c r="T138" i="1"/>
  <c r="R138" i="1"/>
  <c r="T141" i="1"/>
  <c r="R141" i="1"/>
  <c r="T148" i="1"/>
  <c r="R148" i="1"/>
  <c r="T161" i="1"/>
  <c r="R161" i="1"/>
  <c r="T177" i="1"/>
  <c r="R177" i="1"/>
  <c r="R189" i="1"/>
  <c r="R198" i="1"/>
  <c r="R250" i="1"/>
  <c r="R64" i="1"/>
  <c r="R72" i="1"/>
  <c r="R83" i="1"/>
  <c r="R91" i="1"/>
  <c r="R99" i="1"/>
  <c r="R110" i="1"/>
  <c r="R118" i="1"/>
  <c r="R126" i="1"/>
  <c r="R129" i="1"/>
  <c r="R137" i="1"/>
  <c r="R145" i="1"/>
  <c r="R156" i="1"/>
  <c r="R164" i="1"/>
  <c r="R172" i="1"/>
  <c r="R147" i="1" l="1"/>
  <c r="T147" i="1"/>
  <c r="R213" i="1"/>
  <c r="R232" i="1"/>
  <c r="R10" i="1"/>
  <c r="R253" i="1"/>
  <c r="T128" i="1"/>
  <c r="R128" i="1"/>
  <c r="R63" i="1"/>
  <c r="T211" i="1"/>
  <c r="U227" i="1" s="1"/>
  <c r="R202" i="1"/>
  <c r="R174" i="1"/>
  <c r="T174" i="1"/>
  <c r="T136" i="1"/>
  <c r="U152" i="1" s="1"/>
  <c r="R136" i="1"/>
  <c r="T163" i="1"/>
  <c r="R163" i="1"/>
  <c r="R46" i="1"/>
  <c r="R180" i="1"/>
  <c r="T119" i="1"/>
  <c r="R134" i="1"/>
  <c r="R105" i="1"/>
  <c r="R245" i="1"/>
  <c r="R242" i="1"/>
  <c r="R75" i="1"/>
  <c r="T217" i="1"/>
  <c r="R217" i="1"/>
  <c r="T236" i="1"/>
  <c r="U252" i="1" s="1"/>
  <c r="R236" i="1"/>
  <c r="T52" i="1"/>
  <c r="R52" i="1"/>
  <c r="T109" i="1"/>
  <c r="U127" i="1" s="1"/>
  <c r="R109" i="1"/>
  <c r="T167" i="1"/>
  <c r="R182" i="1"/>
  <c r="R115" i="1"/>
  <c r="R146" i="1"/>
  <c r="T117" i="1"/>
  <c r="R117" i="1"/>
  <c r="T251" i="1"/>
  <c r="R77" i="1"/>
  <c r="R224" i="1"/>
  <c r="R98" i="1"/>
  <c r="R104" i="1"/>
  <c r="T104" i="1"/>
  <c r="T171" i="1"/>
  <c r="R171" i="1"/>
  <c r="T155" i="1"/>
  <c r="R155" i="1"/>
  <c r="R175" i="1"/>
  <c r="T144" i="1"/>
  <c r="R144" i="1"/>
  <c r="T59" i="1"/>
  <c r="R59" i="1"/>
  <c r="T157" i="1"/>
  <c r="R157" i="1"/>
  <c r="U203" i="1"/>
  <c r="T53" i="1"/>
  <c r="R53" i="1"/>
  <c r="T84" i="1"/>
  <c r="R84" i="1"/>
  <c r="U27" i="1"/>
  <c r="T173" i="1"/>
  <c r="R173" i="1"/>
  <c r="T42" i="1"/>
  <c r="R42" i="1"/>
  <c r="T65" i="1"/>
  <c r="U77" i="1" s="1"/>
  <c r="R65" i="1"/>
  <c r="T50" i="1"/>
  <c r="R50" i="1"/>
  <c r="T100" i="1"/>
  <c r="R100" i="1"/>
  <c r="U102" i="1" l="1"/>
  <c r="U52" i="1"/>
  <c r="U177" i="1"/>
  <c r="J6" i="4" l="1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6" i="4"/>
  <c r="K16" i="4"/>
  <c r="J17" i="4"/>
  <c r="K17" i="4"/>
  <c r="J18" i="4"/>
  <c r="K18" i="4"/>
  <c r="J19" i="4"/>
  <c r="K19" i="4"/>
  <c r="J20" i="4"/>
  <c r="K20" i="4"/>
  <c r="J21" i="4"/>
  <c r="K21" i="4"/>
  <c r="K5" i="4"/>
  <c r="J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5" i="4"/>
  <c r="AM109" i="5" l="1"/>
  <c r="AL109" i="5"/>
  <c r="AK109" i="5"/>
  <c r="AJ109" i="5"/>
  <c r="AI109" i="5"/>
  <c r="AH109" i="5"/>
  <c r="AG109" i="5"/>
  <c r="AF109" i="5"/>
  <c r="AE109" i="5"/>
  <c r="AD109" i="5"/>
  <c r="AC109" i="5"/>
  <c r="AB109" i="5"/>
  <c r="AA109" i="5"/>
  <c r="Z109" i="5"/>
  <c r="Y109" i="5"/>
  <c r="X109" i="5"/>
  <c r="W109" i="5"/>
  <c r="V109" i="5"/>
  <c r="U109" i="5"/>
  <c r="T109" i="5"/>
  <c r="S109" i="5"/>
  <c r="R109" i="5"/>
  <c r="Q109" i="5"/>
  <c r="P109" i="5"/>
  <c r="O109" i="5"/>
  <c r="N109" i="5"/>
  <c r="M109" i="5"/>
  <c r="L109" i="5"/>
  <c r="K109" i="5"/>
  <c r="J109" i="5"/>
  <c r="I109" i="5"/>
  <c r="H109" i="5"/>
  <c r="AM108" i="5"/>
  <c r="AL108" i="5"/>
  <c r="AK108" i="5"/>
  <c r="AJ108" i="5"/>
  <c r="AI108" i="5"/>
  <c r="AH108" i="5"/>
  <c r="AG108" i="5"/>
  <c r="AF108" i="5"/>
  <c r="AE108" i="5"/>
  <c r="AD108" i="5"/>
  <c r="AC108" i="5"/>
  <c r="AB108" i="5"/>
  <c r="AA108" i="5"/>
  <c r="Z108" i="5"/>
  <c r="Y108" i="5"/>
  <c r="X108" i="5"/>
  <c r="W108" i="5"/>
  <c r="V108" i="5"/>
  <c r="U108" i="5"/>
  <c r="T108" i="5"/>
  <c r="S108" i="5"/>
  <c r="R108" i="5"/>
  <c r="Q108" i="5"/>
  <c r="P108" i="5"/>
  <c r="O108" i="5"/>
  <c r="N108" i="5"/>
  <c r="M108" i="5"/>
  <c r="L108" i="5"/>
  <c r="K108" i="5"/>
  <c r="J108" i="5"/>
  <c r="I108" i="5"/>
  <c r="H108" i="5"/>
  <c r="AM107" i="5"/>
  <c r="AL107" i="5"/>
  <c r="AK107" i="5"/>
  <c r="AJ107" i="5"/>
  <c r="AI107" i="5"/>
  <c r="AH107" i="5"/>
  <c r="AG107" i="5"/>
  <c r="AF107" i="5"/>
  <c r="AE107" i="5"/>
  <c r="AD107" i="5"/>
  <c r="AC107" i="5"/>
  <c r="AB107" i="5"/>
  <c r="AA107" i="5"/>
  <c r="Z107" i="5"/>
  <c r="Y107" i="5"/>
  <c r="X107" i="5"/>
  <c r="W107" i="5"/>
  <c r="V107" i="5"/>
  <c r="U107" i="5"/>
  <c r="T107" i="5"/>
  <c r="S107" i="5"/>
  <c r="R107" i="5"/>
  <c r="Q107" i="5"/>
  <c r="P107" i="5"/>
  <c r="O107" i="5"/>
  <c r="N107" i="5"/>
  <c r="M107" i="5"/>
  <c r="L107" i="5"/>
  <c r="K107" i="5"/>
  <c r="J107" i="5"/>
  <c r="I107" i="5"/>
  <c r="H107" i="5"/>
  <c r="AM106" i="5"/>
  <c r="AL106" i="5"/>
  <c r="AK106" i="5"/>
  <c r="AJ106" i="5"/>
  <c r="AI106" i="5"/>
  <c r="AH106" i="5"/>
  <c r="AG106" i="5"/>
  <c r="AF106" i="5"/>
  <c r="AE106" i="5"/>
  <c r="AD106" i="5"/>
  <c r="AC106" i="5"/>
  <c r="AB106" i="5"/>
  <c r="AA106" i="5"/>
  <c r="Z106" i="5"/>
  <c r="Y106" i="5"/>
  <c r="X106" i="5"/>
  <c r="W106" i="5"/>
  <c r="V106" i="5"/>
  <c r="U106" i="5"/>
  <c r="T106" i="5"/>
  <c r="S106" i="5"/>
  <c r="R106" i="5"/>
  <c r="Q106" i="5"/>
  <c r="P106" i="5"/>
  <c r="O106" i="5"/>
  <c r="N106" i="5"/>
  <c r="M106" i="5"/>
  <c r="L106" i="5"/>
  <c r="K106" i="5"/>
  <c r="J106" i="5"/>
  <c r="I106" i="5"/>
  <c r="H106" i="5"/>
  <c r="AM105" i="5"/>
  <c r="AL105" i="5"/>
  <c r="AK105" i="5"/>
  <c r="AJ105" i="5"/>
  <c r="AI105" i="5"/>
  <c r="AH105" i="5"/>
  <c r="AG105" i="5"/>
  <c r="AF105" i="5"/>
  <c r="AE105" i="5"/>
  <c r="AD105" i="5"/>
  <c r="AC105" i="5"/>
  <c r="AB105" i="5"/>
  <c r="AA105" i="5"/>
  <c r="Z105" i="5"/>
  <c r="Y105" i="5"/>
  <c r="X105" i="5"/>
  <c r="W105" i="5"/>
  <c r="V105" i="5"/>
  <c r="U105" i="5"/>
  <c r="T105" i="5"/>
  <c r="S105" i="5"/>
  <c r="R105" i="5"/>
  <c r="Q105" i="5"/>
  <c r="P105" i="5"/>
  <c r="O105" i="5"/>
  <c r="N105" i="5"/>
  <c r="M105" i="5"/>
  <c r="L105" i="5"/>
  <c r="K105" i="5"/>
  <c r="J105" i="5"/>
  <c r="I105" i="5"/>
  <c r="H105" i="5"/>
  <c r="AM104" i="5"/>
  <c r="AL104" i="5"/>
  <c r="AK104" i="5"/>
  <c r="AJ104" i="5"/>
  <c r="AI104" i="5"/>
  <c r="AH104" i="5"/>
  <c r="AG104" i="5"/>
  <c r="AF104" i="5"/>
  <c r="AE104" i="5"/>
  <c r="AD104" i="5"/>
  <c r="AC104" i="5"/>
  <c r="AB104" i="5"/>
  <c r="AA104" i="5"/>
  <c r="Z104" i="5"/>
  <c r="Y104" i="5"/>
  <c r="X104" i="5"/>
  <c r="W104" i="5"/>
  <c r="V104" i="5"/>
  <c r="U104" i="5"/>
  <c r="T104" i="5"/>
  <c r="S104" i="5"/>
  <c r="R104" i="5"/>
  <c r="Q104" i="5"/>
  <c r="P104" i="5"/>
  <c r="O104" i="5"/>
  <c r="N104" i="5"/>
  <c r="M104" i="5"/>
  <c r="L104" i="5"/>
  <c r="K104" i="5"/>
  <c r="J104" i="5"/>
  <c r="I104" i="5"/>
  <c r="H104" i="5"/>
  <c r="AM103" i="5"/>
  <c r="AL103" i="5"/>
  <c r="AK103" i="5"/>
  <c r="AJ103" i="5"/>
  <c r="AI103" i="5"/>
  <c r="AH103" i="5"/>
  <c r="AG103" i="5"/>
  <c r="AF103" i="5"/>
  <c r="AE103" i="5"/>
  <c r="AD103" i="5"/>
  <c r="AC103" i="5"/>
  <c r="AB103" i="5"/>
  <c r="AA103" i="5"/>
  <c r="Z103" i="5"/>
  <c r="Y103" i="5"/>
  <c r="X103" i="5"/>
  <c r="W103" i="5"/>
  <c r="V103" i="5"/>
  <c r="U103" i="5"/>
  <c r="T103" i="5"/>
  <c r="S103" i="5"/>
  <c r="R103" i="5"/>
  <c r="Q103" i="5"/>
  <c r="P103" i="5"/>
  <c r="O103" i="5"/>
  <c r="N103" i="5"/>
  <c r="M103" i="5"/>
  <c r="L103" i="5"/>
  <c r="K103" i="5"/>
  <c r="J103" i="5"/>
  <c r="I103" i="5"/>
  <c r="H103" i="5"/>
  <c r="AM102" i="5"/>
  <c r="AL102" i="5"/>
  <c r="AK102" i="5"/>
  <c r="AJ102" i="5"/>
  <c r="AI102" i="5"/>
  <c r="AH102" i="5"/>
  <c r="AG102" i="5"/>
  <c r="AF102" i="5"/>
  <c r="AE102" i="5"/>
  <c r="AD102" i="5"/>
  <c r="AC102" i="5"/>
  <c r="AB102" i="5"/>
  <c r="AA102" i="5"/>
  <c r="Z102" i="5"/>
  <c r="Y102" i="5"/>
  <c r="X102" i="5"/>
  <c r="W102" i="5"/>
  <c r="V102" i="5"/>
  <c r="U102" i="5"/>
  <c r="T102" i="5"/>
  <c r="S102" i="5"/>
  <c r="R102" i="5"/>
  <c r="Q102" i="5"/>
  <c r="P102" i="5"/>
  <c r="O102" i="5"/>
  <c r="N102" i="5"/>
  <c r="M102" i="5"/>
  <c r="L102" i="5"/>
  <c r="K102" i="5"/>
  <c r="J102" i="5"/>
  <c r="I102" i="5"/>
  <c r="H102" i="5"/>
  <c r="AM101" i="5"/>
  <c r="AL101" i="5"/>
  <c r="AK101" i="5"/>
  <c r="AJ101" i="5"/>
  <c r="AI101" i="5"/>
  <c r="AH101" i="5"/>
  <c r="AG101" i="5"/>
  <c r="AF101" i="5"/>
  <c r="AE101" i="5"/>
  <c r="AD101" i="5"/>
  <c r="AC101" i="5"/>
  <c r="AB101" i="5"/>
  <c r="AA101" i="5"/>
  <c r="Z101" i="5"/>
  <c r="Y101" i="5"/>
  <c r="X101" i="5"/>
  <c r="W101" i="5"/>
  <c r="V101" i="5"/>
  <c r="U101" i="5"/>
  <c r="T101" i="5"/>
  <c r="S101" i="5"/>
  <c r="R101" i="5"/>
  <c r="Q101" i="5"/>
  <c r="P101" i="5"/>
  <c r="O101" i="5"/>
  <c r="N101" i="5"/>
  <c r="M101" i="5"/>
  <c r="L101" i="5"/>
  <c r="K101" i="5"/>
  <c r="J101" i="5"/>
  <c r="I101" i="5"/>
  <c r="H101" i="5"/>
  <c r="AM100" i="5"/>
  <c r="AL100" i="5"/>
  <c r="AK100" i="5"/>
  <c r="AJ100" i="5"/>
  <c r="AI100" i="5"/>
  <c r="AH100" i="5"/>
  <c r="AG100" i="5"/>
  <c r="AF100" i="5"/>
  <c r="AE100" i="5"/>
  <c r="AD100" i="5"/>
  <c r="AC100" i="5"/>
  <c r="AB100" i="5"/>
  <c r="AA100" i="5"/>
  <c r="Z100" i="5"/>
  <c r="Y100" i="5"/>
  <c r="X100" i="5"/>
  <c r="W100" i="5"/>
  <c r="V100" i="5"/>
  <c r="U100" i="5"/>
  <c r="T100" i="5"/>
  <c r="S100" i="5"/>
  <c r="R100" i="5"/>
  <c r="Q100" i="5"/>
  <c r="P100" i="5"/>
  <c r="O100" i="5"/>
  <c r="N100" i="5"/>
  <c r="M100" i="5"/>
  <c r="L100" i="5"/>
  <c r="K100" i="5"/>
  <c r="J100" i="5"/>
  <c r="I100" i="5"/>
  <c r="H100" i="5"/>
  <c r="AM99" i="5"/>
  <c r="AL99" i="5"/>
  <c r="AK99" i="5"/>
  <c r="AJ99" i="5"/>
  <c r="AI99" i="5"/>
  <c r="AH99" i="5"/>
  <c r="AG99" i="5"/>
  <c r="AF99" i="5"/>
  <c r="AE99" i="5"/>
  <c r="AD99" i="5"/>
  <c r="AC99" i="5"/>
  <c r="AB99" i="5"/>
  <c r="AA99" i="5"/>
  <c r="Z99" i="5"/>
  <c r="Y99" i="5"/>
  <c r="X99" i="5"/>
  <c r="W99" i="5"/>
  <c r="V99" i="5"/>
  <c r="U99" i="5"/>
  <c r="T99" i="5"/>
  <c r="S99" i="5"/>
  <c r="R99" i="5"/>
  <c r="Q99" i="5"/>
  <c r="P99" i="5"/>
  <c r="O99" i="5"/>
  <c r="N99" i="5"/>
  <c r="M99" i="5"/>
  <c r="L99" i="5"/>
  <c r="K99" i="5"/>
  <c r="J99" i="5"/>
  <c r="I99" i="5"/>
  <c r="H99" i="5"/>
  <c r="AM98" i="5"/>
  <c r="AL98" i="5"/>
  <c r="AK98" i="5"/>
  <c r="AJ98" i="5"/>
  <c r="AI98" i="5"/>
  <c r="AH98" i="5"/>
  <c r="AG98" i="5"/>
  <c r="AF98" i="5"/>
  <c r="AE98" i="5"/>
  <c r="AD98" i="5"/>
  <c r="AC98" i="5"/>
  <c r="AB98" i="5"/>
  <c r="AA98" i="5"/>
  <c r="Z98" i="5"/>
  <c r="Y98" i="5"/>
  <c r="X98" i="5"/>
  <c r="W98" i="5"/>
  <c r="V98" i="5"/>
  <c r="U98" i="5"/>
  <c r="T98" i="5"/>
  <c r="S98" i="5"/>
  <c r="R98" i="5"/>
  <c r="Q98" i="5"/>
  <c r="P98" i="5"/>
  <c r="O98" i="5"/>
  <c r="N98" i="5"/>
  <c r="M98" i="5"/>
  <c r="L98" i="5"/>
  <c r="K98" i="5"/>
  <c r="J98" i="5"/>
  <c r="I98" i="5"/>
  <c r="H98" i="5"/>
  <c r="AM97" i="5"/>
  <c r="AL97" i="5"/>
  <c r="AK97" i="5"/>
  <c r="AJ97" i="5"/>
  <c r="AI97" i="5"/>
  <c r="AH97" i="5"/>
  <c r="AG97" i="5"/>
  <c r="AF97" i="5"/>
  <c r="AE97" i="5"/>
  <c r="AD97" i="5"/>
  <c r="AC97" i="5"/>
  <c r="AB97" i="5"/>
  <c r="AA97" i="5"/>
  <c r="Z97" i="5"/>
  <c r="Y97" i="5"/>
  <c r="X97" i="5"/>
  <c r="W97" i="5"/>
  <c r="V97" i="5"/>
  <c r="U97" i="5"/>
  <c r="T97" i="5"/>
  <c r="S97" i="5"/>
  <c r="R97" i="5"/>
  <c r="Q97" i="5"/>
  <c r="P97" i="5"/>
  <c r="O97" i="5"/>
  <c r="N97" i="5"/>
  <c r="M97" i="5"/>
  <c r="L97" i="5"/>
  <c r="K97" i="5"/>
  <c r="J97" i="5"/>
  <c r="I97" i="5"/>
  <c r="H97" i="5"/>
  <c r="AM96" i="5"/>
  <c r="AL96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A95" i="5"/>
  <c r="Z95" i="5"/>
  <c r="Y95" i="5"/>
  <c r="X95" i="5"/>
  <c r="W95" i="5"/>
  <c r="V95" i="5"/>
  <c r="U95" i="5"/>
  <c r="T95" i="5"/>
  <c r="S95" i="5"/>
  <c r="R95" i="5"/>
  <c r="Q95" i="5"/>
  <c r="P95" i="5"/>
  <c r="O95" i="5"/>
  <c r="N95" i="5"/>
  <c r="M95" i="5"/>
  <c r="L95" i="5"/>
  <c r="K95" i="5"/>
  <c r="J95" i="5"/>
  <c r="I95" i="5"/>
  <c r="H95" i="5"/>
  <c r="AM94" i="5"/>
  <c r="AL94" i="5"/>
  <c r="AK94" i="5"/>
  <c r="AJ94" i="5"/>
  <c r="AI94" i="5"/>
  <c r="AH94" i="5"/>
  <c r="AG94" i="5"/>
  <c r="AF94" i="5"/>
  <c r="AE94" i="5"/>
  <c r="AD94" i="5"/>
  <c r="AC94" i="5"/>
  <c r="AB94" i="5"/>
  <c r="AA94" i="5"/>
  <c r="Z94" i="5"/>
  <c r="Y94" i="5"/>
  <c r="X94" i="5"/>
  <c r="W94" i="5"/>
  <c r="V94" i="5"/>
  <c r="U94" i="5"/>
  <c r="T94" i="5"/>
  <c r="S94" i="5"/>
  <c r="R94" i="5"/>
  <c r="Q94" i="5"/>
  <c r="P94" i="5"/>
  <c r="O94" i="5"/>
  <c r="N94" i="5"/>
  <c r="M94" i="5"/>
  <c r="L94" i="5"/>
  <c r="K94" i="5"/>
  <c r="J94" i="5"/>
  <c r="I94" i="5"/>
  <c r="H94" i="5"/>
  <c r="AM93" i="5"/>
  <c r="AL93" i="5"/>
  <c r="AK93" i="5"/>
  <c r="AJ93" i="5"/>
  <c r="AI93" i="5"/>
  <c r="AH93" i="5"/>
  <c r="AG93" i="5"/>
  <c r="AF93" i="5"/>
  <c r="AE93" i="5"/>
  <c r="AD93" i="5"/>
  <c r="AC93" i="5"/>
  <c r="AB93" i="5"/>
  <c r="AA93" i="5"/>
  <c r="Z93" i="5"/>
  <c r="Y93" i="5"/>
  <c r="X93" i="5"/>
  <c r="W93" i="5"/>
  <c r="V93" i="5"/>
  <c r="U93" i="5"/>
  <c r="T93" i="5"/>
  <c r="S93" i="5"/>
  <c r="R93" i="5"/>
  <c r="Q93" i="5"/>
  <c r="P93" i="5"/>
  <c r="O93" i="5"/>
  <c r="N93" i="5"/>
  <c r="M93" i="5"/>
  <c r="L93" i="5"/>
  <c r="K93" i="5"/>
  <c r="J93" i="5"/>
  <c r="I93" i="5"/>
  <c r="H93" i="5"/>
  <c r="AM92" i="5"/>
  <c r="AL92" i="5"/>
  <c r="AK92" i="5"/>
  <c r="AJ92" i="5"/>
  <c r="AI92" i="5"/>
  <c r="AH92" i="5"/>
  <c r="AG92" i="5"/>
  <c r="AF92" i="5"/>
  <c r="AE92" i="5"/>
  <c r="AD92" i="5"/>
  <c r="AC92" i="5"/>
  <c r="AB92" i="5"/>
  <c r="AA92" i="5"/>
  <c r="Z92" i="5"/>
  <c r="Y92" i="5"/>
  <c r="X92" i="5"/>
  <c r="W92" i="5"/>
  <c r="V92" i="5"/>
  <c r="U92" i="5"/>
  <c r="T92" i="5"/>
  <c r="S92" i="5"/>
  <c r="R92" i="5"/>
  <c r="Q92" i="5"/>
  <c r="P92" i="5"/>
  <c r="O92" i="5"/>
  <c r="N92" i="5"/>
  <c r="M92" i="5"/>
  <c r="L92" i="5"/>
  <c r="K92" i="5"/>
  <c r="J92" i="5"/>
  <c r="I92" i="5"/>
  <c r="H92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A91" i="5"/>
  <c r="Z91" i="5"/>
  <c r="Y91" i="5"/>
  <c r="X91" i="5"/>
  <c r="W91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AM90" i="5"/>
  <c r="AL90" i="5"/>
  <c r="AK90" i="5"/>
  <c r="AJ90" i="5"/>
  <c r="AI90" i="5"/>
  <c r="AH90" i="5"/>
  <c r="AG90" i="5"/>
  <c r="AF90" i="5"/>
  <c r="AE90" i="5"/>
  <c r="AD90" i="5"/>
  <c r="AC90" i="5"/>
  <c r="AB90" i="5"/>
  <c r="AA90" i="5"/>
  <c r="Z90" i="5"/>
  <c r="Y90" i="5"/>
  <c r="X90" i="5"/>
  <c r="W90" i="5"/>
  <c r="V90" i="5"/>
  <c r="U90" i="5"/>
  <c r="T90" i="5"/>
  <c r="S90" i="5"/>
  <c r="R90" i="5"/>
  <c r="Q90" i="5"/>
  <c r="P90" i="5"/>
  <c r="O90" i="5"/>
  <c r="N90" i="5"/>
  <c r="M90" i="5"/>
  <c r="L90" i="5"/>
  <c r="K90" i="5"/>
  <c r="J90" i="5"/>
  <c r="I90" i="5"/>
  <c r="H90" i="5"/>
  <c r="AM89" i="5"/>
  <c r="AL89" i="5"/>
  <c r="AK89" i="5"/>
  <c r="AJ89" i="5"/>
  <c r="AI89" i="5"/>
  <c r="AH89" i="5"/>
  <c r="AG89" i="5"/>
  <c r="AF89" i="5"/>
  <c r="AE89" i="5"/>
  <c r="AD89" i="5"/>
  <c r="AC89" i="5"/>
  <c r="AB89" i="5"/>
  <c r="AA89" i="5"/>
  <c r="Z89" i="5"/>
  <c r="Y89" i="5"/>
  <c r="X89" i="5"/>
  <c r="W89" i="5"/>
  <c r="V89" i="5"/>
  <c r="U89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AM88" i="5"/>
  <c r="AL88" i="5"/>
  <c r="AK88" i="5"/>
  <c r="AJ88" i="5"/>
  <c r="AI88" i="5"/>
  <c r="AH88" i="5"/>
  <c r="AG88" i="5"/>
  <c r="AF88" i="5"/>
  <c r="AE88" i="5"/>
  <c r="AD88" i="5"/>
  <c r="AC88" i="5"/>
  <c r="AB88" i="5"/>
  <c r="AA88" i="5"/>
  <c r="Z88" i="5"/>
  <c r="Y88" i="5"/>
  <c r="X88" i="5"/>
  <c r="W88" i="5"/>
  <c r="V88" i="5"/>
  <c r="U88" i="5"/>
  <c r="T88" i="5"/>
  <c r="S88" i="5"/>
  <c r="R88" i="5"/>
  <c r="Q88" i="5"/>
  <c r="P88" i="5"/>
  <c r="O88" i="5"/>
  <c r="N88" i="5"/>
  <c r="M88" i="5"/>
  <c r="L88" i="5"/>
  <c r="K88" i="5"/>
  <c r="J88" i="5"/>
  <c r="I88" i="5"/>
  <c r="H88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A87" i="5"/>
  <c r="Z87" i="5"/>
  <c r="Y87" i="5"/>
  <c r="X87" i="5"/>
  <c r="W87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AM86" i="5"/>
  <c r="AL86" i="5"/>
  <c r="AK86" i="5"/>
  <c r="AJ86" i="5"/>
  <c r="AI86" i="5"/>
  <c r="AH86" i="5"/>
  <c r="AG86" i="5"/>
  <c r="AF86" i="5"/>
  <c r="AE86" i="5"/>
  <c r="AD86" i="5"/>
  <c r="AC86" i="5"/>
  <c r="AB86" i="5"/>
  <c r="AA86" i="5"/>
  <c r="Z86" i="5"/>
  <c r="Y86" i="5"/>
  <c r="X86" i="5"/>
  <c r="W86" i="5"/>
  <c r="V86" i="5"/>
  <c r="U86" i="5"/>
  <c r="T86" i="5"/>
  <c r="S86" i="5"/>
  <c r="R86" i="5"/>
  <c r="Q86" i="5"/>
  <c r="P86" i="5"/>
  <c r="O86" i="5"/>
  <c r="N86" i="5"/>
  <c r="M86" i="5"/>
  <c r="L86" i="5"/>
  <c r="K86" i="5"/>
  <c r="J86" i="5"/>
  <c r="I86" i="5"/>
  <c r="H86" i="5"/>
  <c r="H109" i="3"/>
  <c r="H86" i="3"/>
  <c r="H86" i="6"/>
  <c r="H86" i="7"/>
  <c r="AM109" i="8"/>
  <c r="AL109" i="8"/>
  <c r="AK109" i="8"/>
  <c r="AJ109" i="8"/>
  <c r="AI109" i="8"/>
  <c r="AH109" i="8"/>
  <c r="AG109" i="8"/>
  <c r="AF109" i="8"/>
  <c r="AE109" i="8"/>
  <c r="AD109" i="8"/>
  <c r="AC109" i="8"/>
  <c r="AB109" i="8"/>
  <c r="AA109" i="8"/>
  <c r="Z109" i="8"/>
  <c r="Y109" i="8"/>
  <c r="X109" i="8"/>
  <c r="W109" i="8"/>
  <c r="V109" i="8"/>
  <c r="U109" i="8"/>
  <c r="T109" i="8"/>
  <c r="S109" i="8"/>
  <c r="R109" i="8"/>
  <c r="Q109" i="8"/>
  <c r="P109" i="8"/>
  <c r="O109" i="8"/>
  <c r="N109" i="8"/>
  <c r="M109" i="8"/>
  <c r="L109" i="8"/>
  <c r="K109" i="8"/>
  <c r="J109" i="8"/>
  <c r="I109" i="8"/>
  <c r="H109" i="8"/>
  <c r="AM108" i="8"/>
  <c r="AL108" i="8"/>
  <c r="AK108" i="8"/>
  <c r="AJ108" i="8"/>
  <c r="AI108" i="8"/>
  <c r="AH108" i="8"/>
  <c r="AG108" i="8"/>
  <c r="AF108" i="8"/>
  <c r="AE108" i="8"/>
  <c r="AD108" i="8"/>
  <c r="AC108" i="8"/>
  <c r="AB108" i="8"/>
  <c r="AA108" i="8"/>
  <c r="Z108" i="8"/>
  <c r="Y108" i="8"/>
  <c r="X108" i="8"/>
  <c r="W108" i="8"/>
  <c r="V108" i="8"/>
  <c r="U108" i="8"/>
  <c r="T108" i="8"/>
  <c r="S108" i="8"/>
  <c r="R108" i="8"/>
  <c r="Q108" i="8"/>
  <c r="P108" i="8"/>
  <c r="O108" i="8"/>
  <c r="N108" i="8"/>
  <c r="M108" i="8"/>
  <c r="L108" i="8"/>
  <c r="K108" i="8"/>
  <c r="J108" i="8"/>
  <c r="I108" i="8"/>
  <c r="H108" i="8"/>
  <c r="AM107" i="8"/>
  <c r="AL107" i="8"/>
  <c r="AK107" i="8"/>
  <c r="AJ107" i="8"/>
  <c r="AI107" i="8"/>
  <c r="AH107" i="8"/>
  <c r="AG107" i="8"/>
  <c r="AF107" i="8"/>
  <c r="AE107" i="8"/>
  <c r="AD107" i="8"/>
  <c r="AC107" i="8"/>
  <c r="AB107" i="8"/>
  <c r="AA107" i="8"/>
  <c r="Z107" i="8"/>
  <c r="Y107" i="8"/>
  <c r="X107" i="8"/>
  <c r="W107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AM106" i="8"/>
  <c r="AL106" i="8"/>
  <c r="AK106" i="8"/>
  <c r="AJ106" i="8"/>
  <c r="AI106" i="8"/>
  <c r="AH106" i="8"/>
  <c r="AG106" i="8"/>
  <c r="AF106" i="8"/>
  <c r="AE106" i="8"/>
  <c r="AD106" i="8"/>
  <c r="AC106" i="8"/>
  <c r="AB106" i="8"/>
  <c r="AA106" i="8"/>
  <c r="Z106" i="8"/>
  <c r="Y106" i="8"/>
  <c r="X106" i="8"/>
  <c r="W106" i="8"/>
  <c r="V106" i="8"/>
  <c r="U106" i="8"/>
  <c r="T106" i="8"/>
  <c r="S106" i="8"/>
  <c r="R106" i="8"/>
  <c r="Q106" i="8"/>
  <c r="P106" i="8"/>
  <c r="O106" i="8"/>
  <c r="N106" i="8"/>
  <c r="M106" i="8"/>
  <c r="L106" i="8"/>
  <c r="K106" i="8"/>
  <c r="J106" i="8"/>
  <c r="I106" i="8"/>
  <c r="H106" i="8"/>
  <c r="AM105" i="8"/>
  <c r="AL105" i="8"/>
  <c r="AK105" i="8"/>
  <c r="AJ105" i="8"/>
  <c r="AI105" i="8"/>
  <c r="AH105" i="8"/>
  <c r="AG105" i="8"/>
  <c r="AF105" i="8"/>
  <c r="AE105" i="8"/>
  <c r="AD105" i="8"/>
  <c r="AC105" i="8"/>
  <c r="AB105" i="8"/>
  <c r="AA105" i="8"/>
  <c r="Z105" i="8"/>
  <c r="Y105" i="8"/>
  <c r="X105" i="8"/>
  <c r="W105" i="8"/>
  <c r="V105" i="8"/>
  <c r="U105" i="8"/>
  <c r="T105" i="8"/>
  <c r="S105" i="8"/>
  <c r="R105" i="8"/>
  <c r="Q105" i="8"/>
  <c r="P105" i="8"/>
  <c r="O105" i="8"/>
  <c r="N105" i="8"/>
  <c r="M105" i="8"/>
  <c r="L105" i="8"/>
  <c r="K105" i="8"/>
  <c r="J105" i="8"/>
  <c r="I105" i="8"/>
  <c r="H105" i="8"/>
  <c r="AM104" i="8"/>
  <c r="AL104" i="8"/>
  <c r="AK104" i="8"/>
  <c r="AJ104" i="8"/>
  <c r="AI104" i="8"/>
  <c r="AH104" i="8"/>
  <c r="AG104" i="8"/>
  <c r="AF104" i="8"/>
  <c r="AE104" i="8"/>
  <c r="AD104" i="8"/>
  <c r="AC104" i="8"/>
  <c r="AB104" i="8"/>
  <c r="AA104" i="8"/>
  <c r="Z104" i="8"/>
  <c r="Y104" i="8"/>
  <c r="X104" i="8"/>
  <c r="W104" i="8"/>
  <c r="V104" i="8"/>
  <c r="U104" i="8"/>
  <c r="T104" i="8"/>
  <c r="S104" i="8"/>
  <c r="R104" i="8"/>
  <c r="Q104" i="8"/>
  <c r="P104" i="8"/>
  <c r="O104" i="8"/>
  <c r="N104" i="8"/>
  <c r="M104" i="8"/>
  <c r="L104" i="8"/>
  <c r="K104" i="8"/>
  <c r="J104" i="8"/>
  <c r="I104" i="8"/>
  <c r="H104" i="8"/>
  <c r="AM103" i="8"/>
  <c r="AL103" i="8"/>
  <c r="AK103" i="8"/>
  <c r="AJ103" i="8"/>
  <c r="AI103" i="8"/>
  <c r="AH103" i="8"/>
  <c r="AG103" i="8"/>
  <c r="AF103" i="8"/>
  <c r="AE103" i="8"/>
  <c r="AD103" i="8"/>
  <c r="AC103" i="8"/>
  <c r="AB103" i="8"/>
  <c r="AA103" i="8"/>
  <c r="Z103" i="8"/>
  <c r="Y103" i="8"/>
  <c r="X103" i="8"/>
  <c r="W103" i="8"/>
  <c r="V103" i="8"/>
  <c r="U103" i="8"/>
  <c r="T103" i="8"/>
  <c r="S103" i="8"/>
  <c r="R103" i="8"/>
  <c r="Q103" i="8"/>
  <c r="P103" i="8"/>
  <c r="O103" i="8"/>
  <c r="N103" i="8"/>
  <c r="M103" i="8"/>
  <c r="L103" i="8"/>
  <c r="K103" i="8"/>
  <c r="J103" i="8"/>
  <c r="I103" i="8"/>
  <c r="H103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AM101" i="8"/>
  <c r="AL101" i="8"/>
  <c r="AK101" i="8"/>
  <c r="AJ101" i="8"/>
  <c r="AI101" i="8"/>
  <c r="AH101" i="8"/>
  <c r="AG101" i="8"/>
  <c r="AF101" i="8"/>
  <c r="AE101" i="8"/>
  <c r="AD101" i="8"/>
  <c r="AC101" i="8"/>
  <c r="AB101" i="8"/>
  <c r="AA101" i="8"/>
  <c r="Z101" i="8"/>
  <c r="Y101" i="8"/>
  <c r="X101" i="8"/>
  <c r="W101" i="8"/>
  <c r="V101" i="8"/>
  <c r="U101" i="8"/>
  <c r="T101" i="8"/>
  <c r="S101" i="8"/>
  <c r="R101" i="8"/>
  <c r="Q101" i="8"/>
  <c r="P101" i="8"/>
  <c r="O101" i="8"/>
  <c r="N101" i="8"/>
  <c r="M101" i="8"/>
  <c r="L101" i="8"/>
  <c r="K101" i="8"/>
  <c r="J101" i="8"/>
  <c r="I101" i="8"/>
  <c r="H101" i="8"/>
  <c r="AM100" i="8"/>
  <c r="AL100" i="8"/>
  <c r="AK100" i="8"/>
  <c r="AJ100" i="8"/>
  <c r="AI100" i="8"/>
  <c r="AH100" i="8"/>
  <c r="AG100" i="8"/>
  <c r="AF100" i="8"/>
  <c r="AE100" i="8"/>
  <c r="AD100" i="8"/>
  <c r="AC100" i="8"/>
  <c r="AB100" i="8"/>
  <c r="AA100" i="8"/>
  <c r="Z100" i="8"/>
  <c r="Y100" i="8"/>
  <c r="X100" i="8"/>
  <c r="W100" i="8"/>
  <c r="V100" i="8"/>
  <c r="U100" i="8"/>
  <c r="T100" i="8"/>
  <c r="S100" i="8"/>
  <c r="R100" i="8"/>
  <c r="Q100" i="8"/>
  <c r="P100" i="8"/>
  <c r="O100" i="8"/>
  <c r="N100" i="8"/>
  <c r="M100" i="8"/>
  <c r="L100" i="8"/>
  <c r="K100" i="8"/>
  <c r="J100" i="8"/>
  <c r="I100" i="8"/>
  <c r="H100" i="8"/>
  <c r="AM99" i="8"/>
  <c r="AL99" i="8"/>
  <c r="AK99" i="8"/>
  <c r="AJ99" i="8"/>
  <c r="AI99" i="8"/>
  <c r="AH99" i="8"/>
  <c r="AG99" i="8"/>
  <c r="AF99" i="8"/>
  <c r="AE99" i="8"/>
  <c r="AD99" i="8"/>
  <c r="AC99" i="8"/>
  <c r="AB99" i="8"/>
  <c r="AA99" i="8"/>
  <c r="Z99" i="8"/>
  <c r="Y99" i="8"/>
  <c r="X99" i="8"/>
  <c r="W99" i="8"/>
  <c r="V99" i="8"/>
  <c r="U99" i="8"/>
  <c r="T99" i="8"/>
  <c r="S99" i="8"/>
  <c r="R99" i="8"/>
  <c r="Q99" i="8"/>
  <c r="P99" i="8"/>
  <c r="O99" i="8"/>
  <c r="N99" i="8"/>
  <c r="M99" i="8"/>
  <c r="L99" i="8"/>
  <c r="K99" i="8"/>
  <c r="J99" i="8"/>
  <c r="I99" i="8"/>
  <c r="H99" i="8"/>
  <c r="AM98" i="8"/>
  <c r="AL98" i="8"/>
  <c r="AK98" i="8"/>
  <c r="AJ98" i="8"/>
  <c r="AI98" i="8"/>
  <c r="AH98" i="8"/>
  <c r="AG98" i="8"/>
  <c r="AF98" i="8"/>
  <c r="AE98" i="8"/>
  <c r="AD98" i="8"/>
  <c r="AC98" i="8"/>
  <c r="AB98" i="8"/>
  <c r="AA98" i="8"/>
  <c r="Z98" i="8"/>
  <c r="Y98" i="8"/>
  <c r="X98" i="8"/>
  <c r="W98" i="8"/>
  <c r="V98" i="8"/>
  <c r="U98" i="8"/>
  <c r="T98" i="8"/>
  <c r="S98" i="8"/>
  <c r="R98" i="8"/>
  <c r="Q98" i="8"/>
  <c r="P98" i="8"/>
  <c r="O98" i="8"/>
  <c r="N98" i="8"/>
  <c r="M98" i="8"/>
  <c r="L98" i="8"/>
  <c r="K98" i="8"/>
  <c r="J98" i="8"/>
  <c r="I98" i="8"/>
  <c r="H98" i="8"/>
  <c r="AM97" i="8"/>
  <c r="AL97" i="8"/>
  <c r="AK97" i="8"/>
  <c r="AJ97" i="8"/>
  <c r="AI97" i="8"/>
  <c r="AH97" i="8"/>
  <c r="AG97" i="8"/>
  <c r="AF97" i="8"/>
  <c r="AE97" i="8"/>
  <c r="AD97" i="8"/>
  <c r="AC97" i="8"/>
  <c r="AB97" i="8"/>
  <c r="AA97" i="8"/>
  <c r="Z97" i="8"/>
  <c r="Y97" i="8"/>
  <c r="X97" i="8"/>
  <c r="W97" i="8"/>
  <c r="V97" i="8"/>
  <c r="U97" i="8"/>
  <c r="T97" i="8"/>
  <c r="S97" i="8"/>
  <c r="R97" i="8"/>
  <c r="Q97" i="8"/>
  <c r="P97" i="8"/>
  <c r="O97" i="8"/>
  <c r="N97" i="8"/>
  <c r="M97" i="8"/>
  <c r="L97" i="8"/>
  <c r="K97" i="8"/>
  <c r="J97" i="8"/>
  <c r="I97" i="8"/>
  <c r="H97" i="8"/>
  <c r="AM96" i="8"/>
  <c r="AL96" i="8"/>
  <c r="AK96" i="8"/>
  <c r="AJ96" i="8"/>
  <c r="AI96" i="8"/>
  <c r="AH96" i="8"/>
  <c r="AG96" i="8"/>
  <c r="AF96" i="8"/>
  <c r="AE96" i="8"/>
  <c r="AD96" i="8"/>
  <c r="AC96" i="8"/>
  <c r="AB96" i="8"/>
  <c r="AA96" i="8"/>
  <c r="Z96" i="8"/>
  <c r="Y96" i="8"/>
  <c r="X96" i="8"/>
  <c r="W96" i="8"/>
  <c r="V96" i="8"/>
  <c r="U96" i="8"/>
  <c r="T96" i="8"/>
  <c r="S96" i="8"/>
  <c r="R96" i="8"/>
  <c r="Q96" i="8"/>
  <c r="P96" i="8"/>
  <c r="O96" i="8"/>
  <c r="N96" i="8"/>
  <c r="M96" i="8"/>
  <c r="L96" i="8"/>
  <c r="K96" i="8"/>
  <c r="J96" i="8"/>
  <c r="I96" i="8"/>
  <c r="H96" i="8"/>
  <c r="AM95" i="8"/>
  <c r="AL95" i="8"/>
  <c r="AK95" i="8"/>
  <c r="AJ95" i="8"/>
  <c r="AI95" i="8"/>
  <c r="AH95" i="8"/>
  <c r="AG95" i="8"/>
  <c r="AF95" i="8"/>
  <c r="AE95" i="8"/>
  <c r="AD95" i="8"/>
  <c r="AC95" i="8"/>
  <c r="AB95" i="8"/>
  <c r="AA95" i="8"/>
  <c r="Z95" i="8"/>
  <c r="Y95" i="8"/>
  <c r="X95" i="8"/>
  <c r="W95" i="8"/>
  <c r="V95" i="8"/>
  <c r="U95" i="8"/>
  <c r="T95" i="8"/>
  <c r="S95" i="8"/>
  <c r="R95" i="8"/>
  <c r="Q95" i="8"/>
  <c r="P95" i="8"/>
  <c r="O95" i="8"/>
  <c r="N95" i="8"/>
  <c r="M95" i="8"/>
  <c r="L95" i="8"/>
  <c r="K95" i="8"/>
  <c r="J95" i="8"/>
  <c r="I95" i="8"/>
  <c r="H95" i="8"/>
  <c r="AM94" i="8"/>
  <c r="AL94" i="8"/>
  <c r="AK94" i="8"/>
  <c r="AJ94" i="8"/>
  <c r="AI94" i="8"/>
  <c r="AH94" i="8"/>
  <c r="AG94" i="8"/>
  <c r="AF94" i="8"/>
  <c r="AE94" i="8"/>
  <c r="AD94" i="8"/>
  <c r="AC94" i="8"/>
  <c r="AB94" i="8"/>
  <c r="AA94" i="8"/>
  <c r="Z94" i="8"/>
  <c r="Y94" i="8"/>
  <c r="X94" i="8"/>
  <c r="W94" i="8"/>
  <c r="V94" i="8"/>
  <c r="U94" i="8"/>
  <c r="T94" i="8"/>
  <c r="S94" i="8"/>
  <c r="R94" i="8"/>
  <c r="Q94" i="8"/>
  <c r="P94" i="8"/>
  <c r="O94" i="8"/>
  <c r="N94" i="8"/>
  <c r="M94" i="8"/>
  <c r="L94" i="8"/>
  <c r="K94" i="8"/>
  <c r="J94" i="8"/>
  <c r="I94" i="8"/>
  <c r="H94" i="8"/>
  <c r="AM93" i="8"/>
  <c r="AL93" i="8"/>
  <c r="AK93" i="8"/>
  <c r="AJ93" i="8"/>
  <c r="AI93" i="8"/>
  <c r="AH93" i="8"/>
  <c r="AG93" i="8"/>
  <c r="AF93" i="8"/>
  <c r="AE93" i="8"/>
  <c r="AD93" i="8"/>
  <c r="AC93" i="8"/>
  <c r="AB93" i="8"/>
  <c r="AA93" i="8"/>
  <c r="Z93" i="8"/>
  <c r="Y93" i="8"/>
  <c r="X93" i="8"/>
  <c r="W93" i="8"/>
  <c r="V93" i="8"/>
  <c r="U93" i="8"/>
  <c r="T93" i="8"/>
  <c r="S93" i="8"/>
  <c r="R93" i="8"/>
  <c r="Q93" i="8"/>
  <c r="P93" i="8"/>
  <c r="O93" i="8"/>
  <c r="N93" i="8"/>
  <c r="M93" i="8"/>
  <c r="L93" i="8"/>
  <c r="K93" i="8"/>
  <c r="J93" i="8"/>
  <c r="I93" i="8"/>
  <c r="H93" i="8"/>
  <c r="AM92" i="8"/>
  <c r="AL92" i="8"/>
  <c r="AK92" i="8"/>
  <c r="AJ92" i="8"/>
  <c r="AI92" i="8"/>
  <c r="AH92" i="8"/>
  <c r="AG92" i="8"/>
  <c r="AF92" i="8"/>
  <c r="AE92" i="8"/>
  <c r="AD92" i="8"/>
  <c r="AC92" i="8"/>
  <c r="AB92" i="8"/>
  <c r="AA92" i="8"/>
  <c r="Z92" i="8"/>
  <c r="Y92" i="8"/>
  <c r="X92" i="8"/>
  <c r="W92" i="8"/>
  <c r="V92" i="8"/>
  <c r="U92" i="8"/>
  <c r="T92" i="8"/>
  <c r="S92" i="8"/>
  <c r="R92" i="8"/>
  <c r="Q92" i="8"/>
  <c r="P92" i="8"/>
  <c r="O92" i="8"/>
  <c r="N92" i="8"/>
  <c r="M92" i="8"/>
  <c r="L92" i="8"/>
  <c r="K92" i="8"/>
  <c r="J92" i="8"/>
  <c r="I92" i="8"/>
  <c r="H92" i="8"/>
  <c r="AM91" i="8"/>
  <c r="AL91" i="8"/>
  <c r="AK91" i="8"/>
  <c r="AJ91" i="8"/>
  <c r="AI91" i="8"/>
  <c r="AH91" i="8"/>
  <c r="AG91" i="8"/>
  <c r="AF91" i="8"/>
  <c r="AE91" i="8"/>
  <c r="AD91" i="8"/>
  <c r="AC91" i="8"/>
  <c r="AB91" i="8"/>
  <c r="AA91" i="8"/>
  <c r="Z91" i="8"/>
  <c r="Y91" i="8"/>
  <c r="X91" i="8"/>
  <c r="W91" i="8"/>
  <c r="V91" i="8"/>
  <c r="U91" i="8"/>
  <c r="T91" i="8"/>
  <c r="S91" i="8"/>
  <c r="R91" i="8"/>
  <c r="Q91" i="8"/>
  <c r="P91" i="8"/>
  <c r="O91" i="8"/>
  <c r="N91" i="8"/>
  <c r="M91" i="8"/>
  <c r="L91" i="8"/>
  <c r="K91" i="8"/>
  <c r="J91" i="8"/>
  <c r="I91" i="8"/>
  <c r="H91" i="8"/>
  <c r="AM90" i="8"/>
  <c r="AL90" i="8"/>
  <c r="AK90" i="8"/>
  <c r="AJ90" i="8"/>
  <c r="AI90" i="8"/>
  <c r="AH90" i="8"/>
  <c r="AG90" i="8"/>
  <c r="AF90" i="8"/>
  <c r="AE90" i="8"/>
  <c r="AD90" i="8"/>
  <c r="AC90" i="8"/>
  <c r="AB90" i="8"/>
  <c r="AA90" i="8"/>
  <c r="Z90" i="8"/>
  <c r="Y90" i="8"/>
  <c r="X90" i="8"/>
  <c r="W90" i="8"/>
  <c r="V90" i="8"/>
  <c r="U90" i="8"/>
  <c r="T90" i="8"/>
  <c r="S90" i="8"/>
  <c r="R90" i="8"/>
  <c r="Q90" i="8"/>
  <c r="P90" i="8"/>
  <c r="O90" i="8"/>
  <c r="N90" i="8"/>
  <c r="M90" i="8"/>
  <c r="L90" i="8"/>
  <c r="K90" i="8"/>
  <c r="J90" i="8"/>
  <c r="I90" i="8"/>
  <c r="H90" i="8"/>
  <c r="AM89" i="8"/>
  <c r="AL89" i="8"/>
  <c r="AK89" i="8"/>
  <c r="AJ89" i="8"/>
  <c r="AI89" i="8"/>
  <c r="AH89" i="8"/>
  <c r="AG89" i="8"/>
  <c r="AF89" i="8"/>
  <c r="AE89" i="8"/>
  <c r="AD89" i="8"/>
  <c r="AC89" i="8"/>
  <c r="AB89" i="8"/>
  <c r="AA89" i="8"/>
  <c r="Z89" i="8"/>
  <c r="Y89" i="8"/>
  <c r="X89" i="8"/>
  <c r="W89" i="8"/>
  <c r="V89" i="8"/>
  <c r="U89" i="8"/>
  <c r="T89" i="8"/>
  <c r="S89" i="8"/>
  <c r="R89" i="8"/>
  <c r="Q89" i="8"/>
  <c r="P89" i="8"/>
  <c r="O89" i="8"/>
  <c r="N89" i="8"/>
  <c r="M89" i="8"/>
  <c r="L89" i="8"/>
  <c r="K89" i="8"/>
  <c r="J89" i="8"/>
  <c r="I89" i="8"/>
  <c r="H89" i="8"/>
  <c r="AM88" i="8"/>
  <c r="AL88" i="8"/>
  <c r="AK88" i="8"/>
  <c r="AJ88" i="8"/>
  <c r="AI88" i="8"/>
  <c r="AH88" i="8"/>
  <c r="AG88" i="8"/>
  <c r="AF88" i="8"/>
  <c r="AE88" i="8"/>
  <c r="AD88" i="8"/>
  <c r="AC88" i="8"/>
  <c r="AB88" i="8"/>
  <c r="AA88" i="8"/>
  <c r="Z88" i="8"/>
  <c r="Y88" i="8"/>
  <c r="X88" i="8"/>
  <c r="W88" i="8"/>
  <c r="V88" i="8"/>
  <c r="U88" i="8"/>
  <c r="T88" i="8"/>
  <c r="S88" i="8"/>
  <c r="R88" i="8"/>
  <c r="Q88" i="8"/>
  <c r="P88" i="8"/>
  <c r="O88" i="8"/>
  <c r="N88" i="8"/>
  <c r="M88" i="8"/>
  <c r="L88" i="8"/>
  <c r="K88" i="8"/>
  <c r="J88" i="8"/>
  <c r="I88" i="8"/>
  <c r="H88" i="8"/>
  <c r="AM87" i="8"/>
  <c r="AL87" i="8"/>
  <c r="AK87" i="8"/>
  <c r="AJ87" i="8"/>
  <c r="AI87" i="8"/>
  <c r="AH87" i="8"/>
  <c r="AG87" i="8"/>
  <c r="AF87" i="8"/>
  <c r="AE87" i="8"/>
  <c r="AD87" i="8"/>
  <c r="AC87" i="8"/>
  <c r="AB87" i="8"/>
  <c r="AA87" i="8"/>
  <c r="Z87" i="8"/>
  <c r="Y87" i="8"/>
  <c r="X87" i="8"/>
  <c r="W87" i="8"/>
  <c r="V87" i="8"/>
  <c r="U87" i="8"/>
  <c r="T87" i="8"/>
  <c r="S87" i="8"/>
  <c r="R87" i="8"/>
  <c r="Q87" i="8"/>
  <c r="P87" i="8"/>
  <c r="O87" i="8"/>
  <c r="N87" i="8"/>
  <c r="M87" i="8"/>
  <c r="L87" i="8"/>
  <c r="K87" i="8"/>
  <c r="J87" i="8"/>
  <c r="I87" i="8"/>
  <c r="H87" i="8"/>
  <c r="AM86" i="8"/>
  <c r="AL86" i="8"/>
  <c r="AK86" i="8"/>
  <c r="AJ86" i="8"/>
  <c r="AI86" i="8"/>
  <c r="AH86" i="8"/>
  <c r="AG86" i="8"/>
  <c r="AF86" i="8"/>
  <c r="AE86" i="8"/>
  <c r="AD86" i="8"/>
  <c r="AC86" i="8"/>
  <c r="AB86" i="8"/>
  <c r="AA86" i="8"/>
  <c r="Z86" i="8"/>
  <c r="Y86" i="8"/>
  <c r="X86" i="8"/>
  <c r="W86" i="8"/>
  <c r="V86" i="8"/>
  <c r="U86" i="8"/>
  <c r="T86" i="8"/>
  <c r="S86" i="8"/>
  <c r="R86" i="8"/>
  <c r="Q86" i="8"/>
  <c r="P86" i="8"/>
  <c r="O86" i="8"/>
  <c r="N86" i="8"/>
  <c r="M86" i="8"/>
  <c r="L86" i="8"/>
  <c r="K86" i="8"/>
  <c r="J86" i="8"/>
  <c r="I86" i="8"/>
  <c r="H86" i="8"/>
  <c r="AM109" i="7"/>
  <c r="AL109" i="7"/>
  <c r="AK109" i="7"/>
  <c r="AJ109" i="7"/>
  <c r="AI109" i="7"/>
  <c r="AH109" i="7"/>
  <c r="AG109" i="7"/>
  <c r="AF109" i="7"/>
  <c r="AE109" i="7"/>
  <c r="AD109" i="7"/>
  <c r="AC109" i="7"/>
  <c r="AB109" i="7"/>
  <c r="AA109" i="7"/>
  <c r="Z109" i="7"/>
  <c r="Y109" i="7"/>
  <c r="X109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AM108" i="7"/>
  <c r="AL108" i="7"/>
  <c r="AK108" i="7"/>
  <c r="AJ108" i="7"/>
  <c r="AI108" i="7"/>
  <c r="AH108" i="7"/>
  <c r="AG108" i="7"/>
  <c r="AF108" i="7"/>
  <c r="AE108" i="7"/>
  <c r="AD108" i="7"/>
  <c r="AC108" i="7"/>
  <c r="AB108" i="7"/>
  <c r="AA108" i="7"/>
  <c r="Z108" i="7"/>
  <c r="Y108" i="7"/>
  <c r="X108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AM107" i="7"/>
  <c r="AL107" i="7"/>
  <c r="AK107" i="7"/>
  <c r="AJ107" i="7"/>
  <c r="AI107" i="7"/>
  <c r="AH107" i="7"/>
  <c r="AG107" i="7"/>
  <c r="AF107" i="7"/>
  <c r="AE107" i="7"/>
  <c r="AD107" i="7"/>
  <c r="AC107" i="7"/>
  <c r="AB107" i="7"/>
  <c r="AA107" i="7"/>
  <c r="Z107" i="7"/>
  <c r="Y107" i="7"/>
  <c r="X107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AM106" i="7"/>
  <c r="AL106" i="7"/>
  <c r="AK106" i="7"/>
  <c r="AJ106" i="7"/>
  <c r="AI106" i="7"/>
  <c r="AH106" i="7"/>
  <c r="AG106" i="7"/>
  <c r="AF106" i="7"/>
  <c r="AE106" i="7"/>
  <c r="AD106" i="7"/>
  <c r="AC106" i="7"/>
  <c r="AB106" i="7"/>
  <c r="AA106" i="7"/>
  <c r="Z106" i="7"/>
  <c r="Y106" i="7"/>
  <c r="X106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AM105" i="7"/>
  <c r="AL105" i="7"/>
  <c r="AK105" i="7"/>
  <c r="AJ105" i="7"/>
  <c r="AI105" i="7"/>
  <c r="AH105" i="7"/>
  <c r="AG105" i="7"/>
  <c r="AF105" i="7"/>
  <c r="AE105" i="7"/>
  <c r="AD105" i="7"/>
  <c r="AC105" i="7"/>
  <c r="AB105" i="7"/>
  <c r="AA105" i="7"/>
  <c r="Z105" i="7"/>
  <c r="Y105" i="7"/>
  <c r="X105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AM104" i="7"/>
  <c r="AL104" i="7"/>
  <c r="AK104" i="7"/>
  <c r="AJ104" i="7"/>
  <c r="AI104" i="7"/>
  <c r="AH104" i="7"/>
  <c r="AG104" i="7"/>
  <c r="AF104" i="7"/>
  <c r="AE104" i="7"/>
  <c r="AD104" i="7"/>
  <c r="AC104" i="7"/>
  <c r="AB104" i="7"/>
  <c r="AA104" i="7"/>
  <c r="Z104" i="7"/>
  <c r="Y104" i="7"/>
  <c r="X104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AM103" i="7"/>
  <c r="AL103" i="7"/>
  <c r="AK103" i="7"/>
  <c r="AJ103" i="7"/>
  <c r="AI103" i="7"/>
  <c r="AH103" i="7"/>
  <c r="AG103" i="7"/>
  <c r="AF103" i="7"/>
  <c r="AE103" i="7"/>
  <c r="AD103" i="7"/>
  <c r="AC103" i="7"/>
  <c r="AB103" i="7"/>
  <c r="AA103" i="7"/>
  <c r="Z103" i="7"/>
  <c r="Y103" i="7"/>
  <c r="X103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AM102" i="7"/>
  <c r="AL102" i="7"/>
  <c r="AK102" i="7"/>
  <c r="AJ102" i="7"/>
  <c r="AI102" i="7"/>
  <c r="AH102" i="7"/>
  <c r="AG102" i="7"/>
  <c r="AF102" i="7"/>
  <c r="AE102" i="7"/>
  <c r="AD102" i="7"/>
  <c r="AC102" i="7"/>
  <c r="AB102" i="7"/>
  <c r="AA102" i="7"/>
  <c r="Z102" i="7"/>
  <c r="Y102" i="7"/>
  <c r="X102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AM101" i="7"/>
  <c r="AL101" i="7"/>
  <c r="AK101" i="7"/>
  <c r="AJ101" i="7"/>
  <c r="AI101" i="7"/>
  <c r="AH101" i="7"/>
  <c r="AG101" i="7"/>
  <c r="AF101" i="7"/>
  <c r="AE101" i="7"/>
  <c r="AD101" i="7"/>
  <c r="AC101" i="7"/>
  <c r="AB101" i="7"/>
  <c r="AA101" i="7"/>
  <c r="Z101" i="7"/>
  <c r="Y101" i="7"/>
  <c r="X101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AM100" i="7"/>
  <c r="AL100" i="7"/>
  <c r="AK100" i="7"/>
  <c r="AJ100" i="7"/>
  <c r="AI100" i="7"/>
  <c r="AH100" i="7"/>
  <c r="AG100" i="7"/>
  <c r="AF100" i="7"/>
  <c r="AE100" i="7"/>
  <c r="AD100" i="7"/>
  <c r="AC100" i="7"/>
  <c r="AB100" i="7"/>
  <c r="AA100" i="7"/>
  <c r="Z100" i="7"/>
  <c r="Y100" i="7"/>
  <c r="X100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AM99" i="7"/>
  <c r="AL99" i="7"/>
  <c r="AK99" i="7"/>
  <c r="AJ99" i="7"/>
  <c r="AI99" i="7"/>
  <c r="AH99" i="7"/>
  <c r="AG99" i="7"/>
  <c r="AF99" i="7"/>
  <c r="AE99" i="7"/>
  <c r="AD99" i="7"/>
  <c r="AC99" i="7"/>
  <c r="AB99" i="7"/>
  <c r="AA99" i="7"/>
  <c r="Z99" i="7"/>
  <c r="Y99" i="7"/>
  <c r="X99" i="7"/>
  <c r="W99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AM98" i="7"/>
  <c r="AL98" i="7"/>
  <c r="AK98" i="7"/>
  <c r="AJ98" i="7"/>
  <c r="AI98" i="7"/>
  <c r="AH98" i="7"/>
  <c r="AG98" i="7"/>
  <c r="AF98" i="7"/>
  <c r="AE98" i="7"/>
  <c r="AD98" i="7"/>
  <c r="AC98" i="7"/>
  <c r="AB98" i="7"/>
  <c r="AA98" i="7"/>
  <c r="Z98" i="7"/>
  <c r="Y98" i="7"/>
  <c r="X98" i="7"/>
  <c r="W98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AM97" i="7"/>
  <c r="AL97" i="7"/>
  <c r="AK97" i="7"/>
  <c r="AJ97" i="7"/>
  <c r="AI97" i="7"/>
  <c r="AH97" i="7"/>
  <c r="AG97" i="7"/>
  <c r="AF97" i="7"/>
  <c r="AE97" i="7"/>
  <c r="AD97" i="7"/>
  <c r="AC97" i="7"/>
  <c r="AB97" i="7"/>
  <c r="AA97" i="7"/>
  <c r="Z97" i="7"/>
  <c r="Y97" i="7"/>
  <c r="X97" i="7"/>
  <c r="W97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AM96" i="7"/>
  <c r="AL96" i="7"/>
  <c r="AK96" i="7"/>
  <c r="AJ96" i="7"/>
  <c r="AI96" i="7"/>
  <c r="AH96" i="7"/>
  <c r="AG96" i="7"/>
  <c r="AF96" i="7"/>
  <c r="AE96" i="7"/>
  <c r="AD96" i="7"/>
  <c r="AC96" i="7"/>
  <c r="AB96" i="7"/>
  <c r="AA96" i="7"/>
  <c r="Z96" i="7"/>
  <c r="Y96" i="7"/>
  <c r="X96" i="7"/>
  <c r="W96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AM95" i="7"/>
  <c r="AL95" i="7"/>
  <c r="AK95" i="7"/>
  <c r="AJ95" i="7"/>
  <c r="AI95" i="7"/>
  <c r="AH95" i="7"/>
  <c r="AG95" i="7"/>
  <c r="AF95" i="7"/>
  <c r="AE95" i="7"/>
  <c r="AD95" i="7"/>
  <c r="AC95" i="7"/>
  <c r="AB95" i="7"/>
  <c r="AA95" i="7"/>
  <c r="Z95" i="7"/>
  <c r="Y95" i="7"/>
  <c r="X95" i="7"/>
  <c r="W95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AM94" i="7"/>
  <c r="AL94" i="7"/>
  <c r="AK94" i="7"/>
  <c r="AJ94" i="7"/>
  <c r="AI94" i="7"/>
  <c r="AH94" i="7"/>
  <c r="AG94" i="7"/>
  <c r="AF94" i="7"/>
  <c r="AE94" i="7"/>
  <c r="AD94" i="7"/>
  <c r="AC94" i="7"/>
  <c r="AB94" i="7"/>
  <c r="AA94" i="7"/>
  <c r="Z94" i="7"/>
  <c r="Y94" i="7"/>
  <c r="X94" i="7"/>
  <c r="W94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AM93" i="7"/>
  <c r="AL93" i="7"/>
  <c r="AK93" i="7"/>
  <c r="AJ93" i="7"/>
  <c r="AI93" i="7"/>
  <c r="AH93" i="7"/>
  <c r="AG93" i="7"/>
  <c r="AF93" i="7"/>
  <c r="AE93" i="7"/>
  <c r="AD93" i="7"/>
  <c r="AC93" i="7"/>
  <c r="AB93" i="7"/>
  <c r="AA93" i="7"/>
  <c r="Z93" i="7"/>
  <c r="Y93" i="7"/>
  <c r="X93" i="7"/>
  <c r="W93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AM92" i="7"/>
  <c r="AL92" i="7"/>
  <c r="AK92" i="7"/>
  <c r="AJ92" i="7"/>
  <c r="AI92" i="7"/>
  <c r="AH92" i="7"/>
  <c r="AG92" i="7"/>
  <c r="AF92" i="7"/>
  <c r="AE92" i="7"/>
  <c r="AD92" i="7"/>
  <c r="AC92" i="7"/>
  <c r="AB92" i="7"/>
  <c r="AA92" i="7"/>
  <c r="Z92" i="7"/>
  <c r="Y92" i="7"/>
  <c r="X92" i="7"/>
  <c r="W92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AM91" i="7"/>
  <c r="AL91" i="7"/>
  <c r="AK91" i="7"/>
  <c r="AJ91" i="7"/>
  <c r="AI91" i="7"/>
  <c r="AH91" i="7"/>
  <c r="AG91" i="7"/>
  <c r="AF91" i="7"/>
  <c r="AE91" i="7"/>
  <c r="AD91" i="7"/>
  <c r="AC91" i="7"/>
  <c r="AB91" i="7"/>
  <c r="AA91" i="7"/>
  <c r="Z91" i="7"/>
  <c r="Y91" i="7"/>
  <c r="X91" i="7"/>
  <c r="W91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AM90" i="7"/>
  <c r="AL90" i="7"/>
  <c r="AK90" i="7"/>
  <c r="AJ90" i="7"/>
  <c r="AI90" i="7"/>
  <c r="AH90" i="7"/>
  <c r="AG90" i="7"/>
  <c r="AF90" i="7"/>
  <c r="AE90" i="7"/>
  <c r="AD90" i="7"/>
  <c r="AC90" i="7"/>
  <c r="AB90" i="7"/>
  <c r="AA90" i="7"/>
  <c r="Z90" i="7"/>
  <c r="Y90" i="7"/>
  <c r="X90" i="7"/>
  <c r="W90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AM89" i="7"/>
  <c r="AL89" i="7"/>
  <c r="AK89" i="7"/>
  <c r="AJ89" i="7"/>
  <c r="AI89" i="7"/>
  <c r="AH89" i="7"/>
  <c r="AG89" i="7"/>
  <c r="AF89" i="7"/>
  <c r="AE89" i="7"/>
  <c r="AD89" i="7"/>
  <c r="AC89" i="7"/>
  <c r="AB89" i="7"/>
  <c r="AA89" i="7"/>
  <c r="Z89" i="7"/>
  <c r="Y89" i="7"/>
  <c r="X89" i="7"/>
  <c r="W89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AM88" i="7"/>
  <c r="AL88" i="7"/>
  <c r="AK88" i="7"/>
  <c r="AJ88" i="7"/>
  <c r="AI88" i="7"/>
  <c r="AH88" i="7"/>
  <c r="AG88" i="7"/>
  <c r="AF88" i="7"/>
  <c r="AE88" i="7"/>
  <c r="AD88" i="7"/>
  <c r="AC88" i="7"/>
  <c r="AB88" i="7"/>
  <c r="AA88" i="7"/>
  <c r="Z88" i="7"/>
  <c r="Y88" i="7"/>
  <c r="X88" i="7"/>
  <c r="W88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AM87" i="7"/>
  <c r="AL87" i="7"/>
  <c r="AK87" i="7"/>
  <c r="AJ87" i="7"/>
  <c r="AI87" i="7"/>
  <c r="AH87" i="7"/>
  <c r="AG87" i="7"/>
  <c r="AF87" i="7"/>
  <c r="AE87" i="7"/>
  <c r="AD87" i="7"/>
  <c r="AC87" i="7"/>
  <c r="AB87" i="7"/>
  <c r="AA87" i="7"/>
  <c r="Z87" i="7"/>
  <c r="Y87" i="7"/>
  <c r="X87" i="7"/>
  <c r="W87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AM86" i="7"/>
  <c r="AL86" i="7"/>
  <c r="AK86" i="7"/>
  <c r="AJ86" i="7"/>
  <c r="AI86" i="7"/>
  <c r="AH86" i="7"/>
  <c r="AG86" i="7"/>
  <c r="AF86" i="7"/>
  <c r="AE86" i="7"/>
  <c r="AD86" i="7"/>
  <c r="AC86" i="7"/>
  <c r="AB86" i="7"/>
  <c r="AA86" i="7"/>
  <c r="Z86" i="7"/>
  <c r="Y86" i="7"/>
  <c r="X86" i="7"/>
  <c r="W86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AM109" i="6"/>
  <c r="AL109" i="6"/>
  <c r="AK109" i="6"/>
  <c r="AJ109" i="6"/>
  <c r="AI109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AM108" i="6"/>
  <c r="AL108" i="6"/>
  <c r="AK108" i="6"/>
  <c r="AJ108" i="6"/>
  <c r="AI108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AM107" i="6"/>
  <c r="AL107" i="6"/>
  <c r="AK107" i="6"/>
  <c r="AJ107" i="6"/>
  <c r="AI107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AM106" i="6"/>
  <c r="AL106" i="6"/>
  <c r="AK106" i="6"/>
  <c r="AJ106" i="6"/>
  <c r="AI106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AM105" i="6"/>
  <c r="AL105" i="6"/>
  <c r="AK105" i="6"/>
  <c r="AJ105" i="6"/>
  <c r="AI105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AM104" i="6"/>
  <c r="AL104" i="6"/>
  <c r="AK104" i="6"/>
  <c r="AJ104" i="6"/>
  <c r="AI10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AM103" i="6"/>
  <c r="AL103" i="6"/>
  <c r="AK103" i="6"/>
  <c r="AJ103" i="6"/>
  <c r="AI103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AM102" i="6"/>
  <c r="AL102" i="6"/>
  <c r="AK102" i="6"/>
  <c r="AJ102" i="6"/>
  <c r="AI102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AM101" i="6"/>
  <c r="AL101" i="6"/>
  <c r="AK101" i="6"/>
  <c r="AJ101" i="6"/>
  <c r="AI101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AM100" i="6"/>
  <c r="AL100" i="6"/>
  <c r="AK100" i="6"/>
  <c r="AJ100" i="6"/>
  <c r="AI100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AM99" i="6"/>
  <c r="AL99" i="6"/>
  <c r="AK99" i="6"/>
  <c r="AJ99" i="6"/>
  <c r="AI99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AM98" i="6"/>
  <c r="AL98" i="6"/>
  <c r="AK98" i="6"/>
  <c r="AJ98" i="6"/>
  <c r="AI98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AM97" i="6"/>
  <c r="AL97" i="6"/>
  <c r="AK97" i="6"/>
  <c r="AJ97" i="6"/>
  <c r="AI97" i="6"/>
  <c r="AH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AM96" i="6"/>
  <c r="AL96" i="6"/>
  <c r="AK96" i="6"/>
  <c r="AJ96" i="6"/>
  <c r="AI96" i="6"/>
  <c r="AH96" i="6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AM95" i="6"/>
  <c r="AL95" i="6"/>
  <c r="AK95" i="6"/>
  <c r="AJ95" i="6"/>
  <c r="AI95" i="6"/>
  <c r="AH95" i="6"/>
  <c r="AG95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AM94" i="6"/>
  <c r="AL94" i="6"/>
  <c r="AK94" i="6"/>
  <c r="AJ94" i="6"/>
  <c r="AI9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AM93" i="6"/>
  <c r="AL93" i="6"/>
  <c r="AK93" i="6"/>
  <c r="AJ93" i="6"/>
  <c r="AI93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AM92" i="6"/>
  <c r="AL92" i="6"/>
  <c r="AK92" i="6"/>
  <c r="AJ92" i="6"/>
  <c r="AI92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AM91" i="6"/>
  <c r="AL91" i="6"/>
  <c r="AK91" i="6"/>
  <c r="AJ91" i="6"/>
  <c r="AI91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AM90" i="6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AM89" i="6"/>
  <c r="AL89" i="6"/>
  <c r="AK89" i="6"/>
  <c r="AJ89" i="6"/>
  <c r="AI89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AM88" i="6"/>
  <c r="AL88" i="6"/>
  <c r="AK88" i="6"/>
  <c r="AJ88" i="6"/>
  <c r="AI88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AM87" i="6"/>
  <c r="AL87" i="6"/>
  <c r="AK87" i="6"/>
  <c r="AJ87" i="6"/>
  <c r="AI87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AM86" i="6"/>
  <c r="AL86" i="6"/>
  <c r="AK86" i="6"/>
  <c r="AJ86" i="6"/>
  <c r="AI86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AM109" i="3"/>
  <c r="AL109" i="3"/>
  <c r="AK109" i="3"/>
  <c r="AJ109" i="3"/>
  <c r="AI109" i="3"/>
  <c r="AH109" i="3"/>
  <c r="AG109" i="3"/>
  <c r="AF109" i="3"/>
  <c r="AE109" i="3"/>
  <c r="AD109" i="3"/>
  <c r="AC109" i="3"/>
  <c r="AB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AM108" i="3"/>
  <c r="AL108" i="3"/>
  <c r="AK108" i="3"/>
  <c r="AJ108" i="3"/>
  <c r="AI108" i="3"/>
  <c r="AH108" i="3"/>
  <c r="AG108" i="3"/>
  <c r="AF108" i="3"/>
  <c r="AE108" i="3"/>
  <c r="AD108" i="3"/>
  <c r="AC108" i="3"/>
  <c r="AB108" i="3"/>
  <c r="AA108" i="3"/>
  <c r="Z108" i="3"/>
  <c r="Y108" i="3"/>
  <c r="X108" i="3"/>
  <c r="W108" i="3"/>
  <c r="V108" i="3"/>
  <c r="U108" i="3"/>
  <c r="T108" i="3"/>
  <c r="S108" i="3"/>
  <c r="R108" i="3"/>
  <c r="Q108" i="3"/>
  <c r="P108" i="3"/>
  <c r="O108" i="3"/>
  <c r="N108" i="3"/>
  <c r="M108" i="3"/>
  <c r="L108" i="3"/>
  <c r="K108" i="3"/>
  <c r="J108" i="3"/>
  <c r="I108" i="3"/>
  <c r="H108" i="3"/>
  <c r="AM107" i="3"/>
  <c r="AL107" i="3"/>
  <c r="AK107" i="3"/>
  <c r="AJ107" i="3"/>
  <c r="AI107" i="3"/>
  <c r="AH107" i="3"/>
  <c r="AG107" i="3"/>
  <c r="AF107" i="3"/>
  <c r="AE107" i="3"/>
  <c r="AD107" i="3"/>
  <c r="AC107" i="3"/>
  <c r="AB107" i="3"/>
  <c r="AA107" i="3"/>
  <c r="Z107" i="3"/>
  <c r="Y107" i="3"/>
  <c r="X107" i="3"/>
  <c r="W107" i="3"/>
  <c r="V107" i="3"/>
  <c r="U107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AM106" i="3"/>
  <c r="AL106" i="3"/>
  <c r="AK106" i="3"/>
  <c r="AJ106" i="3"/>
  <c r="AI106" i="3"/>
  <c r="AH106" i="3"/>
  <c r="AG106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AM105" i="3"/>
  <c r="AL105" i="3"/>
  <c r="AK105" i="3"/>
  <c r="AJ105" i="3"/>
  <c r="AI105" i="3"/>
  <c r="AH105" i="3"/>
  <c r="AG105" i="3"/>
  <c r="AF105" i="3"/>
  <c r="AE105" i="3"/>
  <c r="AD105" i="3"/>
  <c r="AC105" i="3"/>
  <c r="AB105" i="3"/>
  <c r="AA105" i="3"/>
  <c r="Z105" i="3"/>
  <c r="Y105" i="3"/>
  <c r="X105" i="3"/>
  <c r="W105" i="3"/>
  <c r="V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AM104" i="3"/>
  <c r="AL104" i="3"/>
  <c r="AK104" i="3"/>
  <c r="AJ104" i="3"/>
  <c r="AI104" i="3"/>
  <c r="AH104" i="3"/>
  <c r="AG104" i="3"/>
  <c r="AF104" i="3"/>
  <c r="AE104" i="3"/>
  <c r="AD104" i="3"/>
  <c r="AC104" i="3"/>
  <c r="AB104" i="3"/>
  <c r="AA104" i="3"/>
  <c r="Z104" i="3"/>
  <c r="Y104" i="3"/>
  <c r="X104" i="3"/>
  <c r="W104" i="3"/>
  <c r="V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AM102" i="3"/>
  <c r="AL102" i="3"/>
  <c r="AK102" i="3"/>
  <c r="AJ102" i="3"/>
  <c r="AI102" i="3"/>
  <c r="AH102" i="3"/>
  <c r="AG102" i="3"/>
  <c r="AF102" i="3"/>
  <c r="AE102" i="3"/>
  <c r="AD102" i="3"/>
  <c r="AC102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AM101" i="3"/>
  <c r="AL101" i="3"/>
  <c r="AK101" i="3"/>
  <c r="AJ101" i="3"/>
  <c r="AI101" i="3"/>
  <c r="AH101" i="3"/>
  <c r="AG101" i="3"/>
  <c r="AF101" i="3"/>
  <c r="AE101" i="3"/>
  <c r="AD101" i="3"/>
  <c r="AC101" i="3"/>
  <c r="AB101" i="3"/>
  <c r="AA101" i="3"/>
  <c r="Z101" i="3"/>
  <c r="Y101" i="3"/>
  <c r="X101" i="3"/>
  <c r="W101" i="3"/>
  <c r="V101" i="3"/>
  <c r="U101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H101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AM99" i="3"/>
  <c r="AL99" i="3"/>
  <c r="AK99" i="3"/>
  <c r="AJ99" i="3"/>
  <c r="AI99" i="3"/>
  <c r="AH99" i="3"/>
  <c r="AG99" i="3"/>
  <c r="AF99" i="3"/>
  <c r="AE99" i="3"/>
  <c r="AD99" i="3"/>
  <c r="AC99" i="3"/>
  <c r="AB99" i="3"/>
  <c r="AA99" i="3"/>
  <c r="Z99" i="3"/>
  <c r="Y99" i="3"/>
  <c r="X99" i="3"/>
  <c r="W99" i="3"/>
  <c r="V99" i="3"/>
  <c r="U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AM98" i="3"/>
  <c r="AL98" i="3"/>
  <c r="AK98" i="3"/>
  <c r="AJ98" i="3"/>
  <c r="AI98" i="3"/>
  <c r="AH98" i="3"/>
  <c r="AG98" i="3"/>
  <c r="AF98" i="3"/>
  <c r="AE98" i="3"/>
  <c r="AD98" i="3"/>
  <c r="AC98" i="3"/>
  <c r="AB98" i="3"/>
  <c r="AA98" i="3"/>
  <c r="Z98" i="3"/>
  <c r="Y98" i="3"/>
  <c r="X98" i="3"/>
  <c r="W98" i="3"/>
  <c r="V98" i="3"/>
  <c r="U98" i="3"/>
  <c r="T98" i="3"/>
  <c r="S98" i="3"/>
  <c r="R98" i="3"/>
  <c r="Q98" i="3"/>
  <c r="P98" i="3"/>
  <c r="O98" i="3"/>
  <c r="N98" i="3"/>
  <c r="M98" i="3"/>
  <c r="L98" i="3"/>
  <c r="K98" i="3"/>
  <c r="J98" i="3"/>
  <c r="I98" i="3"/>
  <c r="H98" i="3"/>
  <c r="AM97" i="3"/>
  <c r="AL97" i="3"/>
  <c r="AK97" i="3"/>
  <c r="AJ97" i="3"/>
  <c r="AI97" i="3"/>
  <c r="AH97" i="3"/>
  <c r="AG97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AM96" i="3"/>
  <c r="AL96" i="3"/>
  <c r="AK96" i="3"/>
  <c r="AJ96" i="3"/>
  <c r="AI96" i="3"/>
  <c r="AH96" i="3"/>
  <c r="AG96" i="3"/>
  <c r="AF96" i="3"/>
  <c r="AE96" i="3"/>
  <c r="AD96" i="3"/>
  <c r="AC96" i="3"/>
  <c r="AB96" i="3"/>
  <c r="AA96" i="3"/>
  <c r="Z96" i="3"/>
  <c r="Y96" i="3"/>
  <c r="X96" i="3"/>
  <c r="W96" i="3"/>
  <c r="V96" i="3"/>
  <c r="U96" i="3"/>
  <c r="T96" i="3"/>
  <c r="S96" i="3"/>
  <c r="R96" i="3"/>
  <c r="Q96" i="3"/>
  <c r="P96" i="3"/>
  <c r="O96" i="3"/>
  <c r="N96" i="3"/>
  <c r="M96" i="3"/>
  <c r="L96" i="3"/>
  <c r="K96" i="3"/>
  <c r="J96" i="3"/>
  <c r="I96" i="3"/>
  <c r="H96" i="3"/>
  <c r="AM95" i="3"/>
  <c r="AL95" i="3"/>
  <c r="AK95" i="3"/>
  <c r="AJ95" i="3"/>
  <c r="AI95" i="3"/>
  <c r="AH95" i="3"/>
  <c r="AG95" i="3"/>
  <c r="AF95" i="3"/>
  <c r="AE95" i="3"/>
  <c r="AD95" i="3"/>
  <c r="AC95" i="3"/>
  <c r="AB95" i="3"/>
  <c r="AA95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M95" i="3"/>
  <c r="L95" i="3"/>
  <c r="K95" i="3"/>
  <c r="J95" i="3"/>
  <c r="I95" i="3"/>
  <c r="H95" i="3"/>
  <c r="AM94" i="3"/>
  <c r="AL94" i="3"/>
  <c r="AK94" i="3"/>
  <c r="AJ94" i="3"/>
  <c r="AI94" i="3"/>
  <c r="AH94" i="3"/>
  <c r="AG94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AM93" i="3"/>
  <c r="AL93" i="3"/>
  <c r="AK93" i="3"/>
  <c r="AJ93" i="3"/>
  <c r="AI93" i="3"/>
  <c r="AH93" i="3"/>
  <c r="AG93" i="3"/>
  <c r="AF93" i="3"/>
  <c r="AE93" i="3"/>
  <c r="AD93" i="3"/>
  <c r="AC93" i="3"/>
  <c r="AB93" i="3"/>
  <c r="AA93" i="3"/>
  <c r="Z93" i="3"/>
  <c r="Y93" i="3"/>
  <c r="X93" i="3"/>
  <c r="W93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AM92" i="3"/>
  <c r="AL92" i="3"/>
  <c r="AK92" i="3"/>
  <c r="AJ92" i="3"/>
  <c r="AI92" i="3"/>
  <c r="AH92" i="3"/>
  <c r="AG92" i="3"/>
  <c r="AF92" i="3"/>
  <c r="AE92" i="3"/>
  <c r="AD92" i="3"/>
  <c r="AC92" i="3"/>
  <c r="AB92" i="3"/>
  <c r="AA92" i="3"/>
  <c r="Z92" i="3"/>
  <c r="Y92" i="3"/>
  <c r="X92" i="3"/>
  <c r="W92" i="3"/>
  <c r="V92" i="3"/>
  <c r="U92" i="3"/>
  <c r="T92" i="3"/>
  <c r="S92" i="3"/>
  <c r="R92" i="3"/>
  <c r="Q92" i="3"/>
  <c r="P92" i="3"/>
  <c r="O92" i="3"/>
  <c r="N92" i="3"/>
  <c r="M92" i="3"/>
  <c r="L92" i="3"/>
  <c r="K92" i="3"/>
  <c r="J92" i="3"/>
  <c r="I92" i="3"/>
  <c r="H92" i="3"/>
  <c r="AM91" i="3"/>
  <c r="AL91" i="3"/>
  <c r="AK91" i="3"/>
  <c r="AJ91" i="3"/>
  <c r="AI91" i="3"/>
  <c r="AH91" i="3"/>
  <c r="AG91" i="3"/>
  <c r="AF91" i="3"/>
  <c r="AE91" i="3"/>
  <c r="AD91" i="3"/>
  <c r="AC91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AM90" i="3"/>
  <c r="AL90" i="3"/>
  <c r="AK90" i="3"/>
  <c r="AJ90" i="3"/>
  <c r="AI90" i="3"/>
  <c r="AH90" i="3"/>
  <c r="AG90" i="3"/>
  <c r="AF90" i="3"/>
  <c r="AE90" i="3"/>
  <c r="AD90" i="3"/>
  <c r="AC90" i="3"/>
  <c r="AB90" i="3"/>
  <c r="AA90" i="3"/>
  <c r="Z90" i="3"/>
  <c r="Y90" i="3"/>
  <c r="X90" i="3"/>
  <c r="W90" i="3"/>
  <c r="V90" i="3"/>
  <c r="U90" i="3"/>
  <c r="T90" i="3"/>
  <c r="S90" i="3"/>
  <c r="R90" i="3"/>
  <c r="Q90" i="3"/>
  <c r="P90" i="3"/>
  <c r="O90" i="3"/>
  <c r="N90" i="3"/>
  <c r="M90" i="3"/>
  <c r="L90" i="3"/>
  <c r="K90" i="3"/>
  <c r="J90" i="3"/>
  <c r="I90" i="3"/>
  <c r="H90" i="3"/>
  <c r="AM89" i="3"/>
  <c r="AL89" i="3"/>
  <c r="AK89" i="3"/>
  <c r="AJ89" i="3"/>
  <c r="AI89" i="3"/>
  <c r="AH89" i="3"/>
  <c r="AG89" i="3"/>
  <c r="AF89" i="3"/>
  <c r="AE89" i="3"/>
  <c r="AD89" i="3"/>
  <c r="AC89" i="3"/>
  <c r="AB89" i="3"/>
  <c r="AA89" i="3"/>
  <c r="Z89" i="3"/>
  <c r="Y89" i="3"/>
  <c r="X89" i="3"/>
  <c r="W89" i="3"/>
  <c r="V89" i="3"/>
  <c r="U89" i="3"/>
  <c r="T89" i="3"/>
  <c r="S89" i="3"/>
  <c r="R89" i="3"/>
  <c r="Q89" i="3"/>
  <c r="P89" i="3"/>
  <c r="O89" i="3"/>
  <c r="N89" i="3"/>
  <c r="M89" i="3"/>
  <c r="L89" i="3"/>
  <c r="K89" i="3"/>
  <c r="J89" i="3"/>
  <c r="I89" i="3"/>
  <c r="H89" i="3"/>
  <c r="AM88" i="3"/>
  <c r="AL88" i="3"/>
  <c r="AK88" i="3"/>
  <c r="AJ88" i="3"/>
  <c r="AI88" i="3"/>
  <c r="AH88" i="3"/>
  <c r="AG88" i="3"/>
  <c r="AF88" i="3"/>
  <c r="AE88" i="3"/>
  <c r="AD88" i="3"/>
  <c r="AC88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AM87" i="3"/>
  <c r="AL87" i="3"/>
  <c r="AK87" i="3"/>
  <c r="AJ87" i="3"/>
  <c r="AI87" i="3"/>
  <c r="AH87" i="3"/>
  <c r="AG87" i="3"/>
  <c r="AF87" i="3"/>
  <c r="AE87" i="3"/>
  <c r="AD87" i="3"/>
  <c r="AC87" i="3"/>
  <c r="AB87" i="3"/>
  <c r="AA87" i="3"/>
  <c r="Z87" i="3"/>
  <c r="Y87" i="3"/>
  <c r="X87" i="3"/>
  <c r="W87" i="3"/>
  <c r="V87" i="3"/>
  <c r="U87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X87" i="2"/>
  <c r="W87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X86" i="2"/>
  <c r="W86" i="2"/>
</calcChain>
</file>

<file path=xl/sharedStrings.xml><?xml version="1.0" encoding="utf-8"?>
<sst xmlns="http://schemas.openxmlformats.org/spreadsheetml/2006/main" count="1807" uniqueCount="355">
  <si>
    <t>Date</t>
  </si>
  <si>
    <t>Time</t>
  </si>
  <si>
    <t>Test#</t>
  </si>
  <si>
    <t>Run#</t>
  </si>
  <si>
    <t>Point#</t>
  </si>
  <si>
    <t>Pitch Abs</t>
  </si>
  <si>
    <t>Pitch User</t>
  </si>
  <si>
    <t>Vel f/s</t>
  </si>
  <si>
    <t>Vel_SI m/s</t>
  </si>
  <si>
    <t>Pinf psi</t>
  </si>
  <si>
    <t>Pinf_SI kPa</t>
  </si>
  <si>
    <t>Temp_SI C</t>
  </si>
  <si>
    <t>Mach</t>
  </si>
  <si>
    <t>P</t>
  </si>
  <si>
    <t>P1(psi)</t>
  </si>
  <si>
    <t>P2(psi)</t>
  </si>
  <si>
    <t>P3(psi)</t>
  </si>
  <si>
    <t>P4(psi)</t>
  </si>
  <si>
    <t>P5(psi)</t>
  </si>
  <si>
    <t>P6(psi)</t>
  </si>
  <si>
    <t>P7(psi)</t>
  </si>
  <si>
    <t>P8(psi)</t>
  </si>
  <si>
    <t>P9(psi)</t>
  </si>
  <si>
    <t>P10(psi)</t>
  </si>
  <si>
    <t>P11(psi)</t>
  </si>
  <si>
    <t>P12(psi)</t>
  </si>
  <si>
    <t>P13(psi)</t>
  </si>
  <si>
    <t>P14(psi)</t>
  </si>
  <si>
    <t>P15(psi)</t>
  </si>
  <si>
    <t>P16(psi)</t>
  </si>
  <si>
    <t>time(sec)</t>
  </si>
  <si>
    <t>model</t>
  </si>
  <si>
    <t>ser</t>
  </si>
  <si>
    <t>str</t>
  </si>
  <si>
    <t>seq</t>
  </si>
  <si>
    <t>grp</t>
  </si>
  <si>
    <t xml:space="preserve"> </t>
  </si>
  <si>
    <t>Top</t>
  </si>
  <si>
    <t>Bottom</t>
  </si>
  <si>
    <t>Tap</t>
  </si>
  <si>
    <t>x/c</t>
  </si>
  <si>
    <t>y/c</t>
  </si>
  <si>
    <t>Event @ 11/1/2017 5:24:20 PM (Test 5)</t>
  </si>
  <si>
    <t>Event @ 11/1/2017 5:34:16 PM (Test 6)</t>
  </si>
  <si>
    <t>raw</t>
  </si>
  <si>
    <t>Angle</t>
  </si>
  <si>
    <t>P17(psi)</t>
  </si>
  <si>
    <t>P18(psi)</t>
  </si>
  <si>
    <t>P19(psi)</t>
  </si>
  <si>
    <t>P20(psi)</t>
  </si>
  <si>
    <t>P21(psi)</t>
  </si>
  <si>
    <t>P22(psi)</t>
  </si>
  <si>
    <t>P23(psi)</t>
  </si>
  <si>
    <t>P24(psi)</t>
  </si>
  <si>
    <t>P25(psi)</t>
  </si>
  <si>
    <t>P26(psi)</t>
  </si>
  <si>
    <t>P27(psi)</t>
  </si>
  <si>
    <t>P28(psi)</t>
  </si>
  <si>
    <t>P29(psi)</t>
  </si>
  <si>
    <t>P30(psi)</t>
  </si>
  <si>
    <t>P31(psi)</t>
  </si>
  <si>
    <t>P32(psi)</t>
  </si>
  <si>
    <t>zero</t>
  </si>
  <si>
    <t>Temp_degR</t>
  </si>
  <si>
    <t>Pinf psf</t>
  </si>
  <si>
    <t>q, psf</t>
  </si>
  <si>
    <t>density_slug/ft3</t>
  </si>
  <si>
    <t>x</t>
  </si>
  <si>
    <t>y</t>
  </si>
  <si>
    <t>c (in)</t>
  </si>
  <si>
    <t>Cl</t>
  </si>
  <si>
    <t>Re</t>
  </si>
  <si>
    <t xml:space="preserve">dyn vis </t>
  </si>
  <si>
    <t>NACA 0012 Cl, Abbott and Von Doehnoff</t>
  </si>
  <si>
    <t>AOA</t>
  </si>
  <si>
    <t>Event @ 10/1/2018 4:48:30 PM (Rec.On w.Acq.Off)</t>
  </si>
  <si>
    <t>Event @ 10/1/2018 4:48:39 PM (Rec.On w.Acq.Off)</t>
  </si>
  <si>
    <t>Event @ 10/1/2018 4:48:48 PM (Rec.On w.Acq.Off)</t>
  </si>
  <si>
    <t>Event @ 10/1/2018 4:48:59 PM (Rec.On w.Acq.Off)</t>
  </si>
  <si>
    <t>Event @ 10/1/2018 4:49:08 PM (Rec.On w.Acq.Off)</t>
  </si>
  <si>
    <t>Event @ 10/1/2018 4:49:17 PM (Rec.On w.Acq.Off)</t>
  </si>
  <si>
    <t>Event @ 10/1/2018 4:49:26 PM (Rec.On w.Acq.Off)</t>
  </si>
  <si>
    <t>Event @ 10/1/2018 4:49:36 PM (Rec.On w.Acq.Off)</t>
  </si>
  <si>
    <t>Event @ 10/1/2018 4:49:45 PM (Rec.On w.Acq.Off)</t>
  </si>
  <si>
    <t>Event @ 10/1/2018 4:49:55 PM (Rec.On w.Acq.Off)</t>
  </si>
  <si>
    <t>Event @ 10/1/2018 4:50:04 PM (Rec.On w.Acq.Off)</t>
  </si>
  <si>
    <t>Event @ 10/1/2018 4:50:13 PM (Rec.On w.Acq.Off)</t>
  </si>
  <si>
    <t>Event @ 10/1/2018 4:50:24 PM (Rec.On w.Acq.Off)</t>
  </si>
  <si>
    <t>Event @ 10/1/2018 4:50:33 PM (Rec.On w.Acq.Off)</t>
  </si>
  <si>
    <t>Event @ 10/1/2018 4:50:42 PM (Rec.On w.Acq.Off)</t>
  </si>
  <si>
    <t>Event @ 10/1/2018 4:50:51 PM (Rec.On w.Acq.Off)</t>
  </si>
  <si>
    <t>Event @ 10/1/2018 4:51:01 PM (Rec.On w.Acq.Off)</t>
  </si>
  <si>
    <t>Event @ 10/1/2018 4:51:10 PM (Rec.On w.Acq.Off)</t>
  </si>
  <si>
    <t>Event @ 10/1/2018 4:51:20 PM (Rec.On w.Acq.Off)</t>
  </si>
  <si>
    <t>Event @ 10/1/2018 4:51:30 PM (Rec.On w.Acq.Off)</t>
  </si>
  <si>
    <t>Event @ 10/1/2018 4:51:40 PM (Rec.On w.Acq.Off)</t>
  </si>
  <si>
    <t>Event @ 10/1/2018 4:51:49 PM (Rec.On w.Acq.Off)</t>
  </si>
  <si>
    <t>Event @ 10/1/2018 4:51:58 PM (Rec.On w.Acq.Off)</t>
  </si>
  <si>
    <t>Event @ 10/1/2018 4:41:26 PM (Rec.On w.Acq.Off)</t>
  </si>
  <si>
    <t>Event @ 10/1/2018 4:57:22 PM (Rec.On w.Acq.Off)</t>
  </si>
  <si>
    <t>Event @ 10/1/2018 4:57:31 PM (Rec.On w.Acq.Off)</t>
  </si>
  <si>
    <t>Event @ 10/1/2018 4:57:40 PM (Rec.On w.Acq.Off)</t>
  </si>
  <si>
    <t>Event @ 10/1/2018 4:57:50 PM (Rec.On w.Acq.Off)</t>
  </si>
  <si>
    <t>Event @ 10/1/2018 4:57:59 PM (Rec.On w.Acq.Off)</t>
  </si>
  <si>
    <t>Event @ 10/1/2018 4:58:08 PM (Rec.On w.Acq.Off)</t>
  </si>
  <si>
    <t>Event @ 10/1/2018 4:58:18 PM (Rec.On w.Acq.Off)</t>
  </si>
  <si>
    <t>Event @ 10/1/2018 4:58:27 PM (Rec.On w.Acq.Off)</t>
  </si>
  <si>
    <t>Event @ 10/1/2018 4:58:37 PM (Rec.On w.Acq.Off)</t>
  </si>
  <si>
    <t>Event @ 10/1/2018 4:58:46 PM (Rec.On w.Acq.Off)</t>
  </si>
  <si>
    <t>Event @ 10/1/2018 4:58:56 PM (Rec.On w.Acq.Off)</t>
  </si>
  <si>
    <t>Event @ 10/1/2018 4:59:06 PM (Rec.On w.Acq.Off)</t>
  </si>
  <si>
    <t>Event @ 10/1/2018 4:59:14 PM (Rec.On w.Acq.Off)</t>
  </si>
  <si>
    <t>Event @ 10/1/2018 4:59:25 PM (Rec.On w.Acq.Off)</t>
  </si>
  <si>
    <t>Event @ 10/1/2018 4:59:33 PM (Rec.On w.Acq.Off)</t>
  </si>
  <si>
    <t>Event @ 10/1/2018 4:59:44 PM (Rec.On w.Acq.Off)</t>
  </si>
  <si>
    <t>Event @ 10/1/2018 4:59:53 PM (Rec.On w.Acq.Off)</t>
  </si>
  <si>
    <t>Event @ 10/1/2018 5:00:02 PM (Rec.On w.Acq.Off)</t>
  </si>
  <si>
    <t>Event @ 10/1/2018 5:00:11 PM (Rec.On w.Acq.Off)</t>
  </si>
  <si>
    <t>Event @ 10/1/2018 5:00:21 PM (Rec.On w.Acq.Off)</t>
  </si>
  <si>
    <t>Event @ 10/1/2018 5:00:31 PM (Rec.On w.Acq.Off)</t>
  </si>
  <si>
    <t>Event @ 10/1/2018 5:00:42 PM (Rec.On w.Acq.Off)</t>
  </si>
  <si>
    <t>Event @ 10/1/2018 5:00:50 PM (Rec.On w.Acq.Off)</t>
  </si>
  <si>
    <t>Event @ 10/1/2018 4:42:05 PM (Test Run 1-25fps)</t>
  </si>
  <si>
    <t>Event @ 11/1/2017 5:00:57 PM (Run 2-50fps)</t>
  </si>
  <si>
    <t>Event @ 11/1/2017 5:08:35 PM (Run 3-75fps)</t>
  </si>
  <si>
    <t>Event @ 11/1/2017 5:17:31 PM (Run 4-120fps)</t>
  </si>
  <si>
    <t>Event @ 11/1/2017 5:08:35 PM (Run 4-100fps)</t>
  </si>
  <si>
    <t>Event @ 10/1/2018 5:07:23 PM (Rec.On w.Acq.Off)</t>
  </si>
  <si>
    <t>Event @ 10/1/2018 5:07:32 PM (Rec.On w.Acq.Off)</t>
  </si>
  <si>
    <t>Event @ 10/1/2018 5:07:41 PM (Rec.On w.Acq.Off)</t>
  </si>
  <si>
    <t>Event @ 10/1/2018 5:07:51 PM (Rec.On w.Acq.Off)</t>
  </si>
  <si>
    <t>Event @ 10/1/2018 5:08:00 PM (Rec.On w.Acq.Off)</t>
  </si>
  <si>
    <t>Event @ 10/1/2018 5:08:10 PM (Rec.On w.Acq.Off)</t>
  </si>
  <si>
    <t>Event @ 10/1/2018 5:08:19 PM (Rec.On w.Acq.Off)</t>
  </si>
  <si>
    <t>Event @ 10/1/2018 5:08:28 PM (Rec.On w.Acq.Off)</t>
  </si>
  <si>
    <t>Event @ 10/1/2018 5:08:38 PM (Rec.On w.Acq.Off)</t>
  </si>
  <si>
    <t>Event @ 10/1/2018 5:08:48 PM (Rec.On w.Acq.Off)</t>
  </si>
  <si>
    <t>Event @ 10/1/2018 5:08:57 PM (Rec.On w.Acq.Off)</t>
  </si>
  <si>
    <t>Event @ 10/1/2018 5:09:07 PM (Rec.On w.Acq.Off)</t>
  </si>
  <si>
    <t>Event @ 10/1/2018 5:09:16 PM (Rec.On w.Acq.Off)</t>
  </si>
  <si>
    <t>Event @ 10/1/2018 5:09:30 PM (Rec.On w.Acq.Off)</t>
  </si>
  <si>
    <t>Event @ 10/1/2018 5:09:35 PM (Rec.On w.Acq.Off)</t>
  </si>
  <si>
    <t>Event @ 10/1/2018 5:09:44 PM (Rec.On w.Acq.Off)</t>
  </si>
  <si>
    <t>Event @ 10/1/2018 5:09:54 PM (Rec.On w.Acq.Off)</t>
  </si>
  <si>
    <t>Event @ 10/1/2018 5:10:04 PM (Rec.On w.Acq.Off)</t>
  </si>
  <si>
    <t>Event @ 10/1/2018 5:10:14 PM (Rec.On w.Acq.Off)</t>
  </si>
  <si>
    <t>Event @ 10/1/2018 5:10:23 PM (Rec.On w.Acq.Off)</t>
  </si>
  <si>
    <t>Event @ 10/1/2018 5:10:33 PM (Rec.On w.Acq.Off)</t>
  </si>
  <si>
    <t>Event @ 10/1/2018 5:10:42 PM (Rec.On w.Acq.Off)</t>
  </si>
  <si>
    <t>Event @ 10/1/2018 5:10:51 PM (Rec.On w.Acq.Off)</t>
  </si>
  <si>
    <t>Event @ 10/1/2018 5:17:10 PM (Rec.On w.Acq.Off)</t>
  </si>
  <si>
    <t>Event @ 10/1/2018 5:17:20 PM (Rec.On w.Acq.Off)</t>
  </si>
  <si>
    <t>Event @ 10/1/2018 5:17:29 PM (Rec.On w.Acq.Off)</t>
  </si>
  <si>
    <t>Event @ 10/1/2018 5:17:38 PM (Rec.On w.Acq.Off)</t>
  </si>
  <si>
    <t>Event @ 10/1/2018 5:17:48 PM (Rec.On w.Acq.Off)</t>
  </si>
  <si>
    <t>Event @ 10/1/2018 5:17:57 PM (Rec.On w.Acq.Off)</t>
  </si>
  <si>
    <t>Event @ 10/1/2018 5:18:06 PM (Rec.On w.Acq.Off)</t>
  </si>
  <si>
    <t>Event @ 10/1/2018 5:18:16 PM (Rec.On w.Acq.Off)</t>
  </si>
  <si>
    <t>Event @ 10/1/2018 5:18:25 PM (Rec.On w.Acq.Off)</t>
  </si>
  <si>
    <t>Event @ 10/1/2018 5:18:35 PM (Rec.On w.Acq.Off)</t>
  </si>
  <si>
    <t>Event @ 10/1/2018 5:18:45 PM (Rec.On w.Acq.Off)</t>
  </si>
  <si>
    <t>Event @ 10/1/2018 5:18:55 PM (Rec.On w.Acq.Off)</t>
  </si>
  <si>
    <t>Event @ 10/1/2018 5:19:04 PM (Rec.On w.Acq.Off)</t>
  </si>
  <si>
    <t>Event @ 10/1/2018 5:19:13 PM (Rec.On w.Acq.Off)</t>
  </si>
  <si>
    <t>Event @ 10/1/2018 5:19:23 PM (Rec.On w.Acq.Off)</t>
  </si>
  <si>
    <t>Event @ 10/1/2018 5:19:33 PM (Rec.On w.Acq.Off)</t>
  </si>
  <si>
    <t>Event @ 10/1/2018 5:19:43 PM (Rec.On w.Acq.Off)</t>
  </si>
  <si>
    <t>Event @ 10/1/2018 5:19:52 PM (Rec.On w.Acq.Off)</t>
  </si>
  <si>
    <t>Event @ 10/1/2018 5:20:01 PM (Rec.On w.Acq.Off)</t>
  </si>
  <si>
    <t>Event @ 10/1/2018 5:20:10 PM (Rec.On w.Acq.Off)</t>
  </si>
  <si>
    <t>Event @ 10/1/2018 5:20:20 PM (Rec.On w.Acq.Off)</t>
  </si>
  <si>
    <t>Event @ 10/1/2018 5:20:28 PM (Rec.On w.Acq.Off)</t>
  </si>
  <si>
    <t>Event @ 10/1/2018 5:20:38 PM (Rec.On w.Acq.Off)</t>
  </si>
  <si>
    <t>Event @ 10/1/2018 5:26:58 PM (Rec.On w.Acq.Off)</t>
  </si>
  <si>
    <t>Event @ 10/1/2018 5:27:06 PM (Rec.On w.Acq.Off)</t>
  </si>
  <si>
    <t>Event @ 10/1/2018 5:27:15 PM (Rec.On w.Acq.Off)</t>
  </si>
  <si>
    <t>Event @ 10/1/2018 5:27:24 PM (Rec.On w.Acq.Off)</t>
  </si>
  <si>
    <t>Event @ 10/1/2018 5:27:34 PM (Rec.On w.Acq.Off)</t>
  </si>
  <si>
    <t>Event @ 10/1/2018 5:27:43 PM (Rec.On w.Acq.Off)</t>
  </si>
  <si>
    <t>Event @ 10/1/2018 5:27:53 PM (Rec.On w.Acq.Off)</t>
  </si>
  <si>
    <t>Event @ 10/1/2018 5:28:02 PM (Rec.On w.Acq.Off)</t>
  </si>
  <si>
    <t>Event @ 10/1/2018 5:28:12 PM (Rec.On w.Acq.Off)</t>
  </si>
  <si>
    <t>Event @ 10/1/2018 5:28:21 PM (Rec.On w.Acq.Off)</t>
  </si>
  <si>
    <t>Event @ 10/1/2018 5:28:31 PM (Rec.On w.Acq.Off)</t>
  </si>
  <si>
    <t>Event @ 10/1/2018 5:28:40 PM (Rec.On w.Acq.Off)</t>
  </si>
  <si>
    <t>Event @ 10/1/2018 5:28:49 PM (Rec.On w.Acq.Off)</t>
  </si>
  <si>
    <t>Event @ 10/1/2018 5:28:59 PM (Rec.On w.Acq.Off)</t>
  </si>
  <si>
    <t>Event @ 10/1/2018 5:29:09 PM (Rec.On w.Acq.Off)</t>
  </si>
  <si>
    <t>Event @ 10/1/2018 5:29:18 PM (Rec.On w.Acq.Off)</t>
  </si>
  <si>
    <t>Event @ 10/1/2018 5:29:27 PM (Rec.On w.Acq.Off)</t>
  </si>
  <si>
    <t>Event @ 10/1/2018 5:29:37 PM (Rec.On w.Acq.Off)</t>
  </si>
  <si>
    <t>Event @ 10/1/2018 5:29:46 PM (Rec.On w.Acq.Off)</t>
  </si>
  <si>
    <t>Event @ 10/1/2018 5:29:56 PM (Rec.On w.Acq.Off)</t>
  </si>
  <si>
    <t>Event @ 10/1/2018 5:30:05 PM (Rec.On w.Acq.Off)</t>
  </si>
  <si>
    <t>Event @ 10/1/2018 5:30:14 PM (Rec.On w.Acq.Off)</t>
  </si>
  <si>
    <t>Event @ 10/1/2018 5:30:23 PM (Rec.On w.Acq.Off)</t>
  </si>
  <si>
    <t>Event @ 10/1/2018 7:38:58 PM (Rec.On w.Acq.Off)</t>
  </si>
  <si>
    <t>Event @ 10/1/2018 7:39:05 PM (Rec.On w.Acq.Off)</t>
  </si>
  <si>
    <t>Event @ 10/1/2018 7:39:14 PM (Rec.On w.Acq.Off)</t>
  </si>
  <si>
    <t>Event @ 10/1/2018 7:39:24 PM (Rec.On w.Acq.Off)</t>
  </si>
  <si>
    <t>Event @ 10/1/2018 7:39:33 PM (Rec.On w.Acq.Off)</t>
  </si>
  <si>
    <t>Event @ 10/1/2018 7:39:43 PM (Rec.On w.Acq.Off)</t>
  </si>
  <si>
    <t>Event @ 10/1/2018 7:39:52 PM (Rec.On w.Acq.Off)</t>
  </si>
  <si>
    <t>Event @ 10/1/2018 7:40:02 PM (Rec.On w.Acq.Off)</t>
  </si>
  <si>
    <t>Event @ 10/1/2018 7:40:11 PM (Rec.On w.Acq.Off)</t>
  </si>
  <si>
    <t>Event @ 10/1/2018 7:40:21 PM (Rec.On w.Acq.Off)</t>
  </si>
  <si>
    <t>Event @ 10/1/2018 7:40:30 PM (Rec.On w.Acq.Off)</t>
  </si>
  <si>
    <t>Event @ 10/1/2018 7:40:39 PM (Rec.On w.Acq.Off)</t>
  </si>
  <si>
    <t>Event @ 10/1/2018 7:40:49 PM (Rec.On w.Acq.Off)</t>
  </si>
  <si>
    <t>Event @ 10/1/2018 7:40:58 PM (Rec.On w.Acq.Off)</t>
  </si>
  <si>
    <t>Event @ 10/1/2018 7:41:08 PM (Rec.On w.Acq.Off)</t>
  </si>
  <si>
    <t>Event @ 10/1/2018 7:41:18 PM (Rec.On w.Acq.Off)</t>
  </si>
  <si>
    <t>Event @ 10/1/2018 7:41:28 PM (Rec.On w.Acq.Off)</t>
  </si>
  <si>
    <t>Event @ 10/1/2018 7:41:38 PM (Rec.On w.Acq.Off)</t>
  </si>
  <si>
    <t>Event @ 10/1/2018 7:41:47 PM (Rec.On w.Acq.Off)</t>
  </si>
  <si>
    <t>Event @ 10/1/2018 7:41:56 PM (Rec.On w.Acq.Off)</t>
  </si>
  <si>
    <t>Event @ 10/1/2018 7:42:06 PM (Rec.On w.Acq.Off)</t>
  </si>
  <si>
    <t>Event @ 10/1/2018 7:42:15 PM (Rec.On w.Acq.Off)</t>
  </si>
  <si>
    <t>Event @ 10/1/2018 7:42:25 PM (Rec.On w.Acq.Off)</t>
  </si>
  <si>
    <t>Event @ 10/1/2018 7:48:53 PM (Rec.On w.Acq.Off)</t>
  </si>
  <si>
    <t>Event @ 10/1/2018 7:49:04 PM (Rec.On w.Acq.Off)</t>
  </si>
  <si>
    <t>Event @ 10/1/2018 7:49:12 PM (Rec.On w.Acq.Off)</t>
  </si>
  <si>
    <t>Event @ 10/1/2018 7:49:22 PM (Rec.On w.Acq.Off)</t>
  </si>
  <si>
    <t>Event @ 10/1/2018 7:49:32 PM (Rec.On w.Acq.Off)</t>
  </si>
  <si>
    <t>Event @ 10/1/2018 7:49:41 PM (Rec.On w.Acq.Off)</t>
  </si>
  <si>
    <t>Event @ 10/1/2018 7:49:50 PM (Rec.On w.Acq.Off)</t>
  </si>
  <si>
    <t>Event @ 10/1/2018 7:50:00 PM (Rec.On w.Acq.Off)</t>
  </si>
  <si>
    <t>Event @ 10/1/2018 7:50:09 PM (Rec.On w.Acq.Off)</t>
  </si>
  <si>
    <t>Event @ 10/1/2018 7:50:19 PM (Rec.On w.Acq.Off)</t>
  </si>
  <si>
    <t>Event @ 10/1/2018 7:50:28 PM (Rec.On w.Acq.Off)</t>
  </si>
  <si>
    <t>Event @ 10/1/2018 7:50:37 PM (Rec.On w.Acq.Off)</t>
  </si>
  <si>
    <t>Event @ 10/1/2018 7:50:47 PM (Rec.On w.Acq.Off)</t>
  </si>
  <si>
    <t>Event @ 10/1/2018 7:50:57 PM (Rec.On w.Acq.Off)</t>
  </si>
  <si>
    <t>Event @ 10/1/2018 7:51:06 PM (Rec.On w.Acq.Off)</t>
  </si>
  <si>
    <t>Event @ 10/1/2018 7:51:16 PM (Rec.On w.Acq.Off)</t>
  </si>
  <si>
    <t>Event @ 10/1/2018 7:51:25 PM (Rec.On w.Acq.Off)</t>
  </si>
  <si>
    <t>Event @ 10/1/2018 7:51:34 PM (Rec.On w.Acq.Off)</t>
  </si>
  <si>
    <t>Event @ 10/1/2018 7:51:44 PM (Rec.On w.Acq.Off)</t>
  </si>
  <si>
    <t>Event @ 10/1/2018 7:51:54 PM (Rec.On w.Acq.Off)</t>
  </si>
  <si>
    <t>Event @ 10/1/2018 7:52:03 PM (Rec.On w.Acq.Off)</t>
  </si>
  <si>
    <t>Event @ 10/1/2018 7:52:13 PM (Rec.On w.Acq.Off)</t>
  </si>
  <si>
    <t>Event @ 10/1/2018 7:52:22 PM (Rec.On w.Acq.Off)</t>
  </si>
  <si>
    <t>Event @ 10/1/2018 7:56:55 PM (Rec.On w.Acq.Off)</t>
  </si>
  <si>
    <t>Event @ 10/1/2018 7:57:05 PM (Rec.On w.Acq.Off)</t>
  </si>
  <si>
    <t>Event @ 10/1/2018 7:57:15 PM (Rec.On w.Acq.Off)</t>
  </si>
  <si>
    <t>Event @ 10/1/2018 7:57:24 PM (Rec.On w.Acq.Off)</t>
  </si>
  <si>
    <t>Event @ 10/1/2018 7:57:33 PM (Rec.On w.Acq.Off)</t>
  </si>
  <si>
    <t>Event @ 10/1/2018 7:57:43 PM (Rec.On w.Acq.Off)</t>
  </si>
  <si>
    <t>Event @ 10/1/2018 7:57:53 PM (Rec.On w.Acq.Off)</t>
  </si>
  <si>
    <t>Event @ 10/1/2018 7:58:02 PM (Rec.On w.Acq.Off)</t>
  </si>
  <si>
    <t>Event @ 10/1/2018 7:58:11 PM (Rec.On w.Acq.Off)</t>
  </si>
  <si>
    <t>Event @ 10/1/2018 7:58:21 PM (Rec.On w.Acq.Off)</t>
  </si>
  <si>
    <t>Event @ 10/1/2018 7:58:31 PM (Rec.On w.Acq.Off)</t>
  </si>
  <si>
    <t>Event @ 10/1/2018 7:58:40 PM (Rec.On w.Acq.Off)</t>
  </si>
  <si>
    <t>Event @ 10/1/2018 7:58:49 PM (Rec.On w.Acq.Off)</t>
  </si>
  <si>
    <t>Event @ 10/1/2018 7:58:59 PM (Rec.On w.Acq.Off)</t>
  </si>
  <si>
    <t>Event @ 10/1/2018 7:59:08 PM (Rec.On w.Acq.Off)</t>
  </si>
  <si>
    <t>Event @ 10/1/2018 7:59:18 PM (Rec.On w.Acq.Off)</t>
  </si>
  <si>
    <t>Event @ 10/1/2018 7:59:27 PM (Rec.On w.Acq.Off)</t>
  </si>
  <si>
    <t>Event @ 10/1/2018 7:59:36 PM (Rec.On w.Acq.Off)</t>
  </si>
  <si>
    <t>Event @ 10/1/2018 7:59:46 PM (Rec.On w.Acq.Off)</t>
  </si>
  <si>
    <t>Event @ 10/1/2018 7:59:55 PM (Rec.On w.Acq.Off)</t>
  </si>
  <si>
    <t>Event @ 10/1/2018 8:00:05 PM (Rec.On w.Acq.Off)</t>
  </si>
  <si>
    <t>Event @ 10/1/2018 8:00:14 PM (Rec.On w.Acq.Off)</t>
  </si>
  <si>
    <t>Event @ 10/1/2018 8:00:24 PM (Rec.On w.Acq.Off)</t>
  </si>
  <si>
    <t>Event @ 10/1/2018 8:05:20 PM (Rec.On w.Acq.Off)</t>
  </si>
  <si>
    <t>Event @ 10/1/2018 8:05:29 PM (Rec.On w.Acq.Off)</t>
  </si>
  <si>
    <t>Event @ 10/1/2018 8:05:38 PM (Rec.On w.Acq.Off)</t>
  </si>
  <si>
    <t>Event @ 10/1/2018 8:05:48 PM (Rec.On w.Acq.Off)</t>
  </si>
  <si>
    <t>Event @ 10/1/2018 8:05:57 PM (Rec.On w.Acq.Off)</t>
  </si>
  <si>
    <t>Event @ 10/1/2018 8:06:06 PM (Rec.On w.Acq.Off)</t>
  </si>
  <si>
    <t>Event @ 10/1/2018 8:06:16 PM (Rec.On w.Acq.Off)</t>
  </si>
  <si>
    <t>Event @ 10/1/2018 8:06:25 PM (Rec.On w.Acq.Off)</t>
  </si>
  <si>
    <t>Event @ 10/1/2018 8:06:35 PM (Rec.On w.Acq.Off)</t>
  </si>
  <si>
    <t>Event @ 10/1/2018 8:06:44 PM (Rec.On w.Acq.Off)</t>
  </si>
  <si>
    <t>Event @ 10/1/2018 8:06:53 PM (Rec.On w.Acq.Off)</t>
  </si>
  <si>
    <t>Event @ 10/1/2018 8:07:03 PM (Rec.On w.Acq.Off)</t>
  </si>
  <si>
    <t>Event @ 10/1/2018 8:07:12 PM (Rec.On w.Acq.Off)</t>
  </si>
  <si>
    <t>Event @ 10/1/2018 8:07:22 PM (Rec.On w.Acq.Off)</t>
  </si>
  <si>
    <t>Event @ 10/1/2018 8:07:31 PM (Rec.On w.Acq.Off)</t>
  </si>
  <si>
    <t>Event @ 10/1/2018 8:07:40 PM (Rec.On w.Acq.Off)</t>
  </si>
  <si>
    <t>Event @ 10/1/2018 8:07:50 PM (Rec.On w.Acq.Off)</t>
  </si>
  <si>
    <t>Event @ 10/1/2018 8:08:00 PM (Rec.On w.Acq.Off)</t>
  </si>
  <si>
    <t>Event @ 10/1/2018 8:08:09 PM (Rec.On w.Acq.Off)</t>
  </si>
  <si>
    <t>Event @ 10/1/2018 8:08:19 PM (Rec.On w.Acq.Off)</t>
  </si>
  <si>
    <t>Event @ 10/1/2018 8:08:28 PM (Rec.On w.Acq.Off)</t>
  </si>
  <si>
    <t>Event @ 10/1/2018 8:08:38 PM (Rec.On w.Acq.Off)</t>
  </si>
  <si>
    <t>Event @ 10/1/2018 8:08:47 PM (Rec.On w.Acq.Off)</t>
  </si>
  <si>
    <t>Event @ 10/1/2018 8:14:13 PM (Rec.On w.Acq.Off)</t>
  </si>
  <si>
    <t>Event @ 10/1/2018 8:14:29 PM (Rec.On w.Acq.Off)</t>
  </si>
  <si>
    <t>Event @ 10/1/2018 8:14:39 PM (Rec.On w.Acq.Off)</t>
  </si>
  <si>
    <t>Event @ 10/1/2018 8:14:48 PM (Rec.On w.Acq.Off)</t>
  </si>
  <si>
    <t>Event @ 10/1/2018 8:14:57 PM (Rec.On w.Acq.Off)</t>
  </si>
  <si>
    <t>Event @ 10/1/2018 8:15:06 PM (Rec.On w.Acq.Off)</t>
  </si>
  <si>
    <t>Event @ 10/1/2018 8:15:15 PM (Rec.On w.Acq.Off)</t>
  </si>
  <si>
    <t>Event @ 10/1/2018 8:15:25 PM (Rec.On w.Acq.Off)</t>
  </si>
  <si>
    <t>Event @ 10/1/2018 8:15:34 PM (Rec.On w.Acq.Off)</t>
  </si>
  <si>
    <t>Event @ 10/1/2018 8:15:44 PM (Rec.On w.Acq.Off)</t>
  </si>
  <si>
    <t>Event @ 10/1/2018 8:15:53 PM (Rec.On w.Acq.Off)</t>
  </si>
  <si>
    <t>Event @ 10/1/2018 8:16:02 PM (Rec.On w.Acq.Off)</t>
  </si>
  <si>
    <t>Event @ 10/1/2018 8:16:11 PM (Rec.On w.Acq.Off)</t>
  </si>
  <si>
    <t>Event @ 10/1/2018 8:16:21 PM (Rec.On w.Acq.Off)</t>
  </si>
  <si>
    <t>Event @ 10/1/2018 8:16:30 PM (Rec.On w.Acq.Off)</t>
  </si>
  <si>
    <t>Event @ 10/1/2018 8:16:39 PM (Rec.On w.Acq.Off)</t>
  </si>
  <si>
    <t>Event @ 10/1/2018 8:16:49 PM (Rec.On w.Acq.Off)</t>
  </si>
  <si>
    <t>Event @ 10/1/2018 8:16:58 PM (Rec.On w.Acq.Off)</t>
  </si>
  <si>
    <t>Event @ 10/1/2018 8:17:08 PM (Rec.On w.Acq.Off)</t>
  </si>
  <si>
    <t>Event @ 10/1/2018 8:17:17 PM (Rec.On w.Acq.Off)</t>
  </si>
  <si>
    <t>Event @ 09/15/2019 5:34:16 PM (Test 6)</t>
  </si>
  <si>
    <t>FMS DATA</t>
  </si>
  <si>
    <t>Coord</t>
  </si>
  <si>
    <t>180 fps run</t>
  </si>
  <si>
    <t>TOP</t>
  </si>
  <si>
    <t>BOTTOM</t>
  </si>
  <si>
    <t>PRESSURES OF TOP AND BOTTOM OF AIRFOIL</t>
  </si>
  <si>
    <t>Calculations</t>
  </si>
  <si>
    <t>TAP</t>
  </si>
  <si>
    <t>X/C</t>
  </si>
  <si>
    <t>Y/C</t>
  </si>
  <si>
    <t xml:space="preserve">Moved y position </t>
  </si>
  <si>
    <t>AoA</t>
  </si>
  <si>
    <t>Data for 180 FPS</t>
  </si>
  <si>
    <t>q (Dyn. Press)</t>
  </si>
  <si>
    <t>C_p1</t>
  </si>
  <si>
    <t>C_p2</t>
  </si>
  <si>
    <t>C_p3</t>
  </si>
  <si>
    <t>C_p4</t>
  </si>
  <si>
    <t>C_p5</t>
  </si>
  <si>
    <t>C_p6</t>
  </si>
  <si>
    <t>C_p7</t>
  </si>
  <si>
    <t>C_p8</t>
  </si>
  <si>
    <t>C_p9</t>
  </si>
  <si>
    <t>C_p10</t>
  </si>
  <si>
    <t>C_p11</t>
  </si>
  <si>
    <t>C_p12</t>
  </si>
  <si>
    <t>C_p13</t>
  </si>
  <si>
    <t>C_p14</t>
  </si>
  <si>
    <t>C_p15</t>
  </si>
  <si>
    <t>C_p16</t>
  </si>
  <si>
    <t>C_p17</t>
  </si>
  <si>
    <t>C_p18</t>
  </si>
  <si>
    <t>C_p19</t>
  </si>
  <si>
    <t>C_p20</t>
  </si>
  <si>
    <t>C_p21</t>
  </si>
  <si>
    <t>C_p22</t>
  </si>
  <si>
    <t>C_p23</t>
  </si>
  <si>
    <t>C_p24</t>
  </si>
  <si>
    <t>C_p25</t>
  </si>
  <si>
    <t>C_p26</t>
  </si>
  <si>
    <t>C_p27</t>
  </si>
  <si>
    <t>C_p28</t>
  </si>
  <si>
    <t>C_p29</t>
  </si>
  <si>
    <t>C_p30</t>
  </si>
  <si>
    <t>C_p31</t>
  </si>
  <si>
    <t>C_p32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</si>
</sst>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14" fontId="0" fillId="0" borderId="0" xfId="0" applyNumberFormat="1"/>
    <xf numFmtId="21" fontId="0" fillId="0" borderId="0" xfId="0" applyNumberFormat="1"/>
    <xf numFmtId="11" fontId="0" fillId="0" borderId="0" xfId="0" applyNumberFormat="1"/>
    <xf numFmtId="164" fontId="0" fillId="0" borderId="0" xfId="0" applyNumberFormat="1"/>
    <xf numFmtId="0" fontId="16" fillId="0" borderId="0" xfId="0" applyFont="1"/>
    <xf numFmtId="11" fontId="16" fillId="0" borderId="0" xfId="0" applyNumberFormat="1" applyFont="1"/>
    <xf numFmtId="0" fontId="7" fillId="3" borderId="0" xfId="7"/>
    <xf numFmtId="11" fontId="7" fillId="3" borderId="0" xfId="7" applyNumberFormat="1"/>
    <xf numFmtId="0" fontId="0" fillId="34" borderId="0" xfId="0" applyFill="1"/>
    <xf numFmtId="0" fontId="0" fillId="36" borderId="0" xfId="0" applyFill="1"/>
    <xf numFmtId="0" fontId="0" fillId="33" borderId="0" xfId="0" applyFill="1"/>
    <xf numFmtId="0" fontId="0" fillId="36" borderId="0" xfId="0" applyFill="1" applyAlignment="1">
      <alignment horizontal="center" vertical="center" wrapText="1"/>
    </xf>
    <xf numFmtId="0" fontId="0" fillId="37" borderId="0" xfId="0" applyFill="1" applyAlignment="1">
      <alignment horizontal="center" vertical="center" wrapText="1"/>
    </xf>
    <xf numFmtId="0" fontId="16" fillId="38" borderId="0" xfId="0" applyFont="1" applyFill="1" applyAlignment="1">
      <alignment horizontal="center"/>
    </xf>
    <xf numFmtId="0" fontId="0" fillId="38" borderId="0" xfId="0" applyFill="1" applyAlignment="1">
      <alignment horizontal="center"/>
    </xf>
    <xf numFmtId="0" fontId="16" fillId="35" borderId="0" xfId="0" applyFont="1" applyFill="1" applyAlignment="1">
      <alignment horizontal="center"/>
    </xf>
    <xf numFmtId="0" fontId="0" fillId="33" borderId="0" xfId="0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 VS. 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Plot #1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Calcs!$H$169:$H$200</c:f>
              <c:numCache>
                <c:formatCode>General</c:formatCode>
                <c:ptCount val="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0.4</c:v>
                </c:pt>
                <c:pt idx="4">
                  <c:v>0.6</c:v>
                </c:pt>
                <c:pt idx="5">
                  <c:v>0.8</c:v>
                </c:pt>
                <c:pt idx="6">
                  <c:v>1.2</c:v>
                </c:pt>
                <c:pt idx="7">
                  <c:v>1.6</c:v>
                </c:pt>
                <c:pt idx="8">
                  <c:v>2</c:v>
                </c:pt>
                <c:pt idx="9">
                  <c:v>2.4</c:v>
                </c:pt>
                <c:pt idx="10">
                  <c:v>3.2</c:v>
                </c:pt>
                <c:pt idx="11">
                  <c:v>4</c:v>
                </c:pt>
                <c:pt idx="12">
                  <c:v>4.8</c:v>
                </c:pt>
                <c:pt idx="13">
                  <c:v>5.6</c:v>
                </c:pt>
                <c:pt idx="14">
                  <c:v>6.4</c:v>
                </c:pt>
                <c:pt idx="15">
                  <c:v>7.2</c:v>
                </c:pt>
                <c:pt idx="16">
                  <c:v>7.6</c:v>
                </c:pt>
                <c:pt idx="17">
                  <c:v>8</c:v>
                </c:pt>
                <c:pt idx="18">
                  <c:v>7.6</c:v>
                </c:pt>
                <c:pt idx="19">
                  <c:v>7.2</c:v>
                </c:pt>
                <c:pt idx="20">
                  <c:v>6.4</c:v>
                </c:pt>
                <c:pt idx="21">
                  <c:v>5.6</c:v>
                </c:pt>
                <c:pt idx="22">
                  <c:v>3.2</c:v>
                </c:pt>
                <c:pt idx="23">
                  <c:v>2.4</c:v>
                </c:pt>
                <c:pt idx="24">
                  <c:v>2</c:v>
                </c:pt>
                <c:pt idx="25">
                  <c:v>1.6</c:v>
                </c:pt>
                <c:pt idx="26">
                  <c:v>1.2</c:v>
                </c:pt>
                <c:pt idx="27">
                  <c:v>0.8</c:v>
                </c:pt>
                <c:pt idx="28">
                  <c:v>0.6</c:v>
                </c:pt>
                <c:pt idx="29">
                  <c:v>0.4</c:v>
                </c:pt>
                <c:pt idx="30">
                  <c:v>0.2</c:v>
                </c:pt>
                <c:pt idx="31">
                  <c:v>0.1</c:v>
                </c:pt>
              </c:numCache>
            </c:numRef>
          </c:xVal>
          <c:yVal>
            <c:numRef>
              <c:f>Calcs!$I$169:$I$200</c:f>
              <c:numCache>
                <c:formatCode>General</c:formatCode>
                <c:ptCount val="32"/>
                <c:pt idx="0">
                  <c:v>0</c:v>
                </c:pt>
                <c:pt idx="1">
                  <c:v>-0.15151999999999999</c:v>
                </c:pt>
                <c:pt idx="2">
                  <c:v>-0.2092</c:v>
                </c:pt>
                <c:pt idx="3">
                  <c:v>-0.28439999999999999</c:v>
                </c:pt>
                <c:pt idx="4">
                  <c:v>-0.33600000000000002</c:v>
                </c:pt>
                <c:pt idx="5">
                  <c:v>-0.37463999999999997</c:v>
                </c:pt>
                <c:pt idx="6">
                  <c:v>-0.42759999999999998</c:v>
                </c:pt>
                <c:pt idx="7">
                  <c:v>-0.45895999999999998</c:v>
                </c:pt>
                <c:pt idx="8">
                  <c:v>-0.47527999999999998</c:v>
                </c:pt>
                <c:pt idx="9">
                  <c:v>-0.48015999999999998</c:v>
                </c:pt>
                <c:pt idx="10">
                  <c:v>-0.46423999999999999</c:v>
                </c:pt>
                <c:pt idx="11">
                  <c:v>-0.42352000000000001</c:v>
                </c:pt>
                <c:pt idx="12">
                  <c:v>-0.36503999999999998</c:v>
                </c:pt>
                <c:pt idx="13">
                  <c:v>-0.29311999999999999</c:v>
                </c:pt>
                <c:pt idx="14">
                  <c:v>-0.20984</c:v>
                </c:pt>
                <c:pt idx="15">
                  <c:v>-0.11584</c:v>
                </c:pt>
                <c:pt idx="16">
                  <c:v>-6.4560000000000006E-2</c:v>
                </c:pt>
                <c:pt idx="17">
                  <c:v>0</c:v>
                </c:pt>
                <c:pt idx="18">
                  <c:v>6.4560000000000006E-2</c:v>
                </c:pt>
                <c:pt idx="19">
                  <c:v>0.11584</c:v>
                </c:pt>
                <c:pt idx="20">
                  <c:v>0.20984</c:v>
                </c:pt>
                <c:pt idx="21">
                  <c:v>0.29311999999999999</c:v>
                </c:pt>
                <c:pt idx="22">
                  <c:v>0.46423999999999999</c:v>
                </c:pt>
                <c:pt idx="23">
                  <c:v>0.48015999999999998</c:v>
                </c:pt>
                <c:pt idx="24">
                  <c:v>0.47527999999999998</c:v>
                </c:pt>
                <c:pt idx="25">
                  <c:v>0.45895999999999998</c:v>
                </c:pt>
                <c:pt idx="26">
                  <c:v>0.42759999999999998</c:v>
                </c:pt>
                <c:pt idx="27">
                  <c:v>0.37463999999999997</c:v>
                </c:pt>
                <c:pt idx="28">
                  <c:v>0.33600000000000002</c:v>
                </c:pt>
                <c:pt idx="29">
                  <c:v>0.28439999999999999</c:v>
                </c:pt>
                <c:pt idx="30">
                  <c:v>0.2092</c:v>
                </c:pt>
                <c:pt idx="31">
                  <c:v>0.15151999999999999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E-4029-A289-2C298E528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455152"/>
        <c:axId val="1517746784"/>
      </c:scatterChart>
      <c:valAx>
        <c:axId val="151145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746784"/>
        <c:crosses val="autoZero"/>
        <c:crossBetween val="midCat"/>
      </c:valAx>
      <c:valAx>
        <c:axId val="151774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455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Bottom Tap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Calcs!$F$169:$F$185</c:f>
              <c:numCache>
                <c:formatCode>General</c:formatCode>
                <c:ptCount val="17"/>
                <c:pt idx="0">
                  <c:v>0</c:v>
                </c:pt>
                <c:pt idx="1">
                  <c:v>1.2500000000000001E-2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0.6</c:v>
                </c:pt>
                <c:pt idx="13">
                  <c:v>0.7</c:v>
                </c:pt>
                <c:pt idx="14">
                  <c:v>0.8</c:v>
                </c:pt>
                <c:pt idx="15">
                  <c:v>0.9</c:v>
                </c:pt>
                <c:pt idx="16">
                  <c:v>0.95</c:v>
                </c:pt>
              </c:numCache>
            </c:numRef>
          </c:xVal>
          <c:yVal>
            <c:numRef>
              <c:f>Calcs!$L$169:$L$185</c:f>
              <c:numCache>
                <c:formatCode>General</c:formatCode>
                <c:ptCount val="17"/>
                <c:pt idx="0">
                  <c:v>-9.7381110000000007E-2</c:v>
                </c:pt>
                <c:pt idx="1">
                  <c:v>-0.66208409999999995</c:v>
                </c:pt>
                <c:pt idx="2">
                  <c:v>-0.57179210000000003</c:v>
                </c:pt>
                <c:pt idx="3">
                  <c:v>-0.46573969999999998</c:v>
                </c:pt>
                <c:pt idx="4">
                  <c:v>-0.4059334</c:v>
                </c:pt>
                <c:pt idx="5">
                  <c:v>-3.5473350000000001E-2</c:v>
                </c:pt>
                <c:pt idx="6">
                  <c:v>-0.33714719999999998</c:v>
                </c:pt>
                <c:pt idx="7">
                  <c:v>-0.28523779999999999</c:v>
                </c:pt>
                <c:pt idx="8">
                  <c:v>-0.26356740000000001</c:v>
                </c:pt>
                <c:pt idx="9">
                  <c:v>4.7463890000000002E-2</c:v>
                </c:pt>
                <c:pt idx="10">
                  <c:v>-0.2071848</c:v>
                </c:pt>
                <c:pt idx="11">
                  <c:v>-0.1723981</c:v>
                </c:pt>
                <c:pt idx="12">
                  <c:v>4.8770899999999997E-3</c:v>
                </c:pt>
                <c:pt idx="13">
                  <c:v>-0.12342740000000001</c:v>
                </c:pt>
                <c:pt idx="14">
                  <c:v>-9.4748499999999999E-2</c:v>
                </c:pt>
                <c:pt idx="15">
                  <c:v>-6.7215440000000001E-2</c:v>
                </c:pt>
                <c:pt idx="16">
                  <c:v>-5.6692600000000003E-2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AF-446C-A5B4-FFF939F9B2AD}"/>
            </c:ext>
          </c:extLst>
        </c:ser>
        <c:ser>
          <c:idx val="1"/>
          <c:order val="1"/>
          <c:tx>
            <c:v>Top Tap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Calcs!$F$186:$F$200</c:f>
              <c:numCache>
                <c:formatCode>General</c:formatCode>
                <c:ptCount val="15"/>
                <c:pt idx="0">
                  <c:v>1</c:v>
                </c:pt>
                <c:pt idx="1">
                  <c:v>0.95</c:v>
                </c:pt>
                <c:pt idx="2">
                  <c:v>0.9</c:v>
                </c:pt>
                <c:pt idx="3">
                  <c:v>0.8</c:v>
                </c:pt>
                <c:pt idx="4">
                  <c:v>0.7</c:v>
                </c:pt>
                <c:pt idx="5">
                  <c:v>0.4</c:v>
                </c:pt>
                <c:pt idx="6">
                  <c:v>0.3</c:v>
                </c:pt>
                <c:pt idx="7">
                  <c:v>0.25</c:v>
                </c:pt>
                <c:pt idx="8">
                  <c:v>0.2</c:v>
                </c:pt>
                <c:pt idx="9">
                  <c:v>0.15</c:v>
                </c:pt>
                <c:pt idx="10">
                  <c:v>0.1</c:v>
                </c:pt>
                <c:pt idx="11">
                  <c:v>7.4999999999999997E-2</c:v>
                </c:pt>
                <c:pt idx="12">
                  <c:v>0.05</c:v>
                </c:pt>
                <c:pt idx="13">
                  <c:v>2.5000000000000001E-2</c:v>
                </c:pt>
                <c:pt idx="14">
                  <c:v>1.2500000000000001E-2</c:v>
                </c:pt>
              </c:numCache>
            </c:numRef>
          </c:xVal>
          <c:yVal>
            <c:numRef>
              <c:f>Calcs!$L$186:$L$200</c:f>
              <c:numCache>
                <c:formatCode>General</c:formatCode>
                <c:ptCount val="15"/>
                <c:pt idx="0">
                  <c:v>-4.5741560000000001E-2</c:v>
                </c:pt>
                <c:pt idx="1">
                  <c:v>-4.9483300000000001E-2</c:v>
                </c:pt>
                <c:pt idx="2">
                  <c:v>-5.7263370000000001E-2</c:v>
                </c:pt>
                <c:pt idx="3">
                  <c:v>-6.1161989999999999E-2</c:v>
                </c:pt>
                <c:pt idx="4">
                  <c:v>-7.1237560000000005E-2</c:v>
                </c:pt>
                <c:pt idx="5">
                  <c:v>-7.7335829999999994E-2</c:v>
                </c:pt>
                <c:pt idx="6">
                  <c:v>-7.032919E-2</c:v>
                </c:pt>
                <c:pt idx="7">
                  <c:v>-6.7307000000000006E-2</c:v>
                </c:pt>
                <c:pt idx="8">
                  <c:v>-5.6524749999999999E-2</c:v>
                </c:pt>
                <c:pt idx="9">
                  <c:v>-4.4765470000000002E-2</c:v>
                </c:pt>
                <c:pt idx="10">
                  <c:v>-1.6530510000000002E-2</c:v>
                </c:pt>
                <c:pt idx="11">
                  <c:v>8.9278220000000002E-3</c:v>
                </c:pt>
                <c:pt idx="12">
                  <c:v>4.4658660000000003E-2</c:v>
                </c:pt>
                <c:pt idx="13">
                  <c:v>0.10062599999999999</c:v>
                </c:pt>
                <c:pt idx="14">
                  <c:v>0.15638260000000001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AF-446C-A5B4-FFF939F9B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935135"/>
        <c:axId val="1350211791"/>
      </c:scatterChart>
      <c:valAx>
        <c:axId val="780935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0211791"/>
        <c:crosses val="autoZero"/>
        <c:crossBetween val="midCat"/>
      </c:valAx>
      <c:valAx>
        <c:axId val="1350211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9351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Bottom Tap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Calcs!$F$169:$F$185</c:f>
              <c:numCache>
                <c:formatCode>General</c:formatCode>
                <c:ptCount val="17"/>
                <c:pt idx="0">
                  <c:v>0</c:v>
                </c:pt>
                <c:pt idx="1">
                  <c:v>1.2500000000000001E-2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7.4999999999999997E-2</c:v>
                </c:pt>
                <c:pt idx="5">
                  <c:v>0.1</c:v>
                </c:pt>
                <c:pt idx="6">
                  <c:v>0.15</c:v>
                </c:pt>
                <c:pt idx="7">
                  <c:v>0.2</c:v>
                </c:pt>
                <c:pt idx="8">
                  <c:v>0.25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0.6</c:v>
                </c:pt>
                <c:pt idx="13">
                  <c:v>0.7</c:v>
                </c:pt>
                <c:pt idx="14">
                  <c:v>0.8</c:v>
                </c:pt>
                <c:pt idx="15">
                  <c:v>0.9</c:v>
                </c:pt>
                <c:pt idx="16">
                  <c:v>0.95</c:v>
                </c:pt>
              </c:numCache>
            </c:numRef>
          </c:xVal>
          <c:yVal>
            <c:numRef>
              <c:f>Calcs!$AK$169:$AK$185</c:f>
              <c:numCache>
                <c:formatCode>0.00E+00</c:formatCode>
                <c:ptCount val="17"/>
                <c:pt idx="0">
                  <c:v>-1.8456711236421731E-5</c:v>
                </c:pt>
                <c:pt idx="1">
                  <c:v>-1.2548527171158931E-4</c:v>
                </c:pt>
                <c:pt idx="2">
                  <c:v>-1.0837216454985138E-4</c:v>
                </c:pt>
                <c:pt idx="3">
                  <c:v>-8.8271977534839E-5</c:v>
                </c:pt>
                <c:pt idx="4">
                  <c:v>-7.6936846838353723E-5</c:v>
                </c:pt>
                <c:pt idx="5">
                  <c:v>-6.7232893272475619E-6</c:v>
                </c:pt>
                <c:pt idx="6">
                  <c:v>-6.389974928985841E-5</c:v>
                </c:pt>
                <c:pt idx="7">
                  <c:v>-5.4061323682921811E-5</c:v>
                </c:pt>
                <c:pt idx="8">
                  <c:v>-4.995411731427646E-5</c:v>
                </c:pt>
                <c:pt idx="9">
                  <c:v>8.9958649258288898E-6</c:v>
                </c:pt>
                <c:pt idx="10">
                  <c:v>-3.9267882920781952E-5</c:v>
                </c:pt>
                <c:pt idx="11">
                  <c:v>-3.2674734857794874E-5</c:v>
                </c:pt>
                <c:pt idx="12">
                  <c:v>9.2435834633677975E-7</c:v>
                </c:pt>
                <c:pt idx="13">
                  <c:v>-2.3393283157917582E-5</c:v>
                </c:pt>
                <c:pt idx="14">
                  <c:v>-1.7957750785384394E-5</c:v>
                </c:pt>
                <c:pt idx="15">
                  <c:v>-1.2739390285333887E-5</c:v>
                </c:pt>
                <c:pt idx="16">
                  <c:v>-1.0744988914605334E-5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F8-434C-8AB5-6C483820A8E9}"/>
            </c:ext>
          </c:extLst>
        </c:ser>
        <c:ser>
          <c:idx val="1"/>
          <c:order val="1"/>
          <c:tx>
            <c:v>Top Tap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Calcs!$F$186:$F$200</c:f>
              <c:numCache>
                <c:formatCode>General</c:formatCode>
                <c:ptCount val="15"/>
                <c:pt idx="0">
                  <c:v>1</c:v>
                </c:pt>
                <c:pt idx="1">
                  <c:v>0.95</c:v>
                </c:pt>
                <c:pt idx="2">
                  <c:v>0.9</c:v>
                </c:pt>
                <c:pt idx="3">
                  <c:v>0.8</c:v>
                </c:pt>
                <c:pt idx="4">
                  <c:v>0.7</c:v>
                </c:pt>
                <c:pt idx="5">
                  <c:v>0.4</c:v>
                </c:pt>
                <c:pt idx="6">
                  <c:v>0.3</c:v>
                </c:pt>
                <c:pt idx="7">
                  <c:v>0.25</c:v>
                </c:pt>
                <c:pt idx="8">
                  <c:v>0.2</c:v>
                </c:pt>
                <c:pt idx="9">
                  <c:v>0.15</c:v>
                </c:pt>
                <c:pt idx="10">
                  <c:v>0.1</c:v>
                </c:pt>
                <c:pt idx="11">
                  <c:v>7.4999999999999997E-2</c:v>
                </c:pt>
                <c:pt idx="12">
                  <c:v>0.05</c:v>
                </c:pt>
                <c:pt idx="13">
                  <c:v>2.5000000000000001E-2</c:v>
                </c:pt>
                <c:pt idx="14">
                  <c:v>1.2500000000000001E-2</c:v>
                </c:pt>
              </c:numCache>
            </c:numRef>
          </c:xVal>
          <c:yVal>
            <c:numRef>
              <c:f>Calcs!$AK$186:$AK$200</c:f>
              <c:numCache>
                <c:formatCode>0.00E+00</c:formatCode>
                <c:ptCount val="15"/>
                <c:pt idx="0">
                  <c:v>-8.6694304924585341E-6</c:v>
                </c:pt>
                <c:pt idx="1">
                  <c:v>-9.3786051434947443E-6</c:v>
                </c:pt>
                <c:pt idx="2">
                  <c:v>-1.0853167359813161E-5</c:v>
                </c:pt>
                <c:pt idx="3">
                  <c:v>-1.1592075589145713E-5</c:v>
                </c:pt>
                <c:pt idx="4">
                  <c:v>-1.350170555775414E-5</c:v>
                </c:pt>
                <c:pt idx="5">
                  <c:v>-1.4657515020510658E-5</c:v>
                </c:pt>
                <c:pt idx="6">
                  <c:v>-1.3329541543749489E-5</c:v>
                </c:pt>
                <c:pt idx="7">
                  <c:v>-1.2756743717440041E-5</c:v>
                </c:pt>
                <c:pt idx="8">
                  <c:v>-1.0713176184384519E-5</c:v>
                </c:pt>
                <c:pt idx="9">
                  <c:v>-8.4844314585518682E-6</c:v>
                </c:pt>
                <c:pt idx="10">
                  <c:v>-3.133039350863651E-6</c:v>
                </c:pt>
                <c:pt idx="11">
                  <c:v>1.6920964715248484E-6</c:v>
                </c:pt>
                <c:pt idx="12">
                  <c:v>8.4641876830684891E-6</c:v>
                </c:pt>
                <c:pt idx="13">
                  <c:v>1.9071717552574343E-5</c:v>
                </c:pt>
                <c:pt idx="14">
                  <c:v>2.9639305719567634E-5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F8-434C-8AB5-6C483820A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4009232"/>
        <c:axId val="1729321840"/>
      </c:scatterChart>
      <c:valAx>
        <c:axId val="1634009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321840"/>
        <c:crosses val="autoZero"/>
        <c:crossBetween val="midCat"/>
      </c:valAx>
      <c:valAx>
        <c:axId val="172932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4009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274646</xdr:colOff>
      <xdr:row>204</xdr:row>
      <xdr:rowOff>42069</xdr:rowOff>
    </xdr:from>
    <xdr:to>
      <xdr:col>8</xdr:col>
      <xdr:colOff>179854</xdr:colOff>
      <xdr:row>218</xdr:row>
      <xdr:rowOff>118269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37B494-496F-93CE-72DB-1D21C6FB92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263337</xdr:colOff>
      <xdr:row>204</xdr:row>
      <xdr:rowOff>29135</xdr:rowOff>
    </xdr:from>
    <xdr:to>
      <xdr:col>20</xdr:col>
      <xdr:colOff>168087</xdr:colOff>
      <xdr:row>230</xdr:row>
      <xdr:rowOff>84044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6843F6F-6768-9B09-BB56-63D7CE1945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978477</xdr:colOff>
      <xdr:row>211</xdr:row>
      <xdr:rowOff>65809</xdr:rowOff>
    </xdr:from>
    <xdr:to>
      <xdr:col>36</xdr:col>
      <xdr:colOff>216477</xdr:colOff>
      <xdr:row>225</xdr:row>
      <xdr:rowOff>142009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6DF67C9-F2F6-5393-25C2-9242D6B50D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N21"/>
  <sheetViews>
    <sheetView workbookViewId="0">
      <selection activeCell="K27" sqref="K27"/>
    </sheetView>
  </sheetViews>
  <sheetFormatPr defaultRowHeight="15" x14ac:dyDescent="0.25"/>
  <sheetData>
    <row r="2" spans="2:14" x14ac:dyDescent="0.25">
      <c r="D2" t="s">
        <v>69</v>
      </c>
      <c r="E2">
        <v>8</v>
      </c>
    </row>
    <row r="3" spans="2:14" x14ac:dyDescent="0.25">
      <c r="B3" t="s">
        <v>37</v>
      </c>
      <c r="G3" t="s">
        <v>38</v>
      </c>
      <c r="M3" t="s">
        <v>73</v>
      </c>
    </row>
    <row r="4" spans="2:14" x14ac:dyDescent="0.25">
      <c r="B4" t="s">
        <v>39</v>
      </c>
      <c r="C4" t="s">
        <v>40</v>
      </c>
      <c r="D4" t="s">
        <v>41</v>
      </c>
      <c r="E4" t="s">
        <v>67</v>
      </c>
      <c r="F4" t="s">
        <v>68</v>
      </c>
      <c r="G4" t="s">
        <v>39</v>
      </c>
      <c r="H4" t="s">
        <v>40</v>
      </c>
      <c r="I4" t="s">
        <v>41</v>
      </c>
      <c r="J4" t="s">
        <v>67</v>
      </c>
      <c r="K4" t="s">
        <v>68</v>
      </c>
      <c r="M4" t="s">
        <v>74</v>
      </c>
      <c r="N4" t="s">
        <v>70</v>
      </c>
    </row>
    <row r="5" spans="2:14" x14ac:dyDescent="0.25">
      <c r="B5">
        <v>18</v>
      </c>
      <c r="C5" s="4">
        <v>1</v>
      </c>
      <c r="D5">
        <v>1.26E-2</v>
      </c>
      <c r="E5">
        <f>C5*$E$2</f>
        <v>8</v>
      </c>
      <c r="F5">
        <f>D5*$E$2</f>
        <v>0.1008</v>
      </c>
      <c r="G5">
        <v>1</v>
      </c>
      <c r="H5">
        <v>0</v>
      </c>
      <c r="I5">
        <v>0</v>
      </c>
      <c r="J5">
        <f>H5*$E$2</f>
        <v>0</v>
      </c>
      <c r="K5">
        <f>I5*$E$2</f>
        <v>0</v>
      </c>
      <c r="M5">
        <v>-3.9299843633953699</v>
      </c>
      <c r="N5">
        <v>-0.41776722248255099</v>
      </c>
    </row>
    <row r="6" spans="2:14" x14ac:dyDescent="0.25">
      <c r="B6">
        <v>19</v>
      </c>
      <c r="C6" s="4">
        <v>0.95</v>
      </c>
      <c r="D6">
        <v>8.0700000000000008E-3</v>
      </c>
      <c r="E6">
        <f t="shared" ref="E6:E19" si="0">C6*$E$2</f>
        <v>7.6</v>
      </c>
      <c r="F6">
        <f t="shared" ref="F6:F19" si="1">D6*$E$2</f>
        <v>6.4560000000000006E-2</v>
      </c>
      <c r="G6">
        <v>2</v>
      </c>
      <c r="H6">
        <v>1.2500000000000001E-2</v>
      </c>
      <c r="I6">
        <v>-1.8939999999999999E-2</v>
      </c>
      <c r="J6">
        <f t="shared" ref="J6:J21" si="2">H6*$E$2</f>
        <v>0.1</v>
      </c>
      <c r="K6">
        <f t="shared" ref="K6:K21" si="3">I6*$E$2</f>
        <v>-0.15151999999999999</v>
      </c>
      <c r="M6">
        <v>-1.9001068815008799</v>
      </c>
      <c r="N6">
        <v>-0.20558185425363901</v>
      </c>
    </row>
    <row r="7" spans="2:14" x14ac:dyDescent="0.25">
      <c r="B7">
        <v>20</v>
      </c>
      <c r="C7" s="4">
        <v>0.9</v>
      </c>
      <c r="D7">
        <v>1.448E-2</v>
      </c>
      <c r="E7">
        <f t="shared" si="0"/>
        <v>7.2</v>
      </c>
      <c r="F7">
        <f t="shared" si="1"/>
        <v>0.11584</v>
      </c>
      <c r="G7">
        <v>3</v>
      </c>
      <c r="H7">
        <v>2.5000000000000001E-2</v>
      </c>
      <c r="I7">
        <v>-2.615E-2</v>
      </c>
      <c r="J7">
        <f t="shared" si="2"/>
        <v>0.2</v>
      </c>
      <c r="K7">
        <f t="shared" si="3"/>
        <v>-0.2092</v>
      </c>
      <c r="M7">
        <v>0.13022743703620401</v>
      </c>
      <c r="N7">
        <v>-7.2121982449320204E-3</v>
      </c>
    </row>
    <row r="8" spans="2:14" x14ac:dyDescent="0.25">
      <c r="B8">
        <v>21</v>
      </c>
      <c r="C8" s="4">
        <v>0.8</v>
      </c>
      <c r="D8">
        <v>2.623E-2</v>
      </c>
      <c r="E8">
        <f t="shared" si="0"/>
        <v>6.4</v>
      </c>
      <c r="F8">
        <f t="shared" si="1"/>
        <v>0.20984</v>
      </c>
      <c r="G8">
        <v>4</v>
      </c>
      <c r="H8">
        <v>0.05</v>
      </c>
      <c r="I8">
        <v>-3.5549999999999998E-2</v>
      </c>
      <c r="J8">
        <f t="shared" si="2"/>
        <v>0.4</v>
      </c>
      <c r="K8">
        <f t="shared" si="3"/>
        <v>-0.28439999999999999</v>
      </c>
      <c r="M8">
        <v>2.06706252272383</v>
      </c>
      <c r="N8">
        <v>0.21877322549876899</v>
      </c>
    </row>
    <row r="9" spans="2:14" x14ac:dyDescent="0.25">
      <c r="B9">
        <v>22</v>
      </c>
      <c r="C9" s="4">
        <v>0.7</v>
      </c>
      <c r="D9">
        <v>3.6639999999999999E-2</v>
      </c>
      <c r="E9">
        <f t="shared" si="0"/>
        <v>5.6</v>
      </c>
      <c r="F9">
        <f t="shared" si="1"/>
        <v>0.29311999999999999</v>
      </c>
      <c r="G9">
        <v>5</v>
      </c>
      <c r="H9">
        <v>7.4999999999999997E-2</v>
      </c>
      <c r="I9">
        <v>-4.2000000000000003E-2</v>
      </c>
      <c r="J9">
        <f t="shared" si="2"/>
        <v>0.6</v>
      </c>
      <c r="K9">
        <f t="shared" si="3"/>
        <v>-0.33600000000000002</v>
      </c>
      <c r="M9">
        <v>4.09663544685659</v>
      </c>
      <c r="N9">
        <v>0.44016906854115001</v>
      </c>
    </row>
    <row r="10" spans="2:14" x14ac:dyDescent="0.25">
      <c r="B10">
        <v>23</v>
      </c>
      <c r="C10" s="4">
        <v>0.4</v>
      </c>
      <c r="D10">
        <v>5.8029999999999998E-2</v>
      </c>
      <c r="E10">
        <f t="shared" si="0"/>
        <v>3.2</v>
      </c>
      <c r="F10">
        <f t="shared" si="1"/>
        <v>0.46423999999999999</v>
      </c>
      <c r="G10">
        <v>6</v>
      </c>
      <c r="H10">
        <v>0.1</v>
      </c>
      <c r="I10">
        <v>-4.6829999999999997E-2</v>
      </c>
      <c r="J10">
        <f t="shared" si="2"/>
        <v>0.8</v>
      </c>
      <c r="K10">
        <f t="shared" si="3"/>
        <v>-0.37463999999999997</v>
      </c>
      <c r="M10">
        <v>6.1263606498702199</v>
      </c>
      <c r="N10">
        <v>0.65695967417679701</v>
      </c>
    </row>
    <row r="11" spans="2:14" x14ac:dyDescent="0.25">
      <c r="B11">
        <v>24</v>
      </c>
      <c r="C11" s="4">
        <v>0.3</v>
      </c>
      <c r="D11">
        <v>6.0019999999999997E-2</v>
      </c>
      <c r="E11">
        <f t="shared" si="0"/>
        <v>2.4</v>
      </c>
      <c r="F11">
        <f t="shared" si="1"/>
        <v>0.48015999999999998</v>
      </c>
      <c r="G11">
        <v>7</v>
      </c>
      <c r="H11">
        <v>0.15</v>
      </c>
      <c r="I11">
        <v>-5.3449999999999998E-2</v>
      </c>
      <c r="J11">
        <f t="shared" si="2"/>
        <v>1.2</v>
      </c>
      <c r="K11">
        <f t="shared" si="3"/>
        <v>-0.42759999999999998</v>
      </c>
      <c r="M11">
        <v>8.3429320397018998</v>
      </c>
      <c r="N11">
        <v>0.82312398174919299</v>
      </c>
    </row>
    <row r="12" spans="2:14" x14ac:dyDescent="0.25">
      <c r="B12">
        <v>25</v>
      </c>
      <c r="C12" s="4">
        <v>0.25</v>
      </c>
      <c r="D12">
        <v>5.9409999999999998E-2</v>
      </c>
      <c r="E12">
        <f t="shared" si="0"/>
        <v>2</v>
      </c>
      <c r="F12">
        <f t="shared" si="1"/>
        <v>0.47527999999999998</v>
      </c>
      <c r="G12">
        <v>8</v>
      </c>
      <c r="H12">
        <v>0.2</v>
      </c>
      <c r="I12">
        <v>-5.7369999999999997E-2</v>
      </c>
      <c r="J12">
        <f t="shared" si="2"/>
        <v>1.6</v>
      </c>
      <c r="K12">
        <f t="shared" si="3"/>
        <v>-0.45895999999999998</v>
      </c>
      <c r="M12">
        <v>10.283574097411</v>
      </c>
      <c r="N12">
        <v>0.93397847032453096</v>
      </c>
    </row>
    <row r="13" spans="2:14" x14ac:dyDescent="0.25">
      <c r="B13">
        <v>26</v>
      </c>
      <c r="C13" s="4">
        <v>0.2</v>
      </c>
      <c r="D13">
        <v>5.7369999999999997E-2</v>
      </c>
      <c r="E13">
        <f t="shared" si="0"/>
        <v>1.6</v>
      </c>
      <c r="F13">
        <f t="shared" si="1"/>
        <v>0.45895999999999998</v>
      </c>
      <c r="G13">
        <v>9</v>
      </c>
      <c r="H13">
        <v>0.25</v>
      </c>
      <c r="I13">
        <v>-5.9409999999999998E-2</v>
      </c>
      <c r="J13">
        <f t="shared" si="2"/>
        <v>2</v>
      </c>
      <c r="K13">
        <f t="shared" si="3"/>
        <v>-0.47527999999999998</v>
      </c>
      <c r="M13">
        <v>11.207450067602601</v>
      </c>
      <c r="N13">
        <v>0.99400312366622701</v>
      </c>
    </row>
    <row r="14" spans="2:14" x14ac:dyDescent="0.25">
      <c r="B14">
        <v>27</v>
      </c>
      <c r="C14" s="4">
        <v>0.15</v>
      </c>
      <c r="D14">
        <v>5.3449999999999998E-2</v>
      </c>
      <c r="E14">
        <f t="shared" si="0"/>
        <v>1.2</v>
      </c>
      <c r="F14">
        <f t="shared" si="1"/>
        <v>0.42759999999999998</v>
      </c>
      <c r="G14">
        <v>10</v>
      </c>
      <c r="H14">
        <v>0.3</v>
      </c>
      <c r="I14">
        <v>-6.0019999999999997E-2</v>
      </c>
      <c r="J14">
        <f t="shared" si="2"/>
        <v>2.4</v>
      </c>
      <c r="K14">
        <f t="shared" si="3"/>
        <v>-0.48015999999999998</v>
      </c>
      <c r="M14">
        <v>12.3174108302079</v>
      </c>
      <c r="N14">
        <v>1.02642766597834</v>
      </c>
    </row>
    <row r="15" spans="2:14" x14ac:dyDescent="0.25">
      <c r="B15">
        <v>28</v>
      </c>
      <c r="C15" s="4">
        <v>0.1</v>
      </c>
      <c r="D15">
        <v>4.6829999999999997E-2</v>
      </c>
      <c r="E15">
        <f t="shared" si="0"/>
        <v>0.8</v>
      </c>
      <c r="F15">
        <f t="shared" si="1"/>
        <v>0.37463999999999997</v>
      </c>
      <c r="G15">
        <v>11</v>
      </c>
      <c r="H15">
        <v>0.4</v>
      </c>
      <c r="I15">
        <v>-5.8029999999999998E-2</v>
      </c>
      <c r="J15">
        <f t="shared" si="2"/>
        <v>3.2</v>
      </c>
      <c r="K15">
        <f t="shared" si="3"/>
        <v>-0.46423999999999999</v>
      </c>
      <c r="M15">
        <v>13.161797224589399</v>
      </c>
      <c r="N15">
        <v>0.69038624563545903</v>
      </c>
    </row>
    <row r="16" spans="2:14" x14ac:dyDescent="0.25">
      <c r="B16">
        <v>29</v>
      </c>
      <c r="C16" s="4">
        <v>7.4999999999999997E-2</v>
      </c>
      <c r="D16">
        <v>4.2000000000000003E-2</v>
      </c>
      <c r="E16">
        <f t="shared" si="0"/>
        <v>0.6</v>
      </c>
      <c r="F16">
        <f t="shared" si="1"/>
        <v>0.33600000000000002</v>
      </c>
      <c r="G16">
        <v>12</v>
      </c>
      <c r="H16">
        <v>0.5</v>
      </c>
      <c r="I16">
        <v>-5.2940000000000001E-2</v>
      </c>
      <c r="J16">
        <f t="shared" si="2"/>
        <v>4</v>
      </c>
      <c r="K16">
        <f t="shared" si="3"/>
        <v>-0.42352000000000001</v>
      </c>
      <c r="M16">
        <v>14.0903938400877</v>
      </c>
      <c r="N16">
        <v>0.60764853936838503</v>
      </c>
    </row>
    <row r="17" spans="2:11" x14ac:dyDescent="0.25">
      <c r="B17">
        <v>30</v>
      </c>
      <c r="C17" s="4">
        <v>0.05</v>
      </c>
      <c r="D17">
        <v>3.5549999999999998E-2</v>
      </c>
      <c r="E17">
        <f t="shared" si="0"/>
        <v>0.4</v>
      </c>
      <c r="F17">
        <f t="shared" si="1"/>
        <v>0.28439999999999999</v>
      </c>
      <c r="G17">
        <v>13</v>
      </c>
      <c r="H17">
        <v>0.6</v>
      </c>
      <c r="I17">
        <v>-4.5629999999999997E-2</v>
      </c>
      <c r="J17">
        <f t="shared" si="2"/>
        <v>4.8</v>
      </c>
      <c r="K17">
        <f t="shared" si="3"/>
        <v>-0.36503999999999998</v>
      </c>
    </row>
    <row r="18" spans="2:11" x14ac:dyDescent="0.25">
      <c r="B18">
        <v>31</v>
      </c>
      <c r="C18" s="4">
        <v>2.5000000000000001E-2</v>
      </c>
      <c r="D18">
        <v>2.615E-2</v>
      </c>
      <c r="E18">
        <f t="shared" si="0"/>
        <v>0.2</v>
      </c>
      <c r="F18">
        <f t="shared" si="1"/>
        <v>0.2092</v>
      </c>
      <c r="G18">
        <v>14</v>
      </c>
      <c r="H18">
        <v>0.7</v>
      </c>
      <c r="I18">
        <v>-3.6639999999999999E-2</v>
      </c>
      <c r="J18">
        <f t="shared" si="2"/>
        <v>5.6</v>
      </c>
      <c r="K18">
        <f t="shared" si="3"/>
        <v>-0.29311999999999999</v>
      </c>
    </row>
    <row r="19" spans="2:11" x14ac:dyDescent="0.25">
      <c r="B19">
        <v>32</v>
      </c>
      <c r="C19" s="4">
        <v>1.2500000000000001E-2</v>
      </c>
      <c r="D19">
        <v>1.8939999999999999E-2</v>
      </c>
      <c r="E19">
        <f t="shared" si="0"/>
        <v>0.1</v>
      </c>
      <c r="F19">
        <f t="shared" si="1"/>
        <v>0.15151999999999999</v>
      </c>
      <c r="G19">
        <v>15</v>
      </c>
      <c r="H19">
        <v>0.8</v>
      </c>
      <c r="I19">
        <v>-2.623E-2</v>
      </c>
      <c r="J19">
        <f t="shared" si="2"/>
        <v>6.4</v>
      </c>
      <c r="K19">
        <f t="shared" si="3"/>
        <v>-0.20984</v>
      </c>
    </row>
    <row r="20" spans="2:11" x14ac:dyDescent="0.25">
      <c r="G20">
        <v>16</v>
      </c>
      <c r="H20">
        <v>0.9</v>
      </c>
      <c r="I20">
        <v>-1.448E-2</v>
      </c>
      <c r="J20">
        <f t="shared" si="2"/>
        <v>7.2</v>
      </c>
      <c r="K20">
        <f t="shared" si="3"/>
        <v>-0.11584</v>
      </c>
    </row>
    <row r="21" spans="2:11" x14ac:dyDescent="0.25">
      <c r="G21">
        <v>17</v>
      </c>
      <c r="H21">
        <v>0.95</v>
      </c>
      <c r="I21">
        <v>-8.0700000000000008E-3</v>
      </c>
      <c r="J21">
        <f t="shared" si="2"/>
        <v>7.6</v>
      </c>
      <c r="K21">
        <f t="shared" si="3"/>
        <v>-6.4560000000000006E-2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2B5FE-3E16-47ED-8567-7F1E67967615}">
  <dimension ref="A1:BG237"/>
  <sheetViews>
    <sheetView tabSelected="1" topLeftCell="AC175" zoomScale="75" zoomScaleNormal="40" workbookViewId="0">
      <selection activeCell="AZ228" sqref="AZ228"/>
    </sheetView>
  </sheetViews>
  <sheetFormatPr defaultRowHeight="15" x14ac:dyDescent="0.25"/>
  <cols>
    <col min="1" max="1" width="14.5703125" customWidth="1"/>
    <col min="2" max="3" width="9.7109375" bestFit="1" customWidth="1"/>
    <col min="4" max="4" width="9.140625" customWidth="1"/>
    <col min="5" max="5" width="9.5703125" bestFit="1" customWidth="1"/>
    <col min="6" max="6" width="10" bestFit="1" customWidth="1"/>
    <col min="7" max="7" width="16.140625" bestFit="1" customWidth="1"/>
    <col min="8" max="8" width="14" customWidth="1"/>
    <col min="9" max="9" width="14.42578125" customWidth="1"/>
    <col min="10" max="10" width="9.42578125" bestFit="1" customWidth="1"/>
    <col min="11" max="11" width="13.140625" bestFit="1" customWidth="1"/>
    <col min="12" max="12" width="9.5703125" bestFit="1" customWidth="1"/>
    <col min="13" max="13" width="15.5703125" bestFit="1" customWidth="1"/>
    <col min="14" max="14" width="17" bestFit="1" customWidth="1"/>
    <col min="15" max="15" width="10.5703125" bestFit="1" customWidth="1"/>
    <col min="16" max="16" width="14" bestFit="1" customWidth="1"/>
    <col min="17" max="18" width="10.5703125" bestFit="1" customWidth="1"/>
    <col min="19" max="19" width="10.42578125" bestFit="1" customWidth="1"/>
    <col min="20" max="20" width="16.5703125" bestFit="1" customWidth="1"/>
    <col min="21" max="21" width="10.7109375" bestFit="1" customWidth="1"/>
    <col min="22" max="22" width="16.5703125" bestFit="1" customWidth="1"/>
    <col min="23" max="23" width="13.140625" bestFit="1" customWidth="1"/>
    <col min="24" max="24" width="14.42578125" bestFit="1" customWidth="1"/>
    <col min="25" max="25" width="15.85546875" bestFit="1" customWidth="1"/>
    <col min="26" max="27" width="10.140625" bestFit="1" customWidth="1"/>
    <col min="28" max="28" width="10" bestFit="1" customWidth="1"/>
    <col min="29" max="29" width="16.42578125" bestFit="1" customWidth="1"/>
    <col min="30" max="30" width="15" bestFit="1" customWidth="1"/>
    <col min="31" max="31" width="16.42578125" bestFit="1" customWidth="1"/>
    <col min="32" max="32" width="15" bestFit="1" customWidth="1"/>
    <col min="33" max="33" width="9.85546875" bestFit="1" customWidth="1"/>
    <col min="34" max="34" width="15.7109375" bestFit="1" customWidth="1"/>
    <col min="35" max="35" width="14.140625" bestFit="1" customWidth="1"/>
    <col min="36" max="36" width="9.5703125" bestFit="1" customWidth="1"/>
    <col min="37" max="37" width="13.7109375" customWidth="1"/>
    <col min="38" max="38" width="19.42578125" customWidth="1"/>
    <col min="39" max="39" width="19.85546875" customWidth="1"/>
    <col min="40" max="40" width="16.42578125" customWidth="1"/>
    <col min="41" max="41" width="24.28515625" customWidth="1"/>
    <col min="42" max="42" width="21.140625" customWidth="1"/>
    <col min="43" max="43" width="19.7109375" customWidth="1"/>
    <col min="44" max="59" width="22.140625" customWidth="1"/>
  </cols>
  <sheetData>
    <row r="1" spans="1:20" x14ac:dyDescent="0.25">
      <c r="A1" s="17" t="s">
        <v>309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64</v>
      </c>
      <c r="L2" t="s">
        <v>10</v>
      </c>
      <c r="M2" t="s">
        <v>11</v>
      </c>
      <c r="N2" t="s">
        <v>63</v>
      </c>
      <c r="O2" t="s">
        <v>12</v>
      </c>
      <c r="P2" t="s">
        <v>12</v>
      </c>
      <c r="Q2" t="s">
        <v>66</v>
      </c>
      <c r="R2" t="s">
        <v>65</v>
      </c>
      <c r="S2" t="s">
        <v>72</v>
      </c>
      <c r="T2" t="s">
        <v>71</v>
      </c>
    </row>
    <row r="4" spans="1:20" x14ac:dyDescent="0.25">
      <c r="A4" s="1">
        <v>43374</v>
      </c>
      <c r="B4" s="2">
        <v>0.82184027777777768</v>
      </c>
      <c r="C4">
        <v>1</v>
      </c>
      <c r="D4">
        <v>7</v>
      </c>
      <c r="E4">
        <v>202</v>
      </c>
      <c r="F4">
        <v>0</v>
      </c>
      <c r="G4">
        <v>0</v>
      </c>
      <c r="H4">
        <v>0</v>
      </c>
      <c r="I4">
        <v>0</v>
      </c>
      <c r="J4">
        <v>14.339048999999999</v>
      </c>
      <c r="K4">
        <f t="shared" ref="K4:K28" si="0">J4*144</f>
        <v>2064.8230559999997</v>
      </c>
      <c r="L4" s="3">
        <v>98.863440999999995</v>
      </c>
      <c r="M4" s="3">
        <v>26.065999999999999</v>
      </c>
      <c r="N4" s="3">
        <f t="shared" ref="N4:N28" si="1">CONVERT(M4,"C","Rank")</f>
        <v>538.58879999999988</v>
      </c>
      <c r="O4" s="3">
        <v>0</v>
      </c>
      <c r="P4" s="3">
        <v>26</v>
      </c>
      <c r="Q4" s="3">
        <f t="shared" ref="Q4:Q28" si="2">K4/(N4*1716.49)</f>
        <v>2.2334911981241328E-3</v>
      </c>
      <c r="R4" s="3">
        <f t="shared" ref="R4:R28" si="3">0.5*Q4*H4^2</f>
        <v>0</v>
      </c>
      <c r="S4" s="3">
        <v>3.6199999999999999E-7</v>
      </c>
      <c r="T4">
        <f t="shared" ref="T4:T28" si="4">Q4*H4*8/12/S4</f>
        <v>0</v>
      </c>
    </row>
    <row r="5" spans="1:20" x14ac:dyDescent="0.25">
      <c r="A5" s="1">
        <v>43374</v>
      </c>
      <c r="B5" s="2">
        <v>0.82317129629629626</v>
      </c>
      <c r="C5">
        <v>1</v>
      </c>
      <c r="D5">
        <v>8</v>
      </c>
      <c r="E5">
        <v>203</v>
      </c>
      <c r="F5">
        <v>-4</v>
      </c>
      <c r="G5">
        <v>-4</v>
      </c>
      <c r="H5">
        <v>175.67731000000001</v>
      </c>
      <c r="I5">
        <v>53.578065000000002</v>
      </c>
      <c r="J5">
        <v>14.535045999999999</v>
      </c>
      <c r="K5">
        <f t="shared" si="0"/>
        <v>2093.0466240000001</v>
      </c>
      <c r="L5" s="3">
        <v>100.21478</v>
      </c>
      <c r="M5" s="3">
        <v>26.132107000000001</v>
      </c>
      <c r="N5" s="3">
        <f t="shared" si="1"/>
        <v>538.70779260000006</v>
      </c>
      <c r="O5" s="3">
        <v>0.15442455999999999</v>
      </c>
      <c r="P5" s="3">
        <v>27</v>
      </c>
      <c r="Q5" s="3">
        <f t="shared" si="2"/>
        <v>2.2635201615940691E-3</v>
      </c>
      <c r="R5" s="3">
        <f t="shared" si="3"/>
        <v>34.928965015142616</v>
      </c>
      <c r="S5" s="3">
        <v>3.6199999999999999E-7</v>
      </c>
      <c r="T5">
        <f t="shared" si="4"/>
        <v>732318.84552414622</v>
      </c>
    </row>
    <row r="6" spans="1:20" x14ac:dyDescent="0.25">
      <c r="A6" s="1">
        <v>43374</v>
      </c>
      <c r="B6" s="2">
        <v>0.82328703703703709</v>
      </c>
      <c r="C6">
        <v>1</v>
      </c>
      <c r="D6">
        <v>8</v>
      </c>
      <c r="E6">
        <v>204</v>
      </c>
      <c r="F6">
        <v>-3</v>
      </c>
      <c r="G6">
        <v>-3</v>
      </c>
      <c r="H6">
        <v>176.50354999999999</v>
      </c>
      <c r="I6">
        <v>53.830052999999999</v>
      </c>
      <c r="J6">
        <v>14.535784</v>
      </c>
      <c r="K6">
        <f t="shared" si="0"/>
        <v>2093.1528960000001</v>
      </c>
      <c r="L6" s="3">
        <v>100.21987</v>
      </c>
      <c r="M6" s="3">
        <v>26.153749999999999</v>
      </c>
      <c r="N6" s="3">
        <f t="shared" si="1"/>
        <v>538.74675000000002</v>
      </c>
      <c r="O6" s="3">
        <v>0.15514523999999999</v>
      </c>
      <c r="P6" s="3">
        <v>28</v>
      </c>
      <c r="Q6" s="3">
        <f t="shared" si="2"/>
        <v>2.2634714031201488E-3</v>
      </c>
      <c r="R6" s="3">
        <f t="shared" si="3"/>
        <v>35.257531757781933</v>
      </c>
      <c r="S6" s="3">
        <v>3.6199999999999999E-7</v>
      </c>
      <c r="T6">
        <f t="shared" si="4"/>
        <v>735747.21542207606</v>
      </c>
    </row>
    <row r="7" spans="1:20" x14ac:dyDescent="0.25">
      <c r="A7" s="1">
        <v>43374</v>
      </c>
      <c r="B7" s="2">
        <v>0.82339120370370367</v>
      </c>
      <c r="C7">
        <v>1</v>
      </c>
      <c r="D7">
        <v>8</v>
      </c>
      <c r="E7">
        <v>205</v>
      </c>
      <c r="F7">
        <v>-2</v>
      </c>
      <c r="G7">
        <v>-2</v>
      </c>
      <c r="H7">
        <v>177.77215000000001</v>
      </c>
      <c r="I7">
        <v>54.216951000000002</v>
      </c>
      <c r="J7">
        <v>14.538023000000001</v>
      </c>
      <c r="K7">
        <f t="shared" si="0"/>
        <v>2093.475312</v>
      </c>
      <c r="L7" s="3">
        <v>100.23531</v>
      </c>
      <c r="M7" s="3">
        <v>26.172035999999999</v>
      </c>
      <c r="N7" s="3">
        <f t="shared" si="1"/>
        <v>538.77966479999998</v>
      </c>
      <c r="O7" s="3">
        <v>0.15625555999999999</v>
      </c>
      <c r="P7" s="3">
        <v>29</v>
      </c>
      <c r="Q7" s="3">
        <f t="shared" si="2"/>
        <v>2.2636817539834694E-3</v>
      </c>
      <c r="R7" s="3">
        <f t="shared" si="3"/>
        <v>35.769496286828996</v>
      </c>
      <c r="S7" s="3">
        <v>3.6199999999999999E-7</v>
      </c>
      <c r="T7">
        <f t="shared" si="4"/>
        <v>741104.18475398247</v>
      </c>
    </row>
    <row r="8" spans="1:20" x14ac:dyDescent="0.25">
      <c r="A8" s="1">
        <v>43374</v>
      </c>
      <c r="B8" s="2">
        <v>0.8235069444444445</v>
      </c>
      <c r="C8">
        <v>1</v>
      </c>
      <c r="D8">
        <v>8</v>
      </c>
      <c r="E8">
        <v>206</v>
      </c>
      <c r="F8">
        <v>-1</v>
      </c>
      <c r="G8">
        <v>-1</v>
      </c>
      <c r="H8">
        <v>179.35017999999999</v>
      </c>
      <c r="I8">
        <v>54.698217999999997</v>
      </c>
      <c r="J8">
        <v>14.541022</v>
      </c>
      <c r="K8">
        <f t="shared" si="0"/>
        <v>2093.9071680000002</v>
      </c>
      <c r="L8" s="3">
        <v>100.25597999999999</v>
      </c>
      <c r="M8" s="3">
        <v>26.19275</v>
      </c>
      <c r="N8" s="3">
        <f t="shared" si="1"/>
        <v>538.81694999999991</v>
      </c>
      <c r="O8" s="3">
        <v>0.15763712999999999</v>
      </c>
      <c r="P8" s="3">
        <v>30</v>
      </c>
      <c r="Q8" s="3">
        <f t="shared" si="2"/>
        <v>2.2639920461282347E-3</v>
      </c>
      <c r="R8" s="3">
        <f t="shared" si="3"/>
        <v>36.412335434692046</v>
      </c>
      <c r="S8" s="3">
        <v>3.6199999999999999E-7</v>
      </c>
      <c r="T8">
        <f t="shared" si="4"/>
        <v>747785.23202885303</v>
      </c>
    </row>
    <row r="9" spans="1:20" x14ac:dyDescent="0.25">
      <c r="A9" s="1">
        <v>43374</v>
      </c>
      <c r="B9" s="2">
        <v>0.82361111111111107</v>
      </c>
      <c r="C9">
        <v>1</v>
      </c>
      <c r="D9">
        <v>8</v>
      </c>
      <c r="E9">
        <v>207</v>
      </c>
      <c r="F9">
        <v>0</v>
      </c>
      <c r="G9">
        <v>0</v>
      </c>
      <c r="H9">
        <v>180.54106999999999</v>
      </c>
      <c r="I9">
        <v>55.061416000000001</v>
      </c>
      <c r="J9">
        <v>14.543407</v>
      </c>
      <c r="K9">
        <f t="shared" si="0"/>
        <v>2094.2506079999998</v>
      </c>
      <c r="L9" s="3">
        <v>100.27243</v>
      </c>
      <c r="M9" s="3">
        <v>26.206800000000001</v>
      </c>
      <c r="N9" s="3">
        <f t="shared" si="1"/>
        <v>538.84223999999995</v>
      </c>
      <c r="O9" s="3">
        <v>0.15868013</v>
      </c>
      <c r="P9" s="3">
        <v>31</v>
      </c>
      <c r="Q9" s="3">
        <f t="shared" si="2"/>
        <v>2.2642571076945169E-3</v>
      </c>
      <c r="R9" s="3">
        <f t="shared" si="3"/>
        <v>36.901818469708253</v>
      </c>
      <c r="S9" s="3">
        <v>3.6199999999999999E-7</v>
      </c>
      <c r="T9">
        <f t="shared" si="4"/>
        <v>752838.67583475763</v>
      </c>
    </row>
    <row r="10" spans="1:20" x14ac:dyDescent="0.25">
      <c r="A10" s="1">
        <v>43374</v>
      </c>
      <c r="B10" s="2">
        <v>0.8237268518518519</v>
      </c>
      <c r="C10">
        <v>1</v>
      </c>
      <c r="D10">
        <v>8</v>
      </c>
      <c r="E10">
        <v>208</v>
      </c>
      <c r="F10">
        <v>1</v>
      </c>
      <c r="G10">
        <v>1</v>
      </c>
      <c r="H10">
        <v>181.77970999999999</v>
      </c>
      <c r="I10">
        <v>55.439174999999999</v>
      </c>
      <c r="J10">
        <v>14.545766</v>
      </c>
      <c r="K10">
        <f t="shared" si="0"/>
        <v>2094.5903040000003</v>
      </c>
      <c r="L10" s="3">
        <v>100.28870000000001</v>
      </c>
      <c r="M10" s="3">
        <v>26.228121000000002</v>
      </c>
      <c r="N10" s="3">
        <f t="shared" si="1"/>
        <v>538.88061779999998</v>
      </c>
      <c r="O10" s="3">
        <v>0.15976309</v>
      </c>
      <c r="P10" s="3">
        <v>32</v>
      </c>
      <c r="Q10" s="3">
        <f t="shared" si="2"/>
        <v>2.2644630982637075E-3</v>
      </c>
      <c r="R10" s="3">
        <f t="shared" si="3"/>
        <v>37.413304157201665</v>
      </c>
      <c r="S10" s="3">
        <v>3.6199999999999999E-7</v>
      </c>
      <c r="T10">
        <f t="shared" si="4"/>
        <v>758072.64329296176</v>
      </c>
    </row>
    <row r="11" spans="1:20" x14ac:dyDescent="0.25">
      <c r="A11" s="1">
        <v>43374</v>
      </c>
      <c r="B11" s="2">
        <v>0.82383101851851848</v>
      </c>
      <c r="C11">
        <v>1</v>
      </c>
      <c r="D11">
        <v>8</v>
      </c>
      <c r="E11">
        <v>209</v>
      </c>
      <c r="F11">
        <v>2</v>
      </c>
      <c r="G11">
        <v>2</v>
      </c>
      <c r="H11">
        <v>182.51365999999999</v>
      </c>
      <c r="I11">
        <v>55.663015999999999</v>
      </c>
      <c r="J11">
        <v>14.547190000000001</v>
      </c>
      <c r="K11">
        <f t="shared" si="0"/>
        <v>2094.7953600000001</v>
      </c>
      <c r="L11" s="3">
        <v>100.29850999999999</v>
      </c>
      <c r="M11" s="3">
        <v>26.255542999999999</v>
      </c>
      <c r="N11" s="3">
        <f t="shared" si="1"/>
        <v>538.92997739999998</v>
      </c>
      <c r="O11" s="3">
        <v>0.16040081</v>
      </c>
      <c r="P11" s="3">
        <v>33</v>
      </c>
      <c r="Q11" s="3">
        <f t="shared" si="2"/>
        <v>2.2644773661627897E-3</v>
      </c>
      <c r="R11" s="3">
        <f t="shared" si="3"/>
        <v>37.716270078500429</v>
      </c>
      <c r="S11" s="3">
        <v>3.6199999999999999E-7</v>
      </c>
      <c r="T11">
        <f t="shared" si="4"/>
        <v>761138.21746874938</v>
      </c>
    </row>
    <row r="12" spans="1:20" x14ac:dyDescent="0.25">
      <c r="A12" s="1">
        <v>43374</v>
      </c>
      <c r="B12" s="2">
        <v>0.82394675925925931</v>
      </c>
      <c r="C12">
        <v>1</v>
      </c>
      <c r="D12">
        <v>8</v>
      </c>
      <c r="E12">
        <v>210</v>
      </c>
      <c r="F12">
        <v>3</v>
      </c>
      <c r="G12">
        <v>3</v>
      </c>
      <c r="H12">
        <v>182.12166999999999</v>
      </c>
      <c r="I12">
        <v>55.543467999999997</v>
      </c>
      <c r="J12">
        <v>14.546785</v>
      </c>
      <c r="K12">
        <f t="shared" si="0"/>
        <v>2094.73704</v>
      </c>
      <c r="L12" s="3">
        <v>100.29572</v>
      </c>
      <c r="M12" s="3">
        <v>26.276586000000002</v>
      </c>
      <c r="N12" s="3">
        <f t="shared" si="1"/>
        <v>538.96785479999994</v>
      </c>
      <c r="O12" s="3">
        <v>0.16005069</v>
      </c>
      <c r="P12" s="3">
        <v>34</v>
      </c>
      <c r="Q12" s="3">
        <f t="shared" si="2"/>
        <v>2.2642551844017666E-3</v>
      </c>
      <c r="R12" s="3">
        <f t="shared" si="3"/>
        <v>37.55075065456159</v>
      </c>
      <c r="S12" s="3">
        <v>3.6199999999999999E-7</v>
      </c>
      <c r="T12">
        <f t="shared" si="4"/>
        <v>759428.9788018557</v>
      </c>
    </row>
    <row r="13" spans="1:20" x14ac:dyDescent="0.25">
      <c r="A13" s="1">
        <v>43374</v>
      </c>
      <c r="B13" s="2">
        <v>0.82405092592592588</v>
      </c>
      <c r="C13">
        <v>1</v>
      </c>
      <c r="D13">
        <v>8</v>
      </c>
      <c r="E13">
        <v>211</v>
      </c>
      <c r="F13">
        <v>4</v>
      </c>
      <c r="G13">
        <v>4</v>
      </c>
      <c r="H13">
        <v>180.89628999999999</v>
      </c>
      <c r="I13">
        <v>55.169750000000001</v>
      </c>
      <c r="J13">
        <v>14.544582999999999</v>
      </c>
      <c r="K13">
        <f t="shared" si="0"/>
        <v>2094.4199519999997</v>
      </c>
      <c r="L13" s="3">
        <v>100.28054</v>
      </c>
      <c r="M13" s="3">
        <v>26.295479</v>
      </c>
      <c r="N13" s="3">
        <f t="shared" si="1"/>
        <v>539.00186220000001</v>
      </c>
      <c r="O13" s="3">
        <v>0.15896879</v>
      </c>
      <c r="P13" s="3">
        <v>35</v>
      </c>
      <c r="Q13" s="3">
        <f t="shared" si="2"/>
        <v>2.2637695981403438E-3</v>
      </c>
      <c r="R13" s="3">
        <f t="shared" si="3"/>
        <v>37.039195702974595</v>
      </c>
      <c r="S13" s="3">
        <v>3.6199999999999999E-7</v>
      </c>
      <c r="T13">
        <f t="shared" si="4"/>
        <v>754157.49856055086</v>
      </c>
    </row>
    <row r="14" spans="1:20" x14ac:dyDescent="0.25">
      <c r="A14" s="1">
        <v>43374</v>
      </c>
      <c r="B14" s="2">
        <v>0.82416666666666671</v>
      </c>
      <c r="C14">
        <v>1</v>
      </c>
      <c r="D14">
        <v>8</v>
      </c>
      <c r="E14">
        <v>212</v>
      </c>
      <c r="F14">
        <v>5</v>
      </c>
      <c r="G14">
        <v>5</v>
      </c>
      <c r="H14">
        <v>179.93778</v>
      </c>
      <c r="I14">
        <v>54.877425000000002</v>
      </c>
      <c r="J14">
        <v>14.542415</v>
      </c>
      <c r="K14">
        <f t="shared" si="0"/>
        <v>2094.1077599999999</v>
      </c>
      <c r="L14" s="3">
        <v>100.26559</v>
      </c>
      <c r="M14" s="3">
        <v>26.312228999999999</v>
      </c>
      <c r="N14" s="3">
        <f t="shared" si="1"/>
        <v>539.03201219999994</v>
      </c>
      <c r="O14" s="3">
        <v>0.15812204999999999</v>
      </c>
      <c r="P14" s="3">
        <v>36</v>
      </c>
      <c r="Q14" s="3">
        <f t="shared" si="2"/>
        <v>2.2633055611578383E-3</v>
      </c>
      <c r="R14" s="3">
        <f>(AI169/144)/144</f>
        <v>0.25444587746384573</v>
      </c>
      <c r="S14" s="3">
        <v>3.6199999999999999E-7</v>
      </c>
      <c r="T14">
        <f t="shared" si="4"/>
        <v>750007.69454216515</v>
      </c>
    </row>
    <row r="15" spans="1:20" x14ac:dyDescent="0.25">
      <c r="A15" s="1">
        <v>43374</v>
      </c>
      <c r="B15" s="2">
        <v>0.82427083333333329</v>
      </c>
      <c r="C15">
        <v>1</v>
      </c>
      <c r="D15">
        <v>8</v>
      </c>
      <c r="E15">
        <v>213</v>
      </c>
      <c r="F15">
        <v>6</v>
      </c>
      <c r="G15">
        <v>6</v>
      </c>
      <c r="H15">
        <v>178.45375999999999</v>
      </c>
      <c r="I15">
        <v>54.424827999999998</v>
      </c>
      <c r="J15">
        <v>14.539313</v>
      </c>
      <c r="K15">
        <f t="shared" si="0"/>
        <v>2093.6610719999999</v>
      </c>
      <c r="L15" s="3">
        <v>100.24420000000001</v>
      </c>
      <c r="M15" s="3">
        <v>26.328986</v>
      </c>
      <c r="N15" s="3">
        <f t="shared" si="1"/>
        <v>539.06217479999998</v>
      </c>
      <c r="O15" s="3">
        <v>0.15681355999999999</v>
      </c>
      <c r="P15" s="3">
        <v>37</v>
      </c>
      <c r="Q15" s="3">
        <f t="shared" si="2"/>
        <v>2.2626961684404172E-3</v>
      </c>
      <c r="R15" s="3">
        <f t="shared" si="3"/>
        <v>36.028621983280296</v>
      </c>
      <c r="S15" s="3">
        <v>3.6199999999999999E-7</v>
      </c>
      <c r="T15">
        <f t="shared" si="4"/>
        <v>743621.80293883197</v>
      </c>
    </row>
    <row r="16" spans="1:20" x14ac:dyDescent="0.25">
      <c r="A16" s="1">
        <v>43374</v>
      </c>
      <c r="B16" s="2">
        <v>0.82438657407407412</v>
      </c>
      <c r="C16">
        <v>1</v>
      </c>
      <c r="D16">
        <v>8</v>
      </c>
      <c r="E16">
        <v>214</v>
      </c>
      <c r="F16">
        <v>7</v>
      </c>
      <c r="G16">
        <v>7</v>
      </c>
      <c r="H16">
        <v>176.65870000000001</v>
      </c>
      <c r="I16">
        <v>53.877372000000001</v>
      </c>
      <c r="J16">
        <v>14.535301</v>
      </c>
      <c r="K16">
        <f t="shared" si="0"/>
        <v>2093.0833440000001</v>
      </c>
      <c r="L16" s="3">
        <v>100.21653999999999</v>
      </c>
      <c r="M16" s="3">
        <v>26.347878999999999</v>
      </c>
      <c r="N16" s="3">
        <f t="shared" si="1"/>
        <v>539.09618219999993</v>
      </c>
      <c r="O16" s="3">
        <v>0.15523128999999999</v>
      </c>
      <c r="P16" s="3">
        <v>38</v>
      </c>
      <c r="Q16" s="3">
        <f t="shared" si="2"/>
        <v>2.2619291000624642E-3</v>
      </c>
      <c r="R16" s="3">
        <f t="shared" si="3"/>
        <v>35.29547676598677</v>
      </c>
      <c r="S16" s="3">
        <v>3.6199999999999999E-7</v>
      </c>
      <c r="T16">
        <f t="shared" si="4"/>
        <v>735892.18104825937</v>
      </c>
    </row>
    <row r="17" spans="1:21" x14ac:dyDescent="0.25">
      <c r="A17" s="1">
        <v>43374</v>
      </c>
      <c r="B17" s="2">
        <v>0.82449074074074069</v>
      </c>
      <c r="C17">
        <v>1</v>
      </c>
      <c r="D17">
        <v>8</v>
      </c>
      <c r="E17">
        <v>215</v>
      </c>
      <c r="F17">
        <v>8</v>
      </c>
      <c r="G17">
        <v>8</v>
      </c>
      <c r="H17">
        <v>175.28196</v>
      </c>
      <c r="I17">
        <v>53.457492000000002</v>
      </c>
      <c r="J17">
        <v>14.533111</v>
      </c>
      <c r="K17">
        <f t="shared" si="0"/>
        <v>2092.7679840000001</v>
      </c>
      <c r="L17" s="3">
        <v>100.20144000000001</v>
      </c>
      <c r="M17" s="3">
        <v>26.365863999999998</v>
      </c>
      <c r="N17" s="3">
        <f t="shared" si="1"/>
        <v>539.12855519999994</v>
      </c>
      <c r="O17" s="3">
        <v>0.15401690000000001</v>
      </c>
      <c r="P17" s="3">
        <v>39</v>
      </c>
      <c r="Q17" s="3">
        <f t="shared" si="2"/>
        <v>2.2614524990919888E-3</v>
      </c>
      <c r="R17" s="3">
        <f t="shared" si="3"/>
        <v>34.740168137375669</v>
      </c>
      <c r="S17" s="3">
        <v>3.6199999999999999E-7</v>
      </c>
      <c r="T17">
        <f t="shared" si="4"/>
        <v>730003.36369749915</v>
      </c>
    </row>
    <row r="18" spans="1:21" x14ac:dyDescent="0.25">
      <c r="A18" s="1">
        <v>43374</v>
      </c>
      <c r="B18" s="2">
        <v>0.82460648148148152</v>
      </c>
      <c r="C18">
        <v>1</v>
      </c>
      <c r="D18">
        <v>8</v>
      </c>
      <c r="E18">
        <v>216</v>
      </c>
      <c r="F18">
        <v>9</v>
      </c>
      <c r="G18">
        <v>9</v>
      </c>
      <c r="H18">
        <v>174.35239000000001</v>
      </c>
      <c r="I18">
        <v>53.173993000000003</v>
      </c>
      <c r="J18">
        <v>14.531499</v>
      </c>
      <c r="K18">
        <f t="shared" si="0"/>
        <v>2092.535856</v>
      </c>
      <c r="L18" s="3">
        <v>100.19033</v>
      </c>
      <c r="M18" s="3">
        <v>26.385064</v>
      </c>
      <c r="N18" s="3">
        <f t="shared" si="1"/>
        <v>539.16311519999999</v>
      </c>
      <c r="O18" s="3">
        <v>0.1531952</v>
      </c>
      <c r="P18" s="3">
        <v>40</v>
      </c>
      <c r="Q18" s="3">
        <f t="shared" si="2"/>
        <v>2.2610567192179122E-3</v>
      </c>
      <c r="R18" s="3">
        <f t="shared" si="3"/>
        <v>34.366655640324076</v>
      </c>
      <c r="S18" s="3">
        <v>3.6199999999999999E-7</v>
      </c>
      <c r="T18">
        <f t="shared" si="4"/>
        <v>726004.86725819879</v>
      </c>
    </row>
    <row r="19" spans="1:21" x14ac:dyDescent="0.25">
      <c r="A19" s="1">
        <v>43374</v>
      </c>
      <c r="B19" s="2">
        <v>0.8247106481481481</v>
      </c>
      <c r="C19">
        <v>1</v>
      </c>
      <c r="D19">
        <v>8</v>
      </c>
      <c r="E19">
        <v>217</v>
      </c>
      <c r="F19">
        <v>10</v>
      </c>
      <c r="G19">
        <v>10</v>
      </c>
      <c r="H19">
        <v>173.38211999999999</v>
      </c>
      <c r="I19">
        <v>52.878079</v>
      </c>
      <c r="J19">
        <v>14.530052</v>
      </c>
      <c r="K19">
        <f t="shared" si="0"/>
        <v>2092.3274879999999</v>
      </c>
      <c r="L19" s="3">
        <v>100.18035</v>
      </c>
      <c r="M19" s="3">
        <v>26.400907</v>
      </c>
      <c r="N19" s="3">
        <f t="shared" si="1"/>
        <v>539.19163260000005</v>
      </c>
      <c r="O19" s="3">
        <v>0.15233864</v>
      </c>
      <c r="P19" s="3">
        <v>41</v>
      </c>
      <c r="Q19" s="3">
        <f t="shared" si="2"/>
        <v>2.260711996937591E-3</v>
      </c>
      <c r="R19" s="3">
        <f t="shared" si="3"/>
        <v>33.980038073299283</v>
      </c>
      <c r="S19" s="3">
        <v>3.6199999999999999E-7</v>
      </c>
      <c r="T19">
        <f t="shared" si="4"/>
        <v>721854.58331210504</v>
      </c>
    </row>
    <row r="20" spans="1:21" x14ac:dyDescent="0.25">
      <c r="A20" s="1">
        <v>43374</v>
      </c>
      <c r="B20" s="2">
        <v>0.82482638888888893</v>
      </c>
      <c r="C20">
        <v>1</v>
      </c>
      <c r="D20">
        <v>8</v>
      </c>
      <c r="E20">
        <v>218</v>
      </c>
      <c r="F20">
        <v>11</v>
      </c>
      <c r="G20">
        <v>11</v>
      </c>
      <c r="H20">
        <v>172.25802999999999</v>
      </c>
      <c r="I20">
        <v>52.535252999999997</v>
      </c>
      <c r="J20">
        <v>14.527659</v>
      </c>
      <c r="K20">
        <f t="shared" si="0"/>
        <v>2091.982896</v>
      </c>
      <c r="L20" s="3">
        <v>100.16385</v>
      </c>
      <c r="M20" s="3">
        <v>26.417679</v>
      </c>
      <c r="N20" s="3">
        <f t="shared" si="1"/>
        <v>539.22182220000002</v>
      </c>
      <c r="O20" s="3">
        <v>0.15134674000000001</v>
      </c>
      <c r="P20" s="3">
        <v>42</v>
      </c>
      <c r="Q20" s="3">
        <f t="shared" si="2"/>
        <v>2.2602131227381101E-3</v>
      </c>
      <c r="R20" s="3">
        <f t="shared" si="3"/>
        <v>33.533458633684681</v>
      </c>
      <c r="S20" s="3">
        <v>3.6199999999999999E-7</v>
      </c>
      <c r="T20">
        <f t="shared" si="4"/>
        <v>717016.31658013817</v>
      </c>
    </row>
    <row r="21" spans="1:21" x14ac:dyDescent="0.25">
      <c r="A21" s="1">
        <v>43374</v>
      </c>
      <c r="B21" s="2">
        <v>0.8249305555555555</v>
      </c>
      <c r="C21">
        <v>1</v>
      </c>
      <c r="D21">
        <v>8</v>
      </c>
      <c r="E21">
        <v>219</v>
      </c>
      <c r="F21">
        <v>12</v>
      </c>
      <c r="G21">
        <v>12</v>
      </c>
      <c r="H21">
        <v>171.45972</v>
      </c>
      <c r="I21">
        <v>52.291784999999997</v>
      </c>
      <c r="J21">
        <v>14.526396</v>
      </c>
      <c r="K21">
        <f t="shared" si="0"/>
        <v>2091.8010239999999</v>
      </c>
      <c r="L21" s="3">
        <v>100.15514</v>
      </c>
      <c r="M21" s="3">
        <v>26.437186000000001</v>
      </c>
      <c r="N21" s="3">
        <f t="shared" si="1"/>
        <v>539.25693479999995</v>
      </c>
      <c r="O21" s="3">
        <v>0.15064043999999999</v>
      </c>
      <c r="P21" s="3">
        <v>43</v>
      </c>
      <c r="Q21" s="3">
        <f t="shared" si="2"/>
        <v>2.2598694688954089E-3</v>
      </c>
      <c r="R21" s="3">
        <f t="shared" si="3"/>
        <v>33.218313503065673</v>
      </c>
      <c r="S21" s="3">
        <v>3.6199999999999999E-7</v>
      </c>
      <c r="T21">
        <f t="shared" si="4"/>
        <v>713584.87361575617</v>
      </c>
    </row>
    <row r="22" spans="1:21" x14ac:dyDescent="0.25">
      <c r="A22" s="1">
        <v>43374</v>
      </c>
      <c r="B22" s="2">
        <v>0.82503472222222218</v>
      </c>
      <c r="C22">
        <v>1</v>
      </c>
      <c r="D22">
        <v>8</v>
      </c>
      <c r="E22">
        <v>220</v>
      </c>
      <c r="F22">
        <v>13</v>
      </c>
      <c r="G22">
        <v>13</v>
      </c>
      <c r="H22">
        <v>170.65989999999999</v>
      </c>
      <c r="I22">
        <v>52.047857</v>
      </c>
      <c r="J22">
        <v>14.524779000000001</v>
      </c>
      <c r="K22">
        <f t="shared" si="0"/>
        <v>2091.5681760000002</v>
      </c>
      <c r="L22" s="3">
        <v>100.14399</v>
      </c>
      <c r="M22" s="3">
        <v>26.456085999999999</v>
      </c>
      <c r="N22" s="3">
        <f t="shared" si="1"/>
        <v>539.29095480000001</v>
      </c>
      <c r="O22" s="3">
        <v>0.14993301000000001</v>
      </c>
      <c r="P22" s="3">
        <v>44</v>
      </c>
      <c r="Q22" s="3">
        <f t="shared" si="2"/>
        <v>2.2594753693290152E-3</v>
      </c>
      <c r="R22" s="3">
        <f t="shared" si="3"/>
        <v>32.903385776783068</v>
      </c>
      <c r="S22" s="3">
        <v>3.6199999999999999E-7</v>
      </c>
      <c r="T22">
        <f t="shared" si="4"/>
        <v>710132.30309788731</v>
      </c>
    </row>
    <row r="23" spans="1:21" x14ac:dyDescent="0.25">
      <c r="A23" s="1">
        <v>43374</v>
      </c>
      <c r="B23" s="2">
        <v>0.82515046296296291</v>
      </c>
      <c r="C23">
        <v>1</v>
      </c>
      <c r="D23">
        <v>8</v>
      </c>
      <c r="E23">
        <v>221</v>
      </c>
      <c r="F23">
        <v>14</v>
      </c>
      <c r="G23">
        <v>14</v>
      </c>
      <c r="H23">
        <v>169.66005000000001</v>
      </c>
      <c r="I23">
        <v>51.742924000000002</v>
      </c>
      <c r="J23">
        <v>14.523237999999999</v>
      </c>
      <c r="K23">
        <f t="shared" si="0"/>
        <v>2091.3462719999998</v>
      </c>
      <c r="L23" s="3">
        <v>100.13337</v>
      </c>
      <c r="M23" s="3">
        <v>26.476192999999999</v>
      </c>
      <c r="N23" s="3">
        <f t="shared" si="1"/>
        <v>539.32714740000006</v>
      </c>
      <c r="O23" s="3">
        <v>0.1490496</v>
      </c>
      <c r="P23" s="3">
        <v>45</v>
      </c>
      <c r="Q23" s="3">
        <f t="shared" si="2"/>
        <v>2.2590840408753974E-3</v>
      </c>
      <c r="R23" s="3">
        <f t="shared" si="3"/>
        <v>32.513339071957205</v>
      </c>
      <c r="S23" s="3">
        <v>3.6199999999999999E-7</v>
      </c>
      <c r="T23">
        <f t="shared" si="4"/>
        <v>705849.56045878818</v>
      </c>
    </row>
    <row r="24" spans="1:21" x14ac:dyDescent="0.25">
      <c r="A24" s="1">
        <v>43374</v>
      </c>
      <c r="B24" s="2">
        <v>0.82525462962962959</v>
      </c>
      <c r="C24">
        <v>1</v>
      </c>
      <c r="D24">
        <v>8</v>
      </c>
      <c r="E24">
        <v>222</v>
      </c>
      <c r="F24">
        <v>15</v>
      </c>
      <c r="G24">
        <v>15</v>
      </c>
      <c r="H24">
        <v>168.92344</v>
      </c>
      <c r="I24">
        <v>51.518270000000001</v>
      </c>
      <c r="J24">
        <v>14.522501999999999</v>
      </c>
      <c r="K24">
        <f t="shared" si="0"/>
        <v>2091.240288</v>
      </c>
      <c r="L24" s="3">
        <v>100.1283</v>
      </c>
      <c r="M24" s="3">
        <v>26.498443000000002</v>
      </c>
      <c r="N24" s="3">
        <f t="shared" si="1"/>
        <v>539.36719740000001</v>
      </c>
      <c r="O24" s="3">
        <v>0.14839695</v>
      </c>
      <c r="P24" s="3">
        <v>46</v>
      </c>
      <c r="Q24" s="3">
        <f t="shared" si="2"/>
        <v>2.2588018195551225E-3</v>
      </c>
      <c r="R24" s="3">
        <f t="shared" si="3"/>
        <v>32.227600180490796</v>
      </c>
      <c r="S24" s="3">
        <v>3.6199999999999999E-7</v>
      </c>
      <c r="T24">
        <f t="shared" si="4"/>
        <v>702697.18901935651</v>
      </c>
    </row>
    <row r="25" spans="1:21" x14ac:dyDescent="0.25">
      <c r="A25" s="1">
        <v>43374</v>
      </c>
      <c r="B25" s="2">
        <v>0.82537037037037031</v>
      </c>
      <c r="C25">
        <v>1</v>
      </c>
      <c r="D25">
        <v>8</v>
      </c>
      <c r="E25">
        <v>223</v>
      </c>
      <c r="F25">
        <v>16</v>
      </c>
      <c r="G25">
        <v>16</v>
      </c>
      <c r="H25">
        <v>167.58269000000001</v>
      </c>
      <c r="I25">
        <v>51.109369999999998</v>
      </c>
      <c r="J25">
        <v>14.521152000000001</v>
      </c>
      <c r="K25">
        <f t="shared" si="0"/>
        <v>2091.0458880000001</v>
      </c>
      <c r="L25" s="3">
        <v>100.11897999999999</v>
      </c>
      <c r="M25" s="3">
        <v>26.519470999999999</v>
      </c>
      <c r="N25" s="3">
        <f t="shared" si="1"/>
        <v>539.40504780000003</v>
      </c>
      <c r="O25" s="3">
        <v>0.14721396</v>
      </c>
      <c r="P25" s="3">
        <v>47</v>
      </c>
      <c r="Q25" s="3">
        <f t="shared" si="2"/>
        <v>2.2584333563252126E-3</v>
      </c>
      <c r="R25" s="3">
        <f t="shared" si="3"/>
        <v>31.712873748456637</v>
      </c>
      <c r="S25" s="3">
        <v>3.6199999999999999E-7</v>
      </c>
      <c r="T25">
        <f t="shared" si="4"/>
        <v>697006.14555931429</v>
      </c>
    </row>
    <row r="26" spans="1:21" x14ac:dyDescent="0.25">
      <c r="A26" s="1">
        <v>43374</v>
      </c>
      <c r="B26" s="2">
        <v>0.82547453703703699</v>
      </c>
      <c r="C26">
        <v>1</v>
      </c>
      <c r="D26">
        <v>8</v>
      </c>
      <c r="E26">
        <v>224</v>
      </c>
      <c r="F26">
        <v>17</v>
      </c>
      <c r="G26">
        <v>17</v>
      </c>
      <c r="H26">
        <v>166.99333999999999</v>
      </c>
      <c r="I26">
        <v>50.929627000000004</v>
      </c>
      <c r="J26">
        <v>14.524404000000001</v>
      </c>
      <c r="K26">
        <f t="shared" si="0"/>
        <v>2091.5141760000001</v>
      </c>
      <c r="L26" s="3">
        <v>100.14140999999999</v>
      </c>
      <c r="M26" s="3">
        <v>26.556964000000001</v>
      </c>
      <c r="N26" s="3">
        <f t="shared" si="1"/>
        <v>539.47253519999992</v>
      </c>
      <c r="O26" s="3">
        <v>0.14668706000000001</v>
      </c>
      <c r="P26" s="3">
        <v>48</v>
      </c>
      <c r="Q26" s="3">
        <f t="shared" si="2"/>
        <v>2.2586565398969418E-3</v>
      </c>
      <c r="R26" s="3">
        <f t="shared" si="3"/>
        <v>31.493324047708128</v>
      </c>
      <c r="S26" s="3">
        <v>3.6199999999999999E-7</v>
      </c>
      <c r="T26">
        <f t="shared" si="4"/>
        <v>694623.57184205065</v>
      </c>
    </row>
    <row r="27" spans="1:21" x14ac:dyDescent="0.25">
      <c r="A27" s="1">
        <v>43374</v>
      </c>
      <c r="B27" s="2">
        <v>0.82559027777777771</v>
      </c>
      <c r="C27">
        <v>1</v>
      </c>
      <c r="D27">
        <v>8</v>
      </c>
      <c r="E27">
        <v>225</v>
      </c>
      <c r="F27">
        <v>18</v>
      </c>
      <c r="G27">
        <v>18</v>
      </c>
      <c r="H27">
        <v>167.31010000000001</v>
      </c>
      <c r="I27">
        <v>51.026234000000002</v>
      </c>
      <c r="J27">
        <v>14.528943999999999</v>
      </c>
      <c r="K27">
        <f t="shared" si="0"/>
        <v>2092.1679359999998</v>
      </c>
      <c r="L27" s="3">
        <v>100.17271</v>
      </c>
      <c r="M27" s="3">
        <v>26.582550000000001</v>
      </c>
      <c r="N27" s="3">
        <f t="shared" si="1"/>
        <v>539.51859000000002</v>
      </c>
      <c r="O27" s="3">
        <v>0.14695904000000001</v>
      </c>
      <c r="P27" s="3">
        <v>49</v>
      </c>
      <c r="Q27" s="3">
        <f t="shared" si="2"/>
        <v>2.2591696793776489E-3</v>
      </c>
      <c r="R27" s="3">
        <f t="shared" si="3"/>
        <v>31.620095159665304</v>
      </c>
      <c r="S27" s="3">
        <v>3.6199999999999999E-7</v>
      </c>
      <c r="T27">
        <f t="shared" si="4"/>
        <v>696099.27251131192</v>
      </c>
    </row>
    <row r="28" spans="1:21" x14ac:dyDescent="0.25">
      <c r="A28" s="1">
        <v>43374</v>
      </c>
      <c r="B28" s="2">
        <v>0.82579861111111119</v>
      </c>
      <c r="C28">
        <v>1</v>
      </c>
      <c r="D28">
        <v>8</v>
      </c>
      <c r="E28">
        <v>226</v>
      </c>
      <c r="F28">
        <v>18</v>
      </c>
      <c r="G28">
        <v>18</v>
      </c>
      <c r="H28">
        <v>52.142353</v>
      </c>
      <c r="I28">
        <v>15.902374999999999</v>
      </c>
      <c r="J28">
        <v>14.361057000000001</v>
      </c>
      <c r="K28">
        <f t="shared" si="0"/>
        <v>2067.9922080000001</v>
      </c>
      <c r="L28" s="3">
        <v>99.015180000000001</v>
      </c>
      <c r="M28" s="3">
        <v>26.603300000000001</v>
      </c>
      <c r="N28" s="3">
        <f t="shared" si="1"/>
        <v>539.55593999999996</v>
      </c>
      <c r="O28" s="3">
        <v>4.5798339E-2</v>
      </c>
      <c r="P28" s="3">
        <v>50</v>
      </c>
      <c r="Q28" s="3">
        <f t="shared" si="2"/>
        <v>2.2329096074389762E-3</v>
      </c>
      <c r="R28" s="3">
        <f t="shared" si="3"/>
        <v>3.0354452053481888</v>
      </c>
      <c r="S28" s="3">
        <v>3.6199999999999999E-7</v>
      </c>
      <c r="T28">
        <f t="shared" si="4"/>
        <v>214418.34432444666</v>
      </c>
      <c r="U28">
        <f>AVERAGE(T6:T28)</f>
        <v>707351.5093899956</v>
      </c>
    </row>
    <row r="31" spans="1:21" x14ac:dyDescent="0.25">
      <c r="J31">
        <f>AVERAGE(J4:J28)</f>
        <v>14.519539080000001</v>
      </c>
    </row>
    <row r="32" spans="1:21" x14ac:dyDescent="0.25">
      <c r="A32" s="17" t="s">
        <v>310</v>
      </c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</row>
    <row r="34" spans="1:13" x14ac:dyDescent="0.25">
      <c r="C34" t="s">
        <v>69</v>
      </c>
      <c r="D34">
        <v>8</v>
      </c>
    </row>
    <row r="35" spans="1:13" x14ac:dyDescent="0.25">
      <c r="A35" t="s">
        <v>37</v>
      </c>
      <c r="F35" t="s">
        <v>38</v>
      </c>
      <c r="L35" t="s">
        <v>73</v>
      </c>
    </row>
    <row r="36" spans="1:13" x14ac:dyDescent="0.25">
      <c r="A36" t="s">
        <v>39</v>
      </c>
      <c r="B36" t="s">
        <v>40</v>
      </c>
      <c r="C36" t="s">
        <v>41</v>
      </c>
      <c r="D36" t="s">
        <v>67</v>
      </c>
      <c r="E36" t="s">
        <v>68</v>
      </c>
      <c r="F36" t="s">
        <v>39</v>
      </c>
      <c r="G36" t="s">
        <v>40</v>
      </c>
      <c r="H36" t="s">
        <v>41</v>
      </c>
      <c r="I36" t="s">
        <v>67</v>
      </c>
      <c r="J36" t="s">
        <v>68</v>
      </c>
      <c r="L36" t="s">
        <v>74</v>
      </c>
      <c r="M36" t="s">
        <v>70</v>
      </c>
    </row>
    <row r="37" spans="1:13" x14ac:dyDescent="0.25">
      <c r="A37">
        <v>18</v>
      </c>
      <c r="B37">
        <v>1</v>
      </c>
      <c r="C37">
        <v>1.26E-2</v>
      </c>
      <c r="D37">
        <v>8</v>
      </c>
      <c r="E37">
        <v>0.1008</v>
      </c>
      <c r="F37">
        <v>1</v>
      </c>
      <c r="G37">
        <v>0</v>
      </c>
      <c r="H37">
        <v>0</v>
      </c>
      <c r="I37">
        <v>0</v>
      </c>
      <c r="J37">
        <v>0</v>
      </c>
      <c r="L37">
        <v>-3.9299843633953699</v>
      </c>
      <c r="M37">
        <v>-0.41776722248255099</v>
      </c>
    </row>
    <row r="38" spans="1:13" x14ac:dyDescent="0.25">
      <c r="A38">
        <v>19</v>
      </c>
      <c r="B38">
        <v>0.95</v>
      </c>
      <c r="C38">
        <v>8.0700000000000008E-3</v>
      </c>
      <c r="D38">
        <v>7.6</v>
      </c>
      <c r="E38">
        <v>6.4560000000000006E-2</v>
      </c>
      <c r="F38">
        <v>2</v>
      </c>
      <c r="G38">
        <v>1.2500000000000001E-2</v>
      </c>
      <c r="H38">
        <v>-1.8939999999999999E-2</v>
      </c>
      <c r="I38">
        <v>0.1</v>
      </c>
      <c r="J38">
        <v>-0.15151999999999999</v>
      </c>
      <c r="L38">
        <v>-1.9001068815008799</v>
      </c>
      <c r="M38">
        <v>-0.20558185425363901</v>
      </c>
    </row>
    <row r="39" spans="1:13" x14ac:dyDescent="0.25">
      <c r="A39">
        <v>20</v>
      </c>
      <c r="B39">
        <v>0.9</v>
      </c>
      <c r="C39">
        <v>1.448E-2</v>
      </c>
      <c r="D39">
        <v>7.2</v>
      </c>
      <c r="E39">
        <v>0.11584</v>
      </c>
      <c r="F39">
        <v>3</v>
      </c>
      <c r="G39">
        <v>2.5000000000000001E-2</v>
      </c>
      <c r="H39">
        <v>-2.615E-2</v>
      </c>
      <c r="I39">
        <v>0.2</v>
      </c>
      <c r="J39">
        <v>-0.2092</v>
      </c>
      <c r="L39">
        <v>0.13022743703620401</v>
      </c>
      <c r="M39">
        <v>-7.2121982449320204E-3</v>
      </c>
    </row>
    <row r="40" spans="1:13" x14ac:dyDescent="0.25">
      <c r="A40">
        <v>21</v>
      </c>
      <c r="B40">
        <v>0.8</v>
      </c>
      <c r="C40">
        <v>2.623E-2</v>
      </c>
      <c r="D40">
        <v>6.4</v>
      </c>
      <c r="E40">
        <v>0.20984</v>
      </c>
      <c r="F40">
        <v>4</v>
      </c>
      <c r="G40">
        <v>0.05</v>
      </c>
      <c r="H40">
        <v>-3.5549999999999998E-2</v>
      </c>
      <c r="I40">
        <v>0.4</v>
      </c>
      <c r="J40">
        <v>-0.28439999999999999</v>
      </c>
      <c r="L40">
        <v>2.06706252272383</v>
      </c>
      <c r="M40">
        <v>0.21877322549876899</v>
      </c>
    </row>
    <row r="41" spans="1:13" x14ac:dyDescent="0.25">
      <c r="A41">
        <v>22</v>
      </c>
      <c r="B41">
        <v>0.7</v>
      </c>
      <c r="C41">
        <v>3.6639999999999999E-2</v>
      </c>
      <c r="D41">
        <v>5.6</v>
      </c>
      <c r="E41">
        <v>0.29311999999999999</v>
      </c>
      <c r="F41">
        <v>5</v>
      </c>
      <c r="G41">
        <v>7.4999999999999997E-2</v>
      </c>
      <c r="H41">
        <v>-4.2000000000000003E-2</v>
      </c>
      <c r="I41">
        <v>0.6</v>
      </c>
      <c r="J41">
        <v>-0.33600000000000002</v>
      </c>
      <c r="L41">
        <v>4.09663544685659</v>
      </c>
      <c r="M41">
        <v>0.44016906854115001</v>
      </c>
    </row>
    <row r="42" spans="1:13" x14ac:dyDescent="0.25">
      <c r="A42">
        <v>23</v>
      </c>
      <c r="B42">
        <v>0.4</v>
      </c>
      <c r="C42">
        <v>5.8029999999999998E-2</v>
      </c>
      <c r="D42">
        <v>3.2</v>
      </c>
      <c r="E42">
        <v>0.46423999999999999</v>
      </c>
      <c r="F42">
        <v>6</v>
      </c>
      <c r="G42">
        <v>0.1</v>
      </c>
      <c r="H42">
        <v>-4.6829999999999997E-2</v>
      </c>
      <c r="I42">
        <v>0.8</v>
      </c>
      <c r="J42">
        <v>-0.37463999999999997</v>
      </c>
      <c r="L42">
        <v>6.1263606498702199</v>
      </c>
      <c r="M42">
        <v>0.65695967417679701</v>
      </c>
    </row>
    <row r="43" spans="1:13" x14ac:dyDescent="0.25">
      <c r="A43">
        <v>24</v>
      </c>
      <c r="B43">
        <v>0.3</v>
      </c>
      <c r="C43">
        <v>6.0019999999999997E-2</v>
      </c>
      <c r="D43">
        <v>2.4</v>
      </c>
      <c r="E43">
        <v>0.48015999999999998</v>
      </c>
      <c r="F43">
        <v>7</v>
      </c>
      <c r="G43">
        <v>0.15</v>
      </c>
      <c r="H43">
        <v>-5.3449999999999998E-2</v>
      </c>
      <c r="I43">
        <v>1.2</v>
      </c>
      <c r="J43">
        <v>-0.42759999999999998</v>
      </c>
      <c r="L43">
        <v>8.3429320397018998</v>
      </c>
      <c r="M43">
        <v>0.82312398174919299</v>
      </c>
    </row>
    <row r="44" spans="1:13" x14ac:dyDescent="0.25">
      <c r="A44">
        <v>25</v>
      </c>
      <c r="B44">
        <v>0.25</v>
      </c>
      <c r="C44">
        <v>5.9409999999999998E-2</v>
      </c>
      <c r="D44">
        <v>2</v>
      </c>
      <c r="E44">
        <v>0.47527999999999998</v>
      </c>
      <c r="F44">
        <v>8</v>
      </c>
      <c r="G44">
        <v>0.2</v>
      </c>
      <c r="H44">
        <v>-5.7369999999999997E-2</v>
      </c>
      <c r="I44">
        <v>1.6</v>
      </c>
      <c r="J44">
        <v>-0.45895999999999998</v>
      </c>
      <c r="L44">
        <v>10.283574097411</v>
      </c>
      <c r="M44">
        <v>0.93397847032453096</v>
      </c>
    </row>
    <row r="45" spans="1:13" x14ac:dyDescent="0.25">
      <c r="A45">
        <v>26</v>
      </c>
      <c r="B45">
        <v>0.2</v>
      </c>
      <c r="C45">
        <v>5.7369999999999997E-2</v>
      </c>
      <c r="D45">
        <v>1.6</v>
      </c>
      <c r="E45">
        <v>0.45895999999999998</v>
      </c>
      <c r="F45">
        <v>9</v>
      </c>
      <c r="G45">
        <v>0.25</v>
      </c>
      <c r="H45">
        <v>-5.9409999999999998E-2</v>
      </c>
      <c r="I45">
        <v>2</v>
      </c>
      <c r="J45">
        <v>-0.47527999999999998</v>
      </c>
      <c r="L45">
        <v>11.207450067602601</v>
      </c>
      <c r="M45">
        <v>0.99400312366622701</v>
      </c>
    </row>
    <row r="46" spans="1:13" x14ac:dyDescent="0.25">
      <c r="A46">
        <v>27</v>
      </c>
      <c r="B46">
        <v>0.15</v>
      </c>
      <c r="C46">
        <v>5.3449999999999998E-2</v>
      </c>
      <c r="D46">
        <v>1.2</v>
      </c>
      <c r="E46">
        <v>0.42759999999999998</v>
      </c>
      <c r="F46">
        <v>10</v>
      </c>
      <c r="G46">
        <v>0.3</v>
      </c>
      <c r="H46">
        <v>-6.0019999999999997E-2</v>
      </c>
      <c r="I46">
        <v>2.4</v>
      </c>
      <c r="J46">
        <v>-0.48015999999999998</v>
      </c>
      <c r="L46">
        <v>12.3174108302079</v>
      </c>
      <c r="M46">
        <v>1.02642766597834</v>
      </c>
    </row>
    <row r="47" spans="1:13" x14ac:dyDescent="0.25">
      <c r="A47">
        <v>28</v>
      </c>
      <c r="B47">
        <v>0.1</v>
      </c>
      <c r="C47">
        <v>4.6829999999999997E-2</v>
      </c>
      <c r="D47">
        <v>0.8</v>
      </c>
      <c r="E47">
        <v>0.37463999999999997</v>
      </c>
      <c r="F47">
        <v>11</v>
      </c>
      <c r="G47">
        <v>0.4</v>
      </c>
      <c r="H47">
        <v>-5.8029999999999998E-2</v>
      </c>
      <c r="I47">
        <v>3.2</v>
      </c>
      <c r="J47">
        <v>-0.46423999999999999</v>
      </c>
      <c r="L47">
        <v>13.161797224589399</v>
      </c>
      <c r="M47">
        <v>0.69038624563545903</v>
      </c>
    </row>
    <row r="48" spans="1:13" x14ac:dyDescent="0.25">
      <c r="A48">
        <v>29</v>
      </c>
      <c r="B48">
        <v>7.4999999999999997E-2</v>
      </c>
      <c r="C48">
        <v>4.2000000000000003E-2</v>
      </c>
      <c r="D48">
        <v>0.6</v>
      </c>
      <c r="E48">
        <v>0.33600000000000002</v>
      </c>
      <c r="F48">
        <v>12</v>
      </c>
      <c r="G48">
        <v>0.5</v>
      </c>
      <c r="H48">
        <v>-5.2940000000000001E-2</v>
      </c>
      <c r="I48">
        <v>4</v>
      </c>
      <c r="J48">
        <v>-0.42352000000000001</v>
      </c>
      <c r="L48">
        <v>14.0903938400877</v>
      </c>
      <c r="M48">
        <v>0.60764853936838503</v>
      </c>
    </row>
    <row r="49" spans="1:33" x14ac:dyDescent="0.25">
      <c r="A49">
        <v>30</v>
      </c>
      <c r="B49">
        <v>0.05</v>
      </c>
      <c r="C49">
        <v>3.5549999999999998E-2</v>
      </c>
      <c r="D49">
        <v>0.4</v>
      </c>
      <c r="E49">
        <v>0.28439999999999999</v>
      </c>
      <c r="F49">
        <v>13</v>
      </c>
      <c r="G49">
        <v>0.6</v>
      </c>
      <c r="H49">
        <v>-4.5629999999999997E-2</v>
      </c>
      <c r="I49">
        <v>4.8</v>
      </c>
      <c r="J49">
        <v>-0.36503999999999998</v>
      </c>
    </row>
    <row r="50" spans="1:33" x14ac:dyDescent="0.25">
      <c r="A50">
        <v>31</v>
      </c>
      <c r="B50">
        <v>2.5000000000000001E-2</v>
      </c>
      <c r="C50">
        <v>2.615E-2</v>
      </c>
      <c r="D50">
        <v>0.2</v>
      </c>
      <c r="E50">
        <v>0.2092</v>
      </c>
      <c r="F50">
        <v>14</v>
      </c>
      <c r="G50">
        <v>0.7</v>
      </c>
      <c r="H50">
        <v>-3.6639999999999999E-2</v>
      </c>
      <c r="I50">
        <v>5.6</v>
      </c>
      <c r="J50">
        <v>-0.29311999999999999</v>
      </c>
    </row>
    <row r="51" spans="1:33" x14ac:dyDescent="0.25">
      <c r="A51">
        <v>32</v>
      </c>
      <c r="B51">
        <v>1.2500000000000001E-2</v>
      </c>
      <c r="C51">
        <v>1.8939999999999999E-2</v>
      </c>
      <c r="D51">
        <v>0.1</v>
      </c>
      <c r="E51">
        <v>0.15151999999999999</v>
      </c>
      <c r="F51">
        <v>15</v>
      </c>
      <c r="G51">
        <v>0.8</v>
      </c>
      <c r="H51">
        <v>-2.623E-2</v>
      </c>
      <c r="I51">
        <v>6.4</v>
      </c>
      <c r="J51">
        <v>-0.20984</v>
      </c>
    </row>
    <row r="52" spans="1:33" x14ac:dyDescent="0.25">
      <c r="F52">
        <v>16</v>
      </c>
      <c r="G52">
        <v>0.9</v>
      </c>
      <c r="H52">
        <v>-1.448E-2</v>
      </c>
      <c r="I52">
        <v>7.2</v>
      </c>
      <c r="J52">
        <v>-0.11584</v>
      </c>
    </row>
    <row r="53" spans="1:33" x14ac:dyDescent="0.25">
      <c r="F53">
        <v>17</v>
      </c>
      <c r="G53">
        <v>0.95</v>
      </c>
      <c r="H53">
        <v>-8.0700000000000008E-3</v>
      </c>
      <c r="I53">
        <v>7.6</v>
      </c>
      <c r="J53">
        <v>-6.4560000000000006E-2</v>
      </c>
    </row>
    <row r="57" spans="1:33" x14ac:dyDescent="0.25">
      <c r="A57" s="17" t="s">
        <v>311</v>
      </c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</row>
    <row r="58" spans="1:33" x14ac:dyDescent="0.25">
      <c r="B58" t="s">
        <v>44</v>
      </c>
    </row>
    <row r="59" spans="1:33" x14ac:dyDescent="0.25">
      <c r="A59" t="s">
        <v>45</v>
      </c>
      <c r="B59" t="s">
        <v>14</v>
      </c>
      <c r="C59" t="s">
        <v>15</v>
      </c>
      <c r="D59" t="s">
        <v>16</v>
      </c>
      <c r="E59" t="s">
        <v>17</v>
      </c>
      <c r="F59" t="s">
        <v>18</v>
      </c>
      <c r="G59" t="s">
        <v>19</v>
      </c>
      <c r="H59" t="s">
        <v>20</v>
      </c>
      <c r="I59" t="s">
        <v>21</v>
      </c>
      <c r="J59" t="s">
        <v>22</v>
      </c>
      <c r="K59" t="s">
        <v>23</v>
      </c>
      <c r="L59" t="s">
        <v>24</v>
      </c>
      <c r="M59" t="s">
        <v>25</v>
      </c>
      <c r="N59" t="s">
        <v>26</v>
      </c>
      <c r="O59" t="s">
        <v>27</v>
      </c>
      <c r="P59" t="s">
        <v>28</v>
      </c>
      <c r="Q59" t="s">
        <v>29</v>
      </c>
      <c r="R59" t="s">
        <v>46</v>
      </c>
      <c r="S59" t="s">
        <v>47</v>
      </c>
      <c r="T59" t="s">
        <v>48</v>
      </c>
      <c r="U59" t="s">
        <v>49</v>
      </c>
      <c r="V59" t="s">
        <v>50</v>
      </c>
      <c r="W59" t="s">
        <v>51</v>
      </c>
      <c r="X59" t="s">
        <v>52</v>
      </c>
      <c r="Y59" t="s">
        <v>53</v>
      </c>
      <c r="Z59" t="s">
        <v>54</v>
      </c>
      <c r="AA59" t="s">
        <v>55</v>
      </c>
      <c r="AB59" t="s">
        <v>56</v>
      </c>
      <c r="AC59" t="s">
        <v>57</v>
      </c>
      <c r="AD59" t="s">
        <v>58</v>
      </c>
      <c r="AE59" t="s">
        <v>59</v>
      </c>
      <c r="AF59" t="s">
        <v>60</v>
      </c>
      <c r="AG59" t="s">
        <v>61</v>
      </c>
    </row>
    <row r="60" spans="1:33" x14ac:dyDescent="0.25">
      <c r="A60" t="s">
        <v>62</v>
      </c>
      <c r="B60">
        <v>-6.1464310000000004E-4</v>
      </c>
      <c r="C60">
        <v>-6.4849850000000002E-4</v>
      </c>
      <c r="D60">
        <v>-4.6157840000000001E-4</v>
      </c>
      <c r="E60">
        <v>3.9632319999999999E-2</v>
      </c>
      <c r="F60">
        <v>-2.5653839999999998E-4</v>
      </c>
      <c r="G60">
        <v>-6.1178209999999998E-4</v>
      </c>
      <c r="H60">
        <v>-1.2450219999999999E-3</v>
      </c>
      <c r="I60">
        <v>-1.192093E-4</v>
      </c>
      <c r="J60">
        <v>4.3630600000000002E-4</v>
      </c>
      <c r="K60">
        <v>4.3742179999999999E-2</v>
      </c>
      <c r="L60">
        <v>7.2145460000000005E-4</v>
      </c>
      <c r="M60">
        <v>9.8705290000000004E-5</v>
      </c>
      <c r="N60">
        <v>1.8774030000000001E-2</v>
      </c>
      <c r="O60">
        <v>-3.0565259999999999E-4</v>
      </c>
      <c r="P60">
        <v>2.3031230000000001E-4</v>
      </c>
      <c r="Q60">
        <v>-1.416206E-4</v>
      </c>
      <c r="R60">
        <v>-6.5183639999999996E-4</v>
      </c>
      <c r="S60">
        <v>-1.280308E-3</v>
      </c>
      <c r="T60">
        <v>-8.8691710000000004E-5</v>
      </c>
      <c r="U60">
        <v>3.4039020000000003E-2</v>
      </c>
      <c r="V60">
        <v>-3.2901760000000001E-5</v>
      </c>
      <c r="W60">
        <v>-5.0067899999999997E-4</v>
      </c>
      <c r="X60">
        <v>-1.240253E-3</v>
      </c>
      <c r="Y60">
        <v>9.9182129999999996E-5</v>
      </c>
      <c r="Z60">
        <v>-9.5558169999999997E-4</v>
      </c>
      <c r="AA60">
        <v>3.7574769999999997E-4</v>
      </c>
      <c r="AB60">
        <v>2.7942659999999998E-4</v>
      </c>
      <c r="AC60">
        <v>-3.8957599999999998E-4</v>
      </c>
      <c r="AD60">
        <v>-1.029968E-3</v>
      </c>
      <c r="AE60">
        <v>3.9672850000000001E-4</v>
      </c>
      <c r="AF60">
        <v>1.037121E-3</v>
      </c>
      <c r="AG60">
        <v>2.0885470000000001E-4</v>
      </c>
    </row>
    <row r="61" spans="1:33" x14ac:dyDescent="0.25">
      <c r="A61">
        <v>-4</v>
      </c>
      <c r="B61">
        <v>-9.7381110000000007E-2</v>
      </c>
      <c r="C61">
        <v>-0.66208409999999995</v>
      </c>
      <c r="D61">
        <v>-0.57179210000000003</v>
      </c>
      <c r="E61">
        <v>-0.46573969999999998</v>
      </c>
      <c r="F61">
        <v>-0.4059334</v>
      </c>
      <c r="G61">
        <v>-3.5473350000000001E-2</v>
      </c>
      <c r="H61">
        <v>-0.33714719999999998</v>
      </c>
      <c r="I61">
        <v>-0.28523779999999999</v>
      </c>
      <c r="J61">
        <v>-0.26356740000000001</v>
      </c>
      <c r="K61">
        <v>4.7463890000000002E-2</v>
      </c>
      <c r="L61">
        <v>-0.2071848</v>
      </c>
      <c r="M61">
        <v>-0.1723981</v>
      </c>
      <c r="N61">
        <v>4.8770899999999997E-3</v>
      </c>
      <c r="O61">
        <v>-0.12342740000000001</v>
      </c>
      <c r="P61">
        <v>-9.4748499999999999E-2</v>
      </c>
      <c r="Q61">
        <v>-6.7215440000000001E-2</v>
      </c>
      <c r="R61">
        <v>-5.6692600000000003E-2</v>
      </c>
      <c r="S61">
        <v>-4.5741560000000001E-2</v>
      </c>
      <c r="T61">
        <v>-4.9483300000000001E-2</v>
      </c>
      <c r="U61">
        <v>-5.7263370000000001E-2</v>
      </c>
      <c r="V61">
        <v>-6.1161989999999999E-2</v>
      </c>
      <c r="W61">
        <v>-7.1237560000000005E-2</v>
      </c>
      <c r="X61">
        <v>-7.7335829999999994E-2</v>
      </c>
      <c r="Y61">
        <v>-7.032919E-2</v>
      </c>
      <c r="Z61">
        <v>-6.7307000000000006E-2</v>
      </c>
      <c r="AA61">
        <v>-5.6524749999999999E-2</v>
      </c>
      <c r="AB61">
        <v>-4.4765470000000002E-2</v>
      </c>
      <c r="AC61">
        <v>-1.6530510000000002E-2</v>
      </c>
      <c r="AD61">
        <v>8.9278220000000002E-3</v>
      </c>
      <c r="AE61">
        <v>4.4658660000000003E-2</v>
      </c>
      <c r="AF61">
        <v>0.10062599999999999</v>
      </c>
      <c r="AG61">
        <v>0.15638260000000001</v>
      </c>
    </row>
    <row r="62" spans="1:33" x14ac:dyDescent="0.25">
      <c r="A62">
        <v>-3</v>
      </c>
      <c r="B62">
        <v>1.3341900000000001E-3</v>
      </c>
      <c r="C62">
        <v>-0.54388139999999996</v>
      </c>
      <c r="D62">
        <v>-0.49067640000000001</v>
      </c>
      <c r="E62">
        <v>-0.4136629</v>
      </c>
      <c r="F62">
        <v>-0.36238769999999998</v>
      </c>
      <c r="G62">
        <v>-3.008986E-2</v>
      </c>
      <c r="H62">
        <v>-0.3067474</v>
      </c>
      <c r="I62">
        <v>-0.27243469999999997</v>
      </c>
      <c r="J62">
        <v>-0.24208689999999999</v>
      </c>
      <c r="K62">
        <v>4.8161509999999998E-2</v>
      </c>
      <c r="L62">
        <v>-0.1963558</v>
      </c>
      <c r="M62">
        <v>-0.16491320000000001</v>
      </c>
      <c r="N62">
        <v>6.2990190000000003E-3</v>
      </c>
      <c r="O62">
        <v>-0.11908009999999999</v>
      </c>
      <c r="P62">
        <v>-9.1080190000000005E-2</v>
      </c>
      <c r="Q62">
        <v>-6.4044000000000004E-2</v>
      </c>
      <c r="R62">
        <v>-5.1216129999999999E-2</v>
      </c>
      <c r="S62">
        <v>-3.7802700000000002E-2</v>
      </c>
      <c r="T62">
        <v>-5.5303570000000003E-2</v>
      </c>
      <c r="U62">
        <v>-6.3004489999999996E-2</v>
      </c>
      <c r="V62">
        <v>-6.7880629999999997E-2</v>
      </c>
      <c r="W62">
        <v>-7.8424930000000004E-2</v>
      </c>
      <c r="X62">
        <v>-9.006596E-2</v>
      </c>
      <c r="Y62">
        <v>-8.567429E-2</v>
      </c>
      <c r="Z62">
        <v>-8.4156040000000001E-2</v>
      </c>
      <c r="AA62">
        <v>-7.6289179999999998E-2</v>
      </c>
      <c r="AB62">
        <v>-6.7972179999999993E-2</v>
      </c>
      <c r="AC62">
        <v>-4.319096E-2</v>
      </c>
      <c r="AD62">
        <v>-1.9914149999999999E-2</v>
      </c>
      <c r="AE62">
        <v>1.2362E-2</v>
      </c>
      <c r="AF62">
        <v>6.6316130000000001E-2</v>
      </c>
      <c r="AG62">
        <v>0.12500810000000001</v>
      </c>
    </row>
    <row r="63" spans="1:33" x14ac:dyDescent="0.25">
      <c r="A63">
        <v>-2</v>
      </c>
      <c r="B63">
        <v>8.2496169999999994E-2</v>
      </c>
      <c r="C63">
        <v>-0.43188290000000001</v>
      </c>
      <c r="D63">
        <v>-0.41639520000000002</v>
      </c>
      <c r="E63">
        <v>-0.3617496</v>
      </c>
      <c r="F63">
        <v>-0.32263140000000001</v>
      </c>
      <c r="G63">
        <v>-2.6420590000000001E-2</v>
      </c>
      <c r="H63">
        <v>-0.282331</v>
      </c>
      <c r="I63">
        <v>-0.24911259999999999</v>
      </c>
      <c r="J63">
        <v>-0.2285171</v>
      </c>
      <c r="K63">
        <v>4.8684119999999997E-2</v>
      </c>
      <c r="L63">
        <v>-0.18293999999999999</v>
      </c>
      <c r="M63">
        <v>-0.15767339999999999</v>
      </c>
      <c r="N63">
        <v>6.8354610000000001E-3</v>
      </c>
      <c r="O63">
        <v>-0.11577800000000001</v>
      </c>
      <c r="P63">
        <v>-8.849812E-2</v>
      </c>
      <c r="Q63">
        <v>-6.0958859999999997E-2</v>
      </c>
      <c r="R63">
        <v>-4.7558780000000002E-2</v>
      </c>
      <c r="S63">
        <v>-2.8616909999999999E-2</v>
      </c>
      <c r="T63">
        <v>-6.0942169999999997E-2</v>
      </c>
      <c r="U63">
        <v>-6.9092269999999997E-2</v>
      </c>
      <c r="V63">
        <v>-7.4055670000000004E-2</v>
      </c>
      <c r="W63">
        <v>-8.5615159999999996E-2</v>
      </c>
      <c r="X63">
        <v>-0.10313890000000001</v>
      </c>
      <c r="Y63">
        <v>-0.1024914</v>
      </c>
      <c r="Z63">
        <v>-0.10329960000000001</v>
      </c>
      <c r="AA63">
        <v>-9.7345829999999994E-2</v>
      </c>
      <c r="AB63">
        <v>-9.2451569999999997E-2</v>
      </c>
      <c r="AC63">
        <v>-7.2180270000000005E-2</v>
      </c>
      <c r="AD63">
        <v>-5.1578520000000003E-2</v>
      </c>
      <c r="AE63">
        <v>-2.3034570000000001E-2</v>
      </c>
      <c r="AF63">
        <v>2.632236E-2</v>
      </c>
      <c r="AG63">
        <v>8.4623809999999994E-2</v>
      </c>
    </row>
    <row r="64" spans="1:33" x14ac:dyDescent="0.25">
      <c r="A64">
        <v>-1</v>
      </c>
      <c r="B64">
        <v>0.14430480000000001</v>
      </c>
      <c r="C64">
        <v>-0.3370128</v>
      </c>
      <c r="D64">
        <v>-0.34651520000000002</v>
      </c>
      <c r="E64">
        <v>-0.31430200000000003</v>
      </c>
      <c r="F64">
        <v>-0.28664780000000001</v>
      </c>
      <c r="G64">
        <v>-2.2600169999999999E-2</v>
      </c>
      <c r="H64">
        <v>-0.26111509999999999</v>
      </c>
      <c r="I64">
        <v>-0.23105429999999999</v>
      </c>
      <c r="J64">
        <v>-0.21492240000000001</v>
      </c>
      <c r="K64">
        <v>4.8510070000000002E-2</v>
      </c>
      <c r="L64">
        <v>-0.17910390000000001</v>
      </c>
      <c r="M64">
        <v>-0.14811559999999999</v>
      </c>
      <c r="N64">
        <v>6.4783100000000001E-3</v>
      </c>
      <c r="O64">
        <v>-0.1143866</v>
      </c>
      <c r="P64">
        <v>-8.7947849999999994E-2</v>
      </c>
      <c r="Q64">
        <v>-6.0231689999999997E-2</v>
      </c>
      <c r="R64">
        <v>-4.6828750000000002E-2</v>
      </c>
      <c r="S64">
        <v>-2.1588799999999998E-2</v>
      </c>
      <c r="T64">
        <v>-6.4400669999999993E-2</v>
      </c>
      <c r="U64">
        <v>-7.5354099999999993E-2</v>
      </c>
      <c r="V64">
        <v>-8.113861E-2</v>
      </c>
      <c r="W64">
        <v>-9.3883040000000001E-2</v>
      </c>
      <c r="X64">
        <v>-0.11760710000000001</v>
      </c>
      <c r="Y64">
        <v>-0.1198525</v>
      </c>
      <c r="Z64">
        <v>-0.1229391</v>
      </c>
      <c r="AA64">
        <v>-0.11987879999999999</v>
      </c>
      <c r="AB64">
        <v>-0.11891790000000001</v>
      </c>
      <c r="AC64">
        <v>-0.1029925</v>
      </c>
      <c r="AD64">
        <v>-8.4631919999999999E-2</v>
      </c>
      <c r="AE64">
        <v>-6.1164860000000001E-2</v>
      </c>
      <c r="AF64">
        <v>-1.8620970000000001E-2</v>
      </c>
      <c r="AG64">
        <v>3.7269120000000003E-2</v>
      </c>
    </row>
    <row r="65" spans="1:33" x14ac:dyDescent="0.25">
      <c r="A65">
        <v>0</v>
      </c>
      <c r="B65">
        <v>0.18514920000000001</v>
      </c>
      <c r="C65">
        <v>-0.24316979999999999</v>
      </c>
      <c r="D65">
        <v>-0.27520939999999999</v>
      </c>
      <c r="E65">
        <v>-0.26461030000000002</v>
      </c>
      <c r="F65">
        <v>-0.2478986</v>
      </c>
      <c r="G65">
        <v>-1.9499300000000001E-2</v>
      </c>
      <c r="H65">
        <v>-0.2368999</v>
      </c>
      <c r="I65">
        <v>-0.2105389</v>
      </c>
      <c r="J65">
        <v>-0.19802520000000001</v>
      </c>
      <c r="K65">
        <v>4.9361710000000003E-2</v>
      </c>
      <c r="L65">
        <v>-0.16654969999999999</v>
      </c>
      <c r="M65">
        <v>-0.14372399999999999</v>
      </c>
      <c r="N65">
        <v>7.9050059999999991E-3</v>
      </c>
      <c r="O65">
        <v>-0.11038489999999999</v>
      </c>
      <c r="P65">
        <v>-8.5764409999999999E-2</v>
      </c>
      <c r="Q65">
        <v>-5.9758659999999998E-2</v>
      </c>
      <c r="R65">
        <v>-4.6290400000000002E-2</v>
      </c>
      <c r="S65">
        <v>-1.5727519999999998E-2</v>
      </c>
      <c r="T65">
        <v>-6.4601420000000007E-2</v>
      </c>
      <c r="U65">
        <v>-7.6049329999999998E-2</v>
      </c>
      <c r="V65">
        <v>-8.5872169999999998E-2</v>
      </c>
      <c r="W65">
        <v>-9.9820610000000004E-2</v>
      </c>
      <c r="X65">
        <v>-0.1296263</v>
      </c>
      <c r="Y65">
        <v>-0.13485430000000001</v>
      </c>
      <c r="Z65">
        <v>-0.14124629999999999</v>
      </c>
      <c r="AA65">
        <v>-0.1409416</v>
      </c>
      <c r="AB65">
        <v>-0.1437831</v>
      </c>
      <c r="AC65">
        <v>-0.13400790000000001</v>
      </c>
      <c r="AD65">
        <v>-0.1192284</v>
      </c>
      <c r="AE65">
        <v>-0.1014838</v>
      </c>
      <c r="AF65">
        <v>-6.833649E-2</v>
      </c>
      <c r="AG65">
        <v>-2.064848E-2</v>
      </c>
    </row>
    <row r="66" spans="1:33" x14ac:dyDescent="0.25">
      <c r="A66">
        <v>1</v>
      </c>
      <c r="B66">
        <v>0.20753150000000001</v>
      </c>
      <c r="C66">
        <v>-0.16111900000000001</v>
      </c>
      <c r="D66">
        <v>-0.2121768</v>
      </c>
      <c r="E66">
        <v>-0.2199035</v>
      </c>
      <c r="F66">
        <v>-0.2131171</v>
      </c>
      <c r="G66">
        <v>-1.6547679999999999E-2</v>
      </c>
      <c r="H66">
        <v>-0.21550559999999999</v>
      </c>
      <c r="I66">
        <v>-0.19283059999999999</v>
      </c>
      <c r="J66">
        <v>-0.1840811</v>
      </c>
      <c r="K66">
        <v>4.9536709999999998E-2</v>
      </c>
      <c r="L66">
        <v>-0.1576552</v>
      </c>
      <c r="M66">
        <v>-0.1374679</v>
      </c>
      <c r="N66">
        <v>8.2616809999999999E-3</v>
      </c>
      <c r="O66">
        <v>-0.107255</v>
      </c>
      <c r="P66">
        <v>-8.5214609999999996E-2</v>
      </c>
      <c r="Q66">
        <v>-6.0122490000000001E-2</v>
      </c>
      <c r="R66">
        <v>-4.7021390000000003E-2</v>
      </c>
      <c r="S66">
        <v>-1.608849E-2</v>
      </c>
      <c r="T66">
        <v>-6.733227E-2</v>
      </c>
      <c r="U66">
        <v>-7.7788830000000003E-2</v>
      </c>
      <c r="V66">
        <v>-8.8232989999999997E-2</v>
      </c>
      <c r="W66">
        <v>-0.106111</v>
      </c>
      <c r="X66">
        <v>-0.1421771</v>
      </c>
      <c r="Y66">
        <v>-0.1509356</v>
      </c>
      <c r="Z66">
        <v>-0.1596236</v>
      </c>
      <c r="AA66">
        <v>-0.1621804</v>
      </c>
      <c r="AB66">
        <v>-0.16952420000000001</v>
      </c>
      <c r="AC66">
        <v>-0.1651812</v>
      </c>
      <c r="AD66">
        <v>-0.154388</v>
      </c>
      <c r="AE66">
        <v>-0.14435200000000001</v>
      </c>
      <c r="AF66">
        <v>-0.12079429999999999</v>
      </c>
      <c r="AG66">
        <v>-8.3415989999999995E-2</v>
      </c>
    </row>
    <row r="67" spans="1:33" x14ac:dyDescent="0.25">
      <c r="A67">
        <v>2</v>
      </c>
      <c r="B67">
        <v>0.2123179</v>
      </c>
      <c r="C67">
        <v>-8.7457660000000007E-2</v>
      </c>
      <c r="D67">
        <v>-0.15301319999999999</v>
      </c>
      <c r="E67">
        <v>-0.17605109999999999</v>
      </c>
      <c r="F67">
        <v>-0.177814</v>
      </c>
      <c r="G67">
        <v>-1.377106E-2</v>
      </c>
      <c r="H67">
        <v>-0.19253439999999999</v>
      </c>
      <c r="I67">
        <v>-0.17442849999999999</v>
      </c>
      <c r="J67">
        <v>-0.16841410000000001</v>
      </c>
      <c r="K67">
        <v>5.005884E-2</v>
      </c>
      <c r="L67">
        <v>-0.14789769999999999</v>
      </c>
      <c r="M67">
        <v>-0.12965109999999999</v>
      </c>
      <c r="N67">
        <v>9.3321800000000007E-3</v>
      </c>
      <c r="O67">
        <v>-9.9428649999999993E-2</v>
      </c>
      <c r="P67">
        <v>-8.2848069999999996E-2</v>
      </c>
      <c r="Q67">
        <v>-5.9212210000000001E-2</v>
      </c>
      <c r="R67">
        <v>-4.756403E-2</v>
      </c>
      <c r="S67">
        <v>-1.6677379999999999E-2</v>
      </c>
      <c r="T67">
        <v>-6.6955570000000006E-2</v>
      </c>
      <c r="U67">
        <v>-8.0394740000000006E-2</v>
      </c>
      <c r="V67">
        <v>-9.0582850000000006E-2</v>
      </c>
      <c r="W67">
        <v>-0.11186309999999999</v>
      </c>
      <c r="X67">
        <v>-0.15298990000000001</v>
      </c>
      <c r="Y67">
        <v>-0.16552929999999999</v>
      </c>
      <c r="Z67">
        <v>-0.1760592</v>
      </c>
      <c r="AA67">
        <v>-0.18118999999999999</v>
      </c>
      <c r="AB67">
        <v>-0.19306329999999999</v>
      </c>
      <c r="AC67">
        <v>-0.19506599999999999</v>
      </c>
      <c r="AD67">
        <v>-0.1881757</v>
      </c>
      <c r="AE67">
        <v>-0.1859365</v>
      </c>
      <c r="AF67">
        <v>-0.17488770000000001</v>
      </c>
      <c r="AG67">
        <v>-0.15012449999999999</v>
      </c>
    </row>
    <row r="68" spans="1:33" x14ac:dyDescent="0.25">
      <c r="A68">
        <v>3</v>
      </c>
      <c r="B68">
        <v>0.20521590000000001</v>
      </c>
      <c r="C68">
        <v>-1.7777439999999999E-2</v>
      </c>
      <c r="D68">
        <v>-9.3681340000000002E-2</v>
      </c>
      <c r="E68">
        <v>-0.13082460000000001</v>
      </c>
      <c r="F68">
        <v>-0.1413064</v>
      </c>
      <c r="G68">
        <v>-1.099205E-2</v>
      </c>
      <c r="H68">
        <v>-0.16668369999999999</v>
      </c>
      <c r="I68">
        <v>-0.15320919999999999</v>
      </c>
      <c r="J68">
        <v>-0.1507349</v>
      </c>
      <c r="K68">
        <v>5.0930019999999999E-2</v>
      </c>
      <c r="L68">
        <v>-0.1364465</v>
      </c>
      <c r="M68">
        <v>-0.1199765</v>
      </c>
      <c r="N68">
        <v>1.0223390000000001E-2</v>
      </c>
      <c r="O68">
        <v>-9.5776559999999997E-2</v>
      </c>
      <c r="P68">
        <v>-7.8064439999999999E-2</v>
      </c>
      <c r="Q68">
        <v>-5.786848E-2</v>
      </c>
      <c r="R68">
        <v>-4.7929289999999999E-2</v>
      </c>
      <c r="S68">
        <v>-1.745176E-2</v>
      </c>
      <c r="T68">
        <v>-6.4588549999999995E-2</v>
      </c>
      <c r="U68">
        <v>-7.9702850000000006E-2</v>
      </c>
      <c r="V68">
        <v>-9.384584E-2</v>
      </c>
      <c r="W68">
        <v>-0.11976340000000001</v>
      </c>
      <c r="X68">
        <v>-0.1632786</v>
      </c>
      <c r="Y68">
        <v>-0.17887069999999999</v>
      </c>
      <c r="Z68">
        <v>-0.19226550000000001</v>
      </c>
      <c r="AA68">
        <v>-0.20039560000000001</v>
      </c>
      <c r="AB68">
        <v>-0.21679309999999999</v>
      </c>
      <c r="AC68">
        <v>-0.2260566</v>
      </c>
      <c r="AD68">
        <v>-0.22435050000000001</v>
      </c>
      <c r="AE68">
        <v>-0.2302613</v>
      </c>
      <c r="AF68">
        <v>-0.23447899999999999</v>
      </c>
      <c r="AG68">
        <v>-0.2277489</v>
      </c>
    </row>
    <row r="69" spans="1:33" x14ac:dyDescent="0.25">
      <c r="A69">
        <v>4</v>
      </c>
      <c r="B69">
        <v>0.17892649999999999</v>
      </c>
      <c r="C69">
        <v>4.4933319999999999E-2</v>
      </c>
      <c r="D69">
        <v>-3.6263940000000001E-2</v>
      </c>
      <c r="E69">
        <v>-8.4902759999999994E-2</v>
      </c>
      <c r="F69">
        <v>-0.1030741</v>
      </c>
      <c r="G69">
        <v>-8.3870890000000003E-3</v>
      </c>
      <c r="H69">
        <v>-0.13909669999999999</v>
      </c>
      <c r="I69">
        <v>-0.13023760000000001</v>
      </c>
      <c r="J69">
        <v>-0.1306882</v>
      </c>
      <c r="K69">
        <v>5.0755979999999999E-2</v>
      </c>
      <c r="L69">
        <v>-0.1228433</v>
      </c>
      <c r="M69">
        <v>-0.1090279</v>
      </c>
      <c r="N69">
        <v>1.093674E-2</v>
      </c>
      <c r="O69">
        <v>-9.0385439999999997E-2</v>
      </c>
      <c r="P69">
        <v>-7.3481080000000004E-2</v>
      </c>
      <c r="Q69">
        <v>-5.6413650000000003E-2</v>
      </c>
      <c r="R69">
        <v>-4.7929289999999999E-2</v>
      </c>
      <c r="S69">
        <v>-1.8533230000000001E-2</v>
      </c>
      <c r="T69">
        <v>-6.2039850000000001E-2</v>
      </c>
      <c r="U69">
        <v>-7.9007149999999998E-2</v>
      </c>
      <c r="V69">
        <v>-9.475422E-2</v>
      </c>
      <c r="W69">
        <v>-0.1229982</v>
      </c>
      <c r="X69">
        <v>-0.17234179999999999</v>
      </c>
      <c r="Y69">
        <v>-0.19147829999999999</v>
      </c>
      <c r="Z69">
        <v>-0.20667740000000001</v>
      </c>
      <c r="AA69">
        <v>-0.21849250000000001</v>
      </c>
      <c r="AB69">
        <v>-0.23890400000000001</v>
      </c>
      <c r="AC69">
        <v>-0.255774</v>
      </c>
      <c r="AD69">
        <v>-0.25967879999999999</v>
      </c>
      <c r="AE69">
        <v>-0.2756729</v>
      </c>
      <c r="AF69">
        <v>-0.29736849999999998</v>
      </c>
      <c r="AG69">
        <v>-0.31074000000000002</v>
      </c>
    </row>
    <row r="70" spans="1:33" x14ac:dyDescent="0.25">
      <c r="A70">
        <v>5</v>
      </c>
      <c r="B70">
        <v>0.1320472</v>
      </c>
      <c r="C70">
        <v>9.65395E-2</v>
      </c>
      <c r="D70">
        <v>1.4818670000000001E-2</v>
      </c>
      <c r="E70">
        <v>-4.2586800000000001E-2</v>
      </c>
      <c r="F70">
        <v>-6.759453E-2</v>
      </c>
      <c r="G70">
        <v>-5.089283E-3</v>
      </c>
      <c r="H70">
        <v>-0.11294269999999999</v>
      </c>
      <c r="I70">
        <v>-0.10796260000000001</v>
      </c>
      <c r="J70">
        <v>-0.1117139</v>
      </c>
      <c r="K70">
        <v>5.1974770000000003E-2</v>
      </c>
      <c r="L70">
        <v>-0.1098933</v>
      </c>
      <c r="M70">
        <v>-9.8729129999999998E-2</v>
      </c>
      <c r="N70">
        <v>1.129055E-2</v>
      </c>
      <c r="O70">
        <v>-8.3081249999999995E-2</v>
      </c>
      <c r="P70">
        <v>-6.9815160000000001E-2</v>
      </c>
      <c r="Q70">
        <v>-5.5032730000000002E-2</v>
      </c>
      <c r="R70">
        <v>-4.8659319999999999E-2</v>
      </c>
      <c r="S70">
        <v>-2.0643229999999999E-2</v>
      </c>
      <c r="T70">
        <v>-5.9309960000000002E-2</v>
      </c>
      <c r="U70">
        <v>-7.7440739999999994E-2</v>
      </c>
      <c r="V70">
        <v>-9.5304970000000003E-2</v>
      </c>
      <c r="W70">
        <v>-0.12497659999999999</v>
      </c>
      <c r="X70">
        <v>-0.18140510000000001</v>
      </c>
      <c r="Y70">
        <v>-0.20538519999999999</v>
      </c>
      <c r="Z70">
        <v>-0.22215270000000001</v>
      </c>
      <c r="AA70">
        <v>-0.23713590000000001</v>
      </c>
      <c r="AB70">
        <v>-0.26247219999999999</v>
      </c>
      <c r="AC70">
        <v>-0.28694770000000003</v>
      </c>
      <c r="AD70">
        <v>-0.29659459999999999</v>
      </c>
      <c r="AE70">
        <v>-0.32327990000000001</v>
      </c>
      <c r="AF70">
        <v>-0.3630023</v>
      </c>
      <c r="AG70">
        <v>-0.40141529999999997</v>
      </c>
    </row>
    <row r="71" spans="1:33" x14ac:dyDescent="0.25">
      <c r="A71">
        <v>6</v>
      </c>
      <c r="B71">
        <v>6.1889649999999997E-2</v>
      </c>
      <c r="C71">
        <v>0.1374726</v>
      </c>
      <c r="D71">
        <v>5.958509E-2</v>
      </c>
      <c r="E71">
        <v>-3.3898349999999999E-3</v>
      </c>
      <c r="F71">
        <v>-3.3832550000000003E-2</v>
      </c>
      <c r="G71">
        <v>-2.9940610000000001E-3</v>
      </c>
      <c r="H71">
        <v>-8.6733340000000006E-2</v>
      </c>
      <c r="I71">
        <v>-8.5873130000000006E-2</v>
      </c>
      <c r="J71">
        <v>-9.2638490000000004E-2</v>
      </c>
      <c r="K71">
        <v>5.1993850000000001E-2</v>
      </c>
      <c r="L71">
        <v>-9.6882819999999994E-2</v>
      </c>
      <c r="M71">
        <v>-8.8654040000000003E-2</v>
      </c>
      <c r="N71">
        <v>1.111269E-2</v>
      </c>
      <c r="O71">
        <v>-7.7168459999999994E-2</v>
      </c>
      <c r="P71">
        <v>-6.5965179999999998E-2</v>
      </c>
      <c r="Q71">
        <v>-5.1506999999999997E-2</v>
      </c>
      <c r="R71">
        <v>-4.8476699999999998E-2</v>
      </c>
      <c r="S71">
        <v>-2.3936269999999999E-2</v>
      </c>
      <c r="T71">
        <v>-5.6753640000000001E-2</v>
      </c>
      <c r="U71">
        <v>-7.5874810000000001E-2</v>
      </c>
      <c r="V71">
        <v>-9.5849989999999996E-2</v>
      </c>
      <c r="W71">
        <v>-0.1265936</v>
      </c>
      <c r="X71">
        <v>-0.19429540000000001</v>
      </c>
      <c r="Y71">
        <v>-0.21578549999999999</v>
      </c>
      <c r="Z71">
        <v>-0.2406993</v>
      </c>
      <c r="AA71">
        <v>-0.25744820000000002</v>
      </c>
      <c r="AB71">
        <v>-0.28585339999999998</v>
      </c>
      <c r="AC71">
        <v>-0.31846190000000002</v>
      </c>
      <c r="AD71">
        <v>-0.33474350000000003</v>
      </c>
      <c r="AE71">
        <v>-0.37195869999999998</v>
      </c>
      <c r="AF71">
        <v>-0.43230439999999998</v>
      </c>
      <c r="AG71">
        <v>-0.49728159999999999</v>
      </c>
    </row>
    <row r="72" spans="1:33" x14ac:dyDescent="0.25">
      <c r="A72">
        <v>7</v>
      </c>
      <c r="B72">
        <v>-3.0269620000000001E-2</v>
      </c>
      <c r="C72">
        <v>0.16725209999999999</v>
      </c>
      <c r="D72">
        <v>9.6936229999999998E-2</v>
      </c>
      <c r="E72">
        <v>3.1187530000000002E-2</v>
      </c>
      <c r="F72">
        <v>-2.9978750000000001E-3</v>
      </c>
      <c r="G72">
        <v>-1.6045569999999999E-3</v>
      </c>
      <c r="H72">
        <v>-6.1971659999999998E-2</v>
      </c>
      <c r="I72">
        <v>-6.5353389999999997E-2</v>
      </c>
      <c r="J72">
        <v>-7.4680330000000003E-2</v>
      </c>
      <c r="K72">
        <v>5.2342409999999999E-2</v>
      </c>
      <c r="L72">
        <v>-8.380079E-2</v>
      </c>
      <c r="M72">
        <v>-7.8225610000000001E-2</v>
      </c>
      <c r="N72">
        <v>1.236105E-2</v>
      </c>
      <c r="O72">
        <v>-7.0211410000000002E-2</v>
      </c>
      <c r="P72">
        <v>-5.8814529999999997E-2</v>
      </c>
      <c r="Q72">
        <v>-5.0415990000000001E-2</v>
      </c>
      <c r="R72">
        <v>-4.5007709999999999E-2</v>
      </c>
      <c r="S72">
        <v>-2.898216E-2</v>
      </c>
      <c r="T72">
        <v>-5.7300089999999998E-2</v>
      </c>
      <c r="U72">
        <v>-7.6396469999999994E-2</v>
      </c>
      <c r="V72">
        <v>-9.8210809999999996E-2</v>
      </c>
      <c r="W72">
        <v>-0.12893009999999999</v>
      </c>
      <c r="X72">
        <v>-0.20457890000000001</v>
      </c>
      <c r="Y72">
        <v>-0.23515269999999999</v>
      </c>
      <c r="Z72">
        <v>-0.25781199999999999</v>
      </c>
      <c r="AA72">
        <v>-0.2748041</v>
      </c>
      <c r="AB72">
        <v>-0.31611630000000002</v>
      </c>
      <c r="AC72">
        <v>-0.3528848</v>
      </c>
      <c r="AD72">
        <v>-0.37515880000000001</v>
      </c>
      <c r="AE72">
        <v>-0.42428779999999999</v>
      </c>
      <c r="AF72">
        <v>-0.5041561</v>
      </c>
      <c r="AG72">
        <v>-0.60136219999999996</v>
      </c>
    </row>
    <row r="73" spans="1:33" x14ac:dyDescent="0.25">
      <c r="A73">
        <v>8</v>
      </c>
      <c r="B73">
        <v>-0.14353750000000001</v>
      </c>
      <c r="C73">
        <v>0.1866746</v>
      </c>
      <c r="D73">
        <v>0.1286621</v>
      </c>
      <c r="E73">
        <v>6.3212870000000004E-2</v>
      </c>
      <c r="F73">
        <v>2.628088E-2</v>
      </c>
      <c r="G73">
        <v>-4.1007999999999998E-5</v>
      </c>
      <c r="H73">
        <v>-3.8337709999999997E-2</v>
      </c>
      <c r="I73">
        <v>-4.5173169999999999E-2</v>
      </c>
      <c r="J73">
        <v>-5.6139950000000001E-2</v>
      </c>
      <c r="K73">
        <v>5.2690510000000003E-2</v>
      </c>
      <c r="L73">
        <v>-7.0613380000000003E-2</v>
      </c>
      <c r="M73">
        <v>-6.7113880000000001E-2</v>
      </c>
      <c r="N73">
        <v>1.3254169999999999E-2</v>
      </c>
      <c r="O73">
        <v>-6.186295E-2</v>
      </c>
      <c r="P73">
        <v>-5.1848890000000002E-2</v>
      </c>
      <c r="Q73">
        <v>-4.3218609999999998E-2</v>
      </c>
      <c r="R73">
        <v>-3.8982389999999999E-2</v>
      </c>
      <c r="S73">
        <v>-3.2531259999999999E-2</v>
      </c>
      <c r="T73">
        <v>-5.8404449999999997E-2</v>
      </c>
      <c r="U73">
        <v>-7.7093120000000001E-2</v>
      </c>
      <c r="V73">
        <v>-0.100215</v>
      </c>
      <c r="W73">
        <v>-0.13144639999999999</v>
      </c>
      <c r="X73">
        <v>-0.21347140000000001</v>
      </c>
      <c r="Y73">
        <v>-0.24812980000000001</v>
      </c>
      <c r="Z73">
        <v>-0.27496959999999998</v>
      </c>
      <c r="AA73">
        <v>-0.29991770000000001</v>
      </c>
      <c r="AB73">
        <v>-0.34312680000000001</v>
      </c>
      <c r="AC73">
        <v>-0.37988810000000001</v>
      </c>
      <c r="AD73">
        <v>-0.42258790000000002</v>
      </c>
      <c r="AE73">
        <v>-0.48373890000000003</v>
      </c>
      <c r="AF73">
        <v>-0.57746889999999995</v>
      </c>
      <c r="AG73">
        <v>-0.7039552</v>
      </c>
    </row>
    <row r="74" spans="1:33" x14ac:dyDescent="0.25">
      <c r="A74">
        <v>9</v>
      </c>
      <c r="B74">
        <v>-0.26103880000000002</v>
      </c>
      <c r="C74">
        <v>0.19416</v>
      </c>
      <c r="D74">
        <v>0.1515927</v>
      </c>
      <c r="E74">
        <v>8.8156219999999993E-2</v>
      </c>
      <c r="F74">
        <v>4.9886229999999997E-2</v>
      </c>
      <c r="G74">
        <v>1.507282E-3</v>
      </c>
      <c r="H74">
        <v>-1.8492700000000001E-2</v>
      </c>
      <c r="I74">
        <v>-2.7983669999999999E-2</v>
      </c>
      <c r="J74">
        <v>-4.0990350000000002E-2</v>
      </c>
      <c r="K74">
        <v>5.319405E-2</v>
      </c>
      <c r="L74">
        <v>-5.9632299999999999E-2</v>
      </c>
      <c r="M74">
        <v>-5.8428760000000003E-2</v>
      </c>
      <c r="N74">
        <v>1.378822E-2</v>
      </c>
      <c r="O74">
        <v>-5.6993009999999997E-2</v>
      </c>
      <c r="P74">
        <v>-4.8916340000000003E-2</v>
      </c>
      <c r="Q74">
        <v>-4.1044240000000003E-2</v>
      </c>
      <c r="R74">
        <v>-3.6973480000000003E-2</v>
      </c>
      <c r="S74">
        <v>-3.3432480000000001E-2</v>
      </c>
      <c r="T74">
        <v>-5.5303570000000003E-2</v>
      </c>
      <c r="U74">
        <v>-7.3962689999999998E-2</v>
      </c>
      <c r="V74">
        <v>-9.8937029999999995E-2</v>
      </c>
      <c r="W74">
        <v>-0.1310868</v>
      </c>
      <c r="X74">
        <v>-0.21974469999999999</v>
      </c>
      <c r="Y74">
        <v>-0.2578163</v>
      </c>
      <c r="Z74">
        <v>-0.2873869</v>
      </c>
      <c r="AA74">
        <v>-0.31672240000000002</v>
      </c>
      <c r="AB74">
        <v>-0.36449340000000002</v>
      </c>
      <c r="AC74">
        <v>-0.41952800000000001</v>
      </c>
      <c r="AD74">
        <v>-0.44313760000000002</v>
      </c>
      <c r="AE74">
        <v>-0.55592200000000003</v>
      </c>
      <c r="AF74">
        <v>-0.64948130000000004</v>
      </c>
      <c r="AG74">
        <v>-0.80336620000000003</v>
      </c>
    </row>
    <row r="75" spans="1:33" x14ac:dyDescent="0.25">
      <c r="A75">
        <v>10</v>
      </c>
      <c r="B75">
        <v>-0.38223980000000002</v>
      </c>
      <c r="C75">
        <v>0.19380810000000001</v>
      </c>
      <c r="D75">
        <v>0.1671</v>
      </c>
      <c r="E75">
        <v>0.1084595</v>
      </c>
      <c r="F75">
        <v>6.9009780000000007E-2</v>
      </c>
      <c r="G75">
        <v>2.72274E-3</v>
      </c>
      <c r="H75">
        <v>-9.8085399999999997E-4</v>
      </c>
      <c r="I75">
        <v>-1.2899880000000001E-2</v>
      </c>
      <c r="J75">
        <v>-2.7739050000000001E-2</v>
      </c>
      <c r="K75">
        <v>5.319405E-2</v>
      </c>
      <c r="L75">
        <v>-5.0038340000000001E-2</v>
      </c>
      <c r="M75">
        <v>-5.1128859999999998E-2</v>
      </c>
      <c r="N75">
        <v>1.485825E-2</v>
      </c>
      <c r="O75">
        <v>-5.3340440000000003E-2</v>
      </c>
      <c r="P75">
        <v>-4.6899799999999998E-2</v>
      </c>
      <c r="Q75">
        <v>-4.1408540000000001E-2</v>
      </c>
      <c r="R75">
        <v>-4.0259839999999998E-2</v>
      </c>
      <c r="S75">
        <v>-3.6136149999999999E-2</v>
      </c>
      <c r="T75">
        <v>-5.3300859999999999E-2</v>
      </c>
      <c r="U75">
        <v>-7.0657730000000002E-2</v>
      </c>
      <c r="V75">
        <v>-9.6031190000000002E-2</v>
      </c>
      <c r="W75">
        <v>-0.12875030000000001</v>
      </c>
      <c r="X75">
        <v>-0.22305630000000001</v>
      </c>
      <c r="Y75">
        <v>-0.26548959999999999</v>
      </c>
      <c r="Z75">
        <v>-0.29675289999999999</v>
      </c>
      <c r="AA75">
        <v>-0.328907</v>
      </c>
      <c r="AB75">
        <v>-0.38170670000000001</v>
      </c>
      <c r="AC75">
        <v>-0.44506790000000002</v>
      </c>
      <c r="AD75">
        <v>-0.48038429999999999</v>
      </c>
      <c r="AE75">
        <v>-0.51417729999999995</v>
      </c>
      <c r="AF75">
        <v>-0.73211910000000002</v>
      </c>
      <c r="AG75">
        <v>-0.88948249999999995</v>
      </c>
    </row>
    <row r="76" spans="1:33" x14ac:dyDescent="0.25">
      <c r="A76">
        <v>11</v>
      </c>
      <c r="B76">
        <v>-0.51777890000000004</v>
      </c>
      <c r="C76">
        <v>0.18788389999999999</v>
      </c>
      <c r="D76">
        <v>0.17723179999999999</v>
      </c>
      <c r="E76">
        <v>0.12565989999999999</v>
      </c>
      <c r="F76">
        <v>8.692598E-2</v>
      </c>
      <c r="G76">
        <v>3.7784580000000002E-3</v>
      </c>
      <c r="H76">
        <v>1.515388E-2</v>
      </c>
      <c r="I76">
        <v>1.12772E-3</v>
      </c>
      <c r="J76">
        <v>-1.5027520000000001E-2</v>
      </c>
      <c r="K76">
        <v>5.3019520000000001E-2</v>
      </c>
      <c r="L76">
        <v>-4.0744299999999997E-2</v>
      </c>
      <c r="M76">
        <v>-4.4703479999999997E-2</v>
      </c>
      <c r="N76">
        <v>1.5214439999999999E-2</v>
      </c>
      <c r="O76">
        <v>-5.0209520000000001E-2</v>
      </c>
      <c r="P76">
        <v>-4.5799729999999997E-2</v>
      </c>
      <c r="Q76">
        <v>-4.3225769999999997E-2</v>
      </c>
      <c r="R76">
        <v>-4.464245E-2</v>
      </c>
      <c r="S76">
        <v>-4.0460589999999998E-2</v>
      </c>
      <c r="T76">
        <v>-5.3670879999999997E-2</v>
      </c>
      <c r="U76">
        <v>-6.9439890000000004E-2</v>
      </c>
      <c r="V76">
        <v>-9.4760419999999998E-2</v>
      </c>
      <c r="W76">
        <v>-0.12713379999999999</v>
      </c>
      <c r="X76">
        <v>-0.22828480000000001</v>
      </c>
      <c r="Y76">
        <v>-0.27353100000000002</v>
      </c>
      <c r="Z76">
        <v>-0.30682799999999999</v>
      </c>
      <c r="AA76">
        <v>-0.34258650000000002</v>
      </c>
      <c r="AB76">
        <v>-0.39983269999999999</v>
      </c>
      <c r="AC76">
        <v>-0.47172639999999999</v>
      </c>
      <c r="AD76">
        <v>-0.51464750000000004</v>
      </c>
      <c r="AE76">
        <v>-0.57084990000000002</v>
      </c>
      <c r="AF76">
        <v>-0.81731750000000003</v>
      </c>
      <c r="AG76">
        <v>-0.97646619999999995</v>
      </c>
    </row>
    <row r="77" spans="1:33" x14ac:dyDescent="0.25">
      <c r="A77">
        <v>12</v>
      </c>
      <c r="B77">
        <v>-0.67457820000000002</v>
      </c>
      <c r="C77">
        <v>0.17979239999999999</v>
      </c>
      <c r="D77">
        <v>0.18646960000000001</v>
      </c>
      <c r="E77">
        <v>0.14253850000000001</v>
      </c>
      <c r="F77">
        <v>0.10484980000000001</v>
      </c>
      <c r="G77">
        <v>5.5146220000000003E-3</v>
      </c>
      <c r="H77">
        <v>3.1188960000000002E-2</v>
      </c>
      <c r="I77">
        <v>1.481009E-2</v>
      </c>
      <c r="J77">
        <v>-2.7527810000000002E-3</v>
      </c>
      <c r="K77">
        <v>5.3909779999999997E-2</v>
      </c>
      <c r="L77">
        <v>-3.2031539999999997E-2</v>
      </c>
      <c r="M77">
        <v>-3.8050649999999998E-2</v>
      </c>
      <c r="N77">
        <v>1.557302E-2</v>
      </c>
      <c r="O77">
        <v>-4.7253129999999997E-2</v>
      </c>
      <c r="P77">
        <v>-4.4700620000000003E-2</v>
      </c>
      <c r="Q77">
        <v>-4.4063089999999999E-2</v>
      </c>
      <c r="R77">
        <v>-4.9207210000000001E-2</v>
      </c>
      <c r="S77">
        <v>-4.676056E-2</v>
      </c>
      <c r="T77">
        <v>-5.5127620000000002E-2</v>
      </c>
      <c r="U77">
        <v>-6.8221089999999998E-2</v>
      </c>
      <c r="V77">
        <v>-9.2943670000000006E-2</v>
      </c>
      <c r="W77">
        <v>-0.1256948</v>
      </c>
      <c r="X77">
        <v>-0.23403599999999999</v>
      </c>
      <c r="Y77">
        <v>-0.2833986</v>
      </c>
      <c r="Z77">
        <v>-0.32014799999999999</v>
      </c>
      <c r="AA77">
        <v>-0.35937599999999997</v>
      </c>
      <c r="AB77">
        <v>-0.42191980000000001</v>
      </c>
      <c r="AC77">
        <v>-0.50307179999999996</v>
      </c>
      <c r="AD77">
        <v>-0.55452920000000006</v>
      </c>
      <c r="AE77">
        <v>-0.62721780000000005</v>
      </c>
      <c r="AF77">
        <v>-0.93072699999999997</v>
      </c>
      <c r="AG77">
        <v>-1.0743769999999999</v>
      </c>
    </row>
    <row r="78" spans="1:33" x14ac:dyDescent="0.25">
      <c r="A78">
        <v>13</v>
      </c>
      <c r="B78">
        <v>-0.82441620000000004</v>
      </c>
      <c r="C78">
        <v>0.16269919999999999</v>
      </c>
      <c r="D78">
        <v>0.1885848</v>
      </c>
      <c r="E78">
        <v>0.15372420000000001</v>
      </c>
      <c r="F78">
        <v>0.11777260000000001</v>
      </c>
      <c r="G78">
        <v>5.8622359999999998E-3</v>
      </c>
      <c r="H78">
        <v>4.4280050000000001E-2</v>
      </c>
      <c r="I78">
        <v>2.691317E-2</v>
      </c>
      <c r="J78">
        <v>8.4071159999999992E-3</v>
      </c>
      <c r="K78">
        <v>5.4084300000000002E-2</v>
      </c>
      <c r="L78">
        <v>-2.4181370000000001E-2</v>
      </c>
      <c r="M78">
        <v>-3.231382E-2</v>
      </c>
      <c r="N78">
        <v>1.6820430000000001E-2</v>
      </c>
      <c r="O78">
        <v>-4.4470790000000003E-2</v>
      </c>
      <c r="P78">
        <v>-4.3416980000000001E-2</v>
      </c>
      <c r="Q78">
        <v>-4.6608919999999998E-2</v>
      </c>
      <c r="R78">
        <v>-5.4685119999999997E-2</v>
      </c>
      <c r="S78">
        <v>-5.4689880000000003E-2</v>
      </c>
      <c r="T78">
        <v>-5.986118E-2</v>
      </c>
      <c r="U78">
        <v>-6.9786550000000003E-2</v>
      </c>
      <c r="V78">
        <v>-9.0946200000000005E-2</v>
      </c>
      <c r="W78">
        <v>-0.1221008</v>
      </c>
      <c r="X78">
        <v>-0.23595289999999999</v>
      </c>
      <c r="Y78">
        <v>-0.28869679999999998</v>
      </c>
      <c r="Z78">
        <v>-0.32735199999999998</v>
      </c>
      <c r="AA78">
        <v>-0.36971470000000001</v>
      </c>
      <c r="AB78">
        <v>-0.43786330000000001</v>
      </c>
      <c r="AC78">
        <v>-0.52625560000000005</v>
      </c>
      <c r="AD78">
        <v>-0.58456609999999998</v>
      </c>
      <c r="AE78">
        <v>-0.67005009999999998</v>
      </c>
      <c r="AF78">
        <v>-1.049231</v>
      </c>
      <c r="AG78">
        <v>-1.1395150000000001</v>
      </c>
    </row>
    <row r="79" spans="1:33" x14ac:dyDescent="0.25">
      <c r="A79">
        <v>14</v>
      </c>
      <c r="B79">
        <v>-0.9632096</v>
      </c>
      <c r="C79">
        <v>0.1419907</v>
      </c>
      <c r="D79">
        <v>0.18611620000000001</v>
      </c>
      <c r="E79">
        <v>0.16180900000000001</v>
      </c>
      <c r="F79">
        <v>0.12879940000000001</v>
      </c>
      <c r="G79">
        <v>7.0776939999999998E-3</v>
      </c>
      <c r="H79">
        <v>5.6353569999999999E-2</v>
      </c>
      <c r="I79">
        <v>3.7614349999999998E-2</v>
      </c>
      <c r="J79">
        <v>1.8512730000000002E-2</v>
      </c>
      <c r="K79">
        <v>5.319405E-2</v>
      </c>
      <c r="L79">
        <v>-1.6917709999999999E-2</v>
      </c>
      <c r="M79">
        <v>-2.6581759999999999E-2</v>
      </c>
      <c r="N79">
        <v>1.6999719999999999E-2</v>
      </c>
      <c r="O79">
        <v>-4.1339870000000001E-2</v>
      </c>
      <c r="P79">
        <v>-4.3233389999999997E-2</v>
      </c>
      <c r="Q79">
        <v>-4.8425200000000002E-2</v>
      </c>
      <c r="R79">
        <v>-6.015682E-2</v>
      </c>
      <c r="S79">
        <v>-6.3387390000000002E-2</v>
      </c>
      <c r="T79">
        <v>-6.6603659999999995E-2</v>
      </c>
      <c r="U79">
        <v>-7.3092939999999995E-2</v>
      </c>
      <c r="V79">
        <v>-8.7864880000000006E-2</v>
      </c>
      <c r="W79">
        <v>-0.11473179999999999</v>
      </c>
      <c r="X79">
        <v>-0.23106860000000001</v>
      </c>
      <c r="Y79">
        <v>-0.28648659999999998</v>
      </c>
      <c r="Z79">
        <v>-0.32783600000000002</v>
      </c>
      <c r="AA79">
        <v>-0.37210080000000001</v>
      </c>
      <c r="AB79">
        <v>-0.44350669999999998</v>
      </c>
      <c r="AC79">
        <v>-0.53909589999999996</v>
      </c>
      <c r="AD79">
        <v>-0.60369680000000003</v>
      </c>
      <c r="AE79">
        <v>-0.70429850000000005</v>
      </c>
      <c r="AF79">
        <v>-1.1426320000000001</v>
      </c>
      <c r="AG79">
        <v>-1.1987300000000001</v>
      </c>
    </row>
    <row r="80" spans="1:33" x14ac:dyDescent="0.25">
      <c r="A80">
        <v>15</v>
      </c>
      <c r="B80">
        <v>-1.1236109999999999</v>
      </c>
      <c r="C80">
        <v>0.12278509999999999</v>
      </c>
      <c r="D80">
        <v>0.1873493</v>
      </c>
      <c r="E80">
        <v>0.17144580000000001</v>
      </c>
      <c r="F80">
        <v>0.13982729999999999</v>
      </c>
      <c r="G80">
        <v>7.9460139999999995E-3</v>
      </c>
      <c r="H80">
        <v>6.749964E-2</v>
      </c>
      <c r="I80">
        <v>4.7438139999999997E-2</v>
      </c>
      <c r="J80">
        <v>2.6359560000000001E-2</v>
      </c>
      <c r="K80">
        <v>5.3716659999999999E-2</v>
      </c>
      <c r="L80">
        <v>-1.185894E-2</v>
      </c>
      <c r="M80">
        <v>-2.345324E-2</v>
      </c>
      <c r="N80">
        <v>1.7534259999999999E-2</v>
      </c>
      <c r="O80">
        <v>-4.2383190000000001E-2</v>
      </c>
      <c r="P80">
        <v>-4.7084330000000001E-2</v>
      </c>
      <c r="Q80">
        <v>-5.6427480000000002E-2</v>
      </c>
      <c r="R80">
        <v>-7.2023870000000004E-2</v>
      </c>
      <c r="S80">
        <v>-8.1225870000000006E-2</v>
      </c>
      <c r="T80">
        <v>-8.2989690000000005E-2</v>
      </c>
      <c r="U80">
        <v>-8.6833949999999993E-2</v>
      </c>
      <c r="V80">
        <v>-9.4584470000000004E-2</v>
      </c>
      <c r="W80">
        <v>-0.1116767</v>
      </c>
      <c r="X80">
        <v>-0.2277575</v>
      </c>
      <c r="Y80">
        <v>-0.28904439999999998</v>
      </c>
      <c r="Z80">
        <v>-0.3330593</v>
      </c>
      <c r="AA80">
        <v>-0.38243870000000002</v>
      </c>
      <c r="AB80">
        <v>-0.45872499999999999</v>
      </c>
      <c r="AC80">
        <v>-0.56336450000000005</v>
      </c>
      <c r="AD80">
        <v>-0.63636680000000001</v>
      </c>
      <c r="AE80">
        <v>-0.75787780000000005</v>
      </c>
      <c r="AF80">
        <v>-1.2585409999999999</v>
      </c>
      <c r="AG80">
        <v>-1.3112619999999999</v>
      </c>
    </row>
    <row r="81" spans="1:33" x14ac:dyDescent="0.25">
      <c r="A81">
        <v>16</v>
      </c>
      <c r="B81">
        <v>-1.0674459999999999</v>
      </c>
      <c r="C81">
        <v>0.12070889999999999</v>
      </c>
      <c r="D81">
        <v>0.18356749999999999</v>
      </c>
      <c r="E81">
        <v>0.1676569</v>
      </c>
      <c r="F81">
        <v>0.13724140000000001</v>
      </c>
      <c r="G81">
        <v>8.2917210000000002E-3</v>
      </c>
      <c r="H81">
        <v>6.5897940000000002E-2</v>
      </c>
      <c r="I81">
        <v>4.6035769999999997E-2</v>
      </c>
      <c r="J81">
        <v>2.477789E-2</v>
      </c>
      <c r="K81">
        <v>5.4084300000000002E-2</v>
      </c>
      <c r="L81">
        <v>-1.5527249999999999E-2</v>
      </c>
      <c r="M81">
        <v>-2.820539E-2</v>
      </c>
      <c r="N81">
        <v>1.788998E-2</v>
      </c>
      <c r="O81">
        <v>-5.2819249999999998E-2</v>
      </c>
      <c r="P81">
        <v>-6.1934950000000003E-2</v>
      </c>
      <c r="Q81">
        <v>-7.9513550000000002E-2</v>
      </c>
      <c r="R81">
        <v>-0.1072598</v>
      </c>
      <c r="S81">
        <v>-0.12279080000000001</v>
      </c>
      <c r="T81">
        <v>-0.14160539999999999</v>
      </c>
      <c r="U81">
        <v>-0.15292310000000001</v>
      </c>
      <c r="V81">
        <v>-0.16521739999999999</v>
      </c>
      <c r="W81">
        <v>-0.1801548</v>
      </c>
      <c r="X81">
        <v>-0.18732789999999999</v>
      </c>
      <c r="Y81">
        <v>-0.2022591</v>
      </c>
      <c r="Z81">
        <v>-0.23187830000000001</v>
      </c>
      <c r="AA81">
        <v>-0.2796187</v>
      </c>
      <c r="AB81">
        <v>-0.3590565</v>
      </c>
      <c r="AC81">
        <v>-0.46484330000000001</v>
      </c>
      <c r="AD81">
        <v>-0.53854849999999999</v>
      </c>
      <c r="AE81">
        <v>-0.64998049999999996</v>
      </c>
      <c r="AF81">
        <v>-1.118957</v>
      </c>
      <c r="AG81">
        <v>-1.151864</v>
      </c>
    </row>
    <row r="82" spans="1:33" x14ac:dyDescent="0.25">
      <c r="A82">
        <v>17</v>
      </c>
      <c r="B82">
        <v>-0.19234850000000001</v>
      </c>
      <c r="C82">
        <v>0.1862607</v>
      </c>
      <c r="D82">
        <v>0.17070630000000001</v>
      </c>
      <c r="E82">
        <v>0.12618589999999999</v>
      </c>
      <c r="F82">
        <v>9.3303200000000003E-2</v>
      </c>
      <c r="G82">
        <v>4.4589039999999996E-3</v>
      </c>
      <c r="H82">
        <v>2.6093479999999999E-2</v>
      </c>
      <c r="I82">
        <v>1.077271E-2</v>
      </c>
      <c r="J82">
        <v>-8.0027580000000004E-3</v>
      </c>
      <c r="K82">
        <v>5.3542609999999997E-2</v>
      </c>
      <c r="L82">
        <v>-4.4831280000000001E-2</v>
      </c>
      <c r="M82">
        <v>-5.7000639999999998E-2</v>
      </c>
      <c r="N82">
        <v>1.8424510000000002E-2</v>
      </c>
      <c r="O82">
        <v>-8.5864070000000001E-2</v>
      </c>
      <c r="P82">
        <v>-9.9335670000000001E-2</v>
      </c>
      <c r="Q82">
        <v>-0.12211610000000001</v>
      </c>
      <c r="R82">
        <v>-0.15364030000000001</v>
      </c>
      <c r="S82">
        <v>-0.1992526</v>
      </c>
      <c r="T82">
        <v>-0.21257970000000001</v>
      </c>
      <c r="U82">
        <v>-0.22439339999999999</v>
      </c>
      <c r="V82">
        <v>-0.22931860000000001</v>
      </c>
      <c r="W82">
        <v>-0.23172280000000001</v>
      </c>
      <c r="X82">
        <v>-0.2124267</v>
      </c>
      <c r="Y82">
        <v>-0.20483779999999999</v>
      </c>
      <c r="Z82">
        <v>-0.20268820000000001</v>
      </c>
      <c r="AA82">
        <v>-0.19911000000000001</v>
      </c>
      <c r="AB82">
        <v>-0.1972265</v>
      </c>
      <c r="AC82">
        <v>-0.1974158</v>
      </c>
      <c r="AD82">
        <v>-0.1920347</v>
      </c>
      <c r="AE82">
        <v>-0.19744059999999999</v>
      </c>
      <c r="AF82">
        <v>-0.19487950000000001</v>
      </c>
      <c r="AG82">
        <v>-0.19315199999999999</v>
      </c>
    </row>
    <row r="83" spans="1:33" x14ac:dyDescent="0.25">
      <c r="A83">
        <v>18</v>
      </c>
      <c r="B83">
        <v>-0.1898637</v>
      </c>
      <c r="C83">
        <v>0.1913705</v>
      </c>
      <c r="D83">
        <v>0.17370179999999999</v>
      </c>
      <c r="E83">
        <v>0.12721869999999999</v>
      </c>
      <c r="F83">
        <v>9.2613699999999993E-2</v>
      </c>
      <c r="G83">
        <v>3.9381980000000004E-3</v>
      </c>
      <c r="H83">
        <v>2.2555349999999998E-2</v>
      </c>
      <c r="I83">
        <v>6.9131849999999996E-3</v>
      </c>
      <c r="J83">
        <v>-1.323366E-2</v>
      </c>
      <c r="K83">
        <v>5.2670960000000003E-2</v>
      </c>
      <c r="L83">
        <v>-5.1983359999999999E-2</v>
      </c>
      <c r="M83">
        <v>-6.4822199999999996E-2</v>
      </c>
      <c r="N83">
        <v>1.8959520000000001E-2</v>
      </c>
      <c r="O83">
        <v>-9.5255370000000006E-2</v>
      </c>
      <c r="P83">
        <v>-0.108686</v>
      </c>
      <c r="Q83">
        <v>-0.1326628</v>
      </c>
      <c r="R83">
        <v>-0.1647758</v>
      </c>
      <c r="S83">
        <v>-0.21096229999999999</v>
      </c>
      <c r="T83">
        <v>-0.2264118</v>
      </c>
      <c r="U83">
        <v>-0.2381296</v>
      </c>
      <c r="V83">
        <v>-0.2443881</v>
      </c>
      <c r="W83">
        <v>-0.24753520000000001</v>
      </c>
      <c r="X83">
        <v>-0.22584580000000001</v>
      </c>
      <c r="Y83">
        <v>-0.21653220000000001</v>
      </c>
      <c r="Z83">
        <v>-0.2131371</v>
      </c>
      <c r="AA83">
        <v>-0.20945169999999999</v>
      </c>
      <c r="AB83">
        <v>-0.20828289999999999</v>
      </c>
      <c r="AC83">
        <v>-0.20774509999999999</v>
      </c>
      <c r="AD83">
        <v>-0.20346020000000001</v>
      </c>
      <c r="AE83">
        <v>-0.2087493</v>
      </c>
      <c r="AF83">
        <v>-0.2060661</v>
      </c>
      <c r="AG83">
        <v>-0.20390800000000001</v>
      </c>
    </row>
    <row r="84" spans="1:33" x14ac:dyDescent="0.25">
      <c r="A84" s="17" t="s">
        <v>314</v>
      </c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</row>
    <row r="86" spans="1:33" x14ac:dyDescent="0.25">
      <c r="B86">
        <v>9116</v>
      </c>
      <c r="C86">
        <v>6742</v>
      </c>
      <c r="D86">
        <v>1</v>
      </c>
      <c r="F86" t="s">
        <v>13</v>
      </c>
      <c r="G86" t="s">
        <v>14</v>
      </c>
      <c r="H86" t="s">
        <v>15</v>
      </c>
      <c r="I86" t="s">
        <v>16</v>
      </c>
      <c r="J86" t="s">
        <v>17</v>
      </c>
      <c r="K86" t="s">
        <v>18</v>
      </c>
      <c r="L86" t="s">
        <v>19</v>
      </c>
      <c r="M86" t="s">
        <v>20</v>
      </c>
      <c r="N86" t="s">
        <v>21</v>
      </c>
      <c r="O86" t="s">
        <v>22</v>
      </c>
      <c r="P86" t="s">
        <v>23</v>
      </c>
      <c r="Q86" t="s">
        <v>24</v>
      </c>
      <c r="R86" t="s">
        <v>25</v>
      </c>
      <c r="S86" t="s">
        <v>26</v>
      </c>
      <c r="T86" t="s">
        <v>27</v>
      </c>
      <c r="U86" t="s">
        <v>28</v>
      </c>
      <c r="V86" t="s">
        <v>29</v>
      </c>
      <c r="X86" s="9" t="s">
        <v>312</v>
      </c>
    </row>
    <row r="88" spans="1:33" x14ac:dyDescent="0.25">
      <c r="B88">
        <v>9116</v>
      </c>
      <c r="C88">
        <v>6744</v>
      </c>
      <c r="D88">
        <v>1</v>
      </c>
      <c r="F88" t="s">
        <v>13</v>
      </c>
      <c r="G88" t="s">
        <v>14</v>
      </c>
      <c r="H88" t="s">
        <v>15</v>
      </c>
      <c r="I88" t="s">
        <v>16</v>
      </c>
      <c r="J88" t="s">
        <v>17</v>
      </c>
      <c r="K88" t="s">
        <v>18</v>
      </c>
      <c r="L88" t="s">
        <v>19</v>
      </c>
      <c r="M88" t="s">
        <v>20</v>
      </c>
      <c r="N88" t="s">
        <v>21</v>
      </c>
      <c r="O88" t="s">
        <v>22</v>
      </c>
      <c r="P88" t="s">
        <v>23</v>
      </c>
      <c r="Q88" t="s">
        <v>24</v>
      </c>
      <c r="R88" t="s">
        <v>25</v>
      </c>
      <c r="S88" t="s">
        <v>26</v>
      </c>
      <c r="T88" t="s">
        <v>27</v>
      </c>
      <c r="U88" t="s">
        <v>28</v>
      </c>
      <c r="V88" t="s">
        <v>29</v>
      </c>
      <c r="X88" s="10" t="s">
        <v>313</v>
      </c>
    </row>
    <row r="89" spans="1:33" x14ac:dyDescent="0.25">
      <c r="A89" t="s">
        <v>30</v>
      </c>
      <c r="B89" t="s">
        <v>31</v>
      </c>
      <c r="C89" t="s">
        <v>32</v>
      </c>
      <c r="D89" t="s">
        <v>33</v>
      </c>
      <c r="E89" t="s">
        <v>34</v>
      </c>
      <c r="F89" t="s">
        <v>35</v>
      </c>
    </row>
    <row r="90" spans="1:33" x14ac:dyDescent="0.25">
      <c r="A90" t="s">
        <v>36</v>
      </c>
    </row>
    <row r="91" spans="1:33" x14ac:dyDescent="0.25">
      <c r="A91" t="s">
        <v>36</v>
      </c>
    </row>
    <row r="92" spans="1:33" x14ac:dyDescent="0.25">
      <c r="A92" t="s">
        <v>43</v>
      </c>
    </row>
    <row r="93" spans="1:33" x14ac:dyDescent="0.25">
      <c r="A93" t="s">
        <v>98</v>
      </c>
    </row>
    <row r="94" spans="1:33" x14ac:dyDescent="0.25">
      <c r="A94">
        <v>11.244999999999999</v>
      </c>
      <c r="B94">
        <v>9116</v>
      </c>
      <c r="C94">
        <v>6742</v>
      </c>
      <c r="D94">
        <v>1</v>
      </c>
      <c r="E94">
        <v>1</v>
      </c>
      <c r="F94" t="s">
        <v>13</v>
      </c>
      <c r="G94" s="3">
        <v>-6.1464310000000004E-4</v>
      </c>
      <c r="H94" s="3">
        <v>-6.4849850000000002E-4</v>
      </c>
      <c r="I94" s="3">
        <v>-4.6157840000000001E-4</v>
      </c>
      <c r="J94" s="3">
        <v>3.9632319999999999E-2</v>
      </c>
      <c r="K94" s="3">
        <v>-2.5653839999999998E-4</v>
      </c>
      <c r="L94" s="3">
        <v>-6.1178209999999998E-4</v>
      </c>
      <c r="M94" s="3">
        <v>-1.2450219999999999E-3</v>
      </c>
      <c r="N94" s="3">
        <v>-1.192093E-4</v>
      </c>
      <c r="O94" s="3">
        <v>4.3630600000000002E-4</v>
      </c>
      <c r="P94" s="3">
        <v>4.3742179999999999E-2</v>
      </c>
      <c r="Q94" s="3">
        <v>7.2145460000000005E-4</v>
      </c>
      <c r="R94" s="3">
        <v>9.8705290000000004E-5</v>
      </c>
      <c r="S94" s="3">
        <v>1.8774030000000001E-2</v>
      </c>
      <c r="T94" s="3">
        <v>-3.0565259999999999E-4</v>
      </c>
      <c r="U94" s="3">
        <v>2.3031230000000001E-4</v>
      </c>
      <c r="V94" s="3">
        <v>-1.416206E-4</v>
      </c>
    </row>
    <row r="95" spans="1:33" x14ac:dyDescent="0.25">
      <c r="A95">
        <v>11.268000000000001</v>
      </c>
      <c r="B95">
        <v>9116</v>
      </c>
      <c r="C95">
        <v>6744</v>
      </c>
      <c r="D95">
        <v>1</v>
      </c>
      <c r="E95">
        <v>1</v>
      </c>
      <c r="F95" t="s">
        <v>13</v>
      </c>
      <c r="G95" s="3">
        <v>-6.5183639999999996E-4</v>
      </c>
      <c r="H95" s="3">
        <v>-1.280308E-3</v>
      </c>
      <c r="I95" s="3">
        <v>-8.8691710000000004E-5</v>
      </c>
      <c r="J95" s="3">
        <v>3.4039020000000003E-2</v>
      </c>
      <c r="K95" s="3">
        <v>-3.2901760000000001E-5</v>
      </c>
      <c r="L95" s="3">
        <v>-5.0067899999999997E-4</v>
      </c>
      <c r="M95" s="3">
        <v>-1.240253E-3</v>
      </c>
      <c r="N95" s="3">
        <v>9.9182129999999996E-5</v>
      </c>
      <c r="O95" s="3">
        <v>-9.5558169999999997E-4</v>
      </c>
      <c r="P95" s="3">
        <v>3.7574769999999997E-4</v>
      </c>
      <c r="Q95" s="3">
        <v>2.7942659999999998E-4</v>
      </c>
      <c r="R95" s="3">
        <v>-3.8957599999999998E-4</v>
      </c>
      <c r="S95" s="3">
        <v>-1.029968E-3</v>
      </c>
      <c r="T95" s="3">
        <v>3.9672850000000001E-4</v>
      </c>
      <c r="U95" s="3">
        <v>1.037121E-3</v>
      </c>
      <c r="V95" s="3">
        <v>2.0885470000000001E-4</v>
      </c>
    </row>
    <row r="96" spans="1:33" x14ac:dyDescent="0.25">
      <c r="A96" t="s">
        <v>242</v>
      </c>
    </row>
    <row r="97" spans="1:38" x14ac:dyDescent="0.25">
      <c r="A97">
        <v>11739.01</v>
      </c>
      <c r="B97">
        <v>9116</v>
      </c>
      <c r="C97">
        <v>6742</v>
      </c>
      <c r="D97">
        <v>1</v>
      </c>
      <c r="E97">
        <v>1</v>
      </c>
      <c r="F97" t="s">
        <v>13</v>
      </c>
      <c r="G97" s="3">
        <v>-9.7381110000000007E-2</v>
      </c>
      <c r="H97">
        <v>-0.66208409999999995</v>
      </c>
      <c r="I97">
        <v>-0.57179210000000003</v>
      </c>
      <c r="J97">
        <v>-0.46573969999999998</v>
      </c>
      <c r="K97">
        <v>-0.4059334</v>
      </c>
      <c r="L97" s="3">
        <v>-3.5473350000000001E-2</v>
      </c>
      <c r="M97">
        <v>-0.33714719999999998</v>
      </c>
      <c r="N97">
        <v>-0.28523779999999999</v>
      </c>
      <c r="O97">
        <v>-0.26356740000000001</v>
      </c>
      <c r="P97" s="3">
        <v>4.7463890000000002E-2</v>
      </c>
      <c r="Q97">
        <v>-0.2071848</v>
      </c>
      <c r="R97">
        <v>-0.1723981</v>
      </c>
      <c r="S97" s="3">
        <v>4.8770899999999997E-3</v>
      </c>
      <c r="T97">
        <v>-0.12342740000000001</v>
      </c>
      <c r="U97">
        <v>-9.4748499999999999E-2</v>
      </c>
      <c r="V97" s="3">
        <v>-6.7215440000000001E-2</v>
      </c>
    </row>
    <row r="98" spans="1:38" x14ac:dyDescent="0.25">
      <c r="A98">
        <v>11739.03</v>
      </c>
      <c r="B98">
        <v>9116</v>
      </c>
      <c r="C98">
        <v>6744</v>
      </c>
      <c r="D98">
        <v>1</v>
      </c>
      <c r="E98">
        <v>1</v>
      </c>
      <c r="F98" t="s">
        <v>13</v>
      </c>
      <c r="G98">
        <v>-5.6692600000000003E-2</v>
      </c>
      <c r="H98" s="3">
        <v>-4.5741560000000001E-2</v>
      </c>
      <c r="I98">
        <v>-4.9483300000000001E-2</v>
      </c>
      <c r="J98" s="3">
        <v>-5.7263370000000001E-2</v>
      </c>
      <c r="K98" s="3">
        <v>-6.1161989999999999E-2</v>
      </c>
      <c r="L98" s="3">
        <v>-7.1237560000000005E-2</v>
      </c>
      <c r="M98" s="3">
        <v>-7.7335829999999994E-2</v>
      </c>
      <c r="N98" s="3">
        <v>-7.032919E-2</v>
      </c>
      <c r="O98">
        <v>-6.7307000000000006E-2</v>
      </c>
      <c r="P98" s="3">
        <v>-5.6524749999999999E-2</v>
      </c>
      <c r="Q98" s="3">
        <v>-4.4765470000000002E-2</v>
      </c>
      <c r="R98" s="3">
        <v>-1.6530510000000002E-2</v>
      </c>
      <c r="S98" s="3">
        <v>8.9278220000000002E-3</v>
      </c>
      <c r="T98" s="3">
        <v>4.4658660000000003E-2</v>
      </c>
      <c r="U98">
        <v>0.10062599999999999</v>
      </c>
      <c r="V98">
        <v>0.15638260000000001</v>
      </c>
      <c r="W98" s="3"/>
      <c r="AB98" s="3"/>
      <c r="AF98" s="3"/>
      <c r="AI98" s="3"/>
      <c r="AL98" s="3"/>
    </row>
    <row r="99" spans="1:38" x14ac:dyDescent="0.25">
      <c r="A99" t="s">
        <v>243</v>
      </c>
    </row>
    <row r="100" spans="1:38" x14ac:dyDescent="0.25">
      <c r="A100">
        <v>11748.54</v>
      </c>
      <c r="B100">
        <v>9116</v>
      </c>
      <c r="C100">
        <v>6742</v>
      </c>
      <c r="D100">
        <v>1</v>
      </c>
      <c r="E100">
        <v>1</v>
      </c>
      <c r="F100" t="s">
        <v>13</v>
      </c>
      <c r="G100" s="3">
        <v>1.3341900000000001E-3</v>
      </c>
      <c r="H100">
        <v>-0.54388139999999996</v>
      </c>
      <c r="I100">
        <v>-0.49067640000000001</v>
      </c>
      <c r="J100">
        <v>-0.4136629</v>
      </c>
      <c r="K100">
        <v>-0.36238769999999998</v>
      </c>
      <c r="L100" s="3">
        <v>-3.008986E-2</v>
      </c>
      <c r="M100">
        <v>-0.3067474</v>
      </c>
      <c r="N100">
        <v>-0.27243469999999997</v>
      </c>
      <c r="O100">
        <v>-0.24208689999999999</v>
      </c>
      <c r="P100" s="3">
        <v>4.8161509999999998E-2</v>
      </c>
      <c r="Q100">
        <v>-0.1963558</v>
      </c>
      <c r="R100">
        <v>-0.16491320000000001</v>
      </c>
      <c r="S100" s="3">
        <v>6.2990190000000003E-3</v>
      </c>
      <c r="T100">
        <v>-0.11908009999999999</v>
      </c>
      <c r="U100" s="3">
        <v>-9.1080190000000005E-2</v>
      </c>
      <c r="V100">
        <v>-6.4044000000000004E-2</v>
      </c>
    </row>
    <row r="101" spans="1:38" x14ac:dyDescent="0.25">
      <c r="A101">
        <v>11748.56</v>
      </c>
      <c r="B101">
        <v>9116</v>
      </c>
      <c r="C101">
        <v>6744</v>
      </c>
      <c r="D101">
        <v>1</v>
      </c>
      <c r="E101">
        <v>1</v>
      </c>
      <c r="F101" t="s">
        <v>13</v>
      </c>
      <c r="G101" s="3">
        <v>-5.1216129999999999E-2</v>
      </c>
      <c r="H101">
        <v>-3.7802700000000002E-2</v>
      </c>
      <c r="I101" s="3">
        <v>-5.5303570000000003E-2</v>
      </c>
      <c r="J101" s="3">
        <v>-6.3004489999999996E-2</v>
      </c>
      <c r="K101" s="3">
        <v>-6.7880629999999997E-2</v>
      </c>
      <c r="L101" s="3">
        <v>-7.8424930000000004E-2</v>
      </c>
      <c r="M101" s="3">
        <v>-9.006596E-2</v>
      </c>
      <c r="N101" s="3">
        <v>-8.567429E-2</v>
      </c>
      <c r="O101" s="3">
        <v>-8.4156040000000001E-2</v>
      </c>
      <c r="P101" s="3">
        <v>-7.6289179999999998E-2</v>
      </c>
      <c r="Q101" s="3">
        <v>-6.7972179999999993E-2</v>
      </c>
      <c r="R101" s="3">
        <v>-4.319096E-2</v>
      </c>
      <c r="S101" s="3">
        <v>-1.9914149999999999E-2</v>
      </c>
      <c r="T101">
        <v>1.2362E-2</v>
      </c>
      <c r="U101" s="3">
        <v>6.6316130000000001E-2</v>
      </c>
      <c r="V101">
        <v>0.12500810000000001</v>
      </c>
      <c r="W101" s="3"/>
      <c r="AB101" s="3"/>
      <c r="AF101" s="3"/>
      <c r="AI101" s="3"/>
      <c r="AK101" s="3"/>
    </row>
    <row r="102" spans="1:38" x14ac:dyDescent="0.25">
      <c r="A102" t="s">
        <v>244</v>
      </c>
    </row>
    <row r="103" spans="1:38" x14ac:dyDescent="0.25">
      <c r="A103">
        <v>11758.4</v>
      </c>
      <c r="B103">
        <v>9116</v>
      </c>
      <c r="C103">
        <v>6742</v>
      </c>
      <c r="D103">
        <v>1</v>
      </c>
      <c r="E103">
        <v>1</v>
      </c>
      <c r="F103" t="s">
        <v>13</v>
      </c>
      <c r="G103" s="3">
        <v>8.2496169999999994E-2</v>
      </c>
      <c r="H103">
        <v>-0.43188290000000001</v>
      </c>
      <c r="I103">
        <v>-0.41639520000000002</v>
      </c>
      <c r="J103">
        <v>-0.3617496</v>
      </c>
      <c r="K103">
        <v>-0.32263140000000001</v>
      </c>
      <c r="L103" s="3">
        <v>-2.6420590000000001E-2</v>
      </c>
      <c r="M103">
        <v>-0.282331</v>
      </c>
      <c r="N103">
        <v>-0.24911259999999999</v>
      </c>
      <c r="O103">
        <v>-0.2285171</v>
      </c>
      <c r="P103" s="3">
        <v>4.8684119999999997E-2</v>
      </c>
      <c r="Q103">
        <v>-0.18293999999999999</v>
      </c>
      <c r="R103">
        <v>-0.15767339999999999</v>
      </c>
      <c r="S103" s="3">
        <v>6.8354610000000001E-3</v>
      </c>
      <c r="T103">
        <v>-0.11577800000000001</v>
      </c>
      <c r="U103" s="3">
        <v>-8.849812E-2</v>
      </c>
      <c r="V103" s="3">
        <v>-6.0958859999999997E-2</v>
      </c>
    </row>
    <row r="104" spans="1:38" x14ac:dyDescent="0.25">
      <c r="A104">
        <v>11758.42</v>
      </c>
      <c r="B104">
        <v>9116</v>
      </c>
      <c r="C104">
        <v>6744</v>
      </c>
      <c r="D104">
        <v>1</v>
      </c>
      <c r="E104">
        <v>1</v>
      </c>
      <c r="F104" t="s">
        <v>13</v>
      </c>
      <c r="G104" s="3">
        <v>-4.7558780000000002E-2</v>
      </c>
      <c r="H104" s="3">
        <v>-2.8616909999999999E-2</v>
      </c>
      <c r="I104" s="3">
        <v>-6.0942169999999997E-2</v>
      </c>
      <c r="J104" s="3">
        <v>-6.9092269999999997E-2</v>
      </c>
      <c r="K104" s="3">
        <v>-7.4055670000000004E-2</v>
      </c>
      <c r="L104" s="3">
        <v>-8.5615159999999996E-2</v>
      </c>
      <c r="M104">
        <v>-0.10313890000000001</v>
      </c>
      <c r="N104">
        <v>-0.1024914</v>
      </c>
      <c r="O104">
        <v>-0.10329960000000001</v>
      </c>
      <c r="P104" s="3">
        <v>-9.7345829999999994E-2</v>
      </c>
      <c r="Q104" s="3">
        <v>-9.2451569999999997E-2</v>
      </c>
      <c r="R104" s="3">
        <v>-7.2180270000000005E-2</v>
      </c>
      <c r="S104" s="3">
        <v>-5.1578520000000003E-2</v>
      </c>
      <c r="T104" s="3">
        <v>-2.3034570000000001E-2</v>
      </c>
      <c r="U104" s="3">
        <v>2.632236E-2</v>
      </c>
      <c r="V104" s="3">
        <v>8.4623809999999994E-2</v>
      </c>
      <c r="W104" s="3"/>
      <c r="AB104" s="3"/>
      <c r="AF104" s="3"/>
      <c r="AI104" s="3"/>
      <c r="AK104" s="3"/>
      <c r="AL104" s="3"/>
    </row>
    <row r="105" spans="1:38" x14ac:dyDescent="0.25">
      <c r="A105" t="s">
        <v>245</v>
      </c>
    </row>
    <row r="106" spans="1:38" x14ac:dyDescent="0.25">
      <c r="A106">
        <v>11767.6</v>
      </c>
      <c r="B106">
        <v>9116</v>
      </c>
      <c r="C106">
        <v>6742</v>
      </c>
      <c r="D106">
        <v>1</v>
      </c>
      <c r="E106">
        <v>1</v>
      </c>
      <c r="F106" t="s">
        <v>13</v>
      </c>
      <c r="G106">
        <v>0.14430480000000001</v>
      </c>
      <c r="H106">
        <v>-0.3370128</v>
      </c>
      <c r="I106">
        <v>-0.34651520000000002</v>
      </c>
      <c r="J106">
        <v>-0.31430200000000003</v>
      </c>
      <c r="K106">
        <v>-0.28664780000000001</v>
      </c>
      <c r="L106" s="3">
        <v>-2.2600169999999999E-2</v>
      </c>
      <c r="M106">
        <v>-0.26111509999999999</v>
      </c>
      <c r="N106">
        <v>-0.23105429999999999</v>
      </c>
      <c r="O106">
        <v>-0.21492240000000001</v>
      </c>
      <c r="P106" s="3">
        <v>4.8510070000000002E-2</v>
      </c>
      <c r="Q106">
        <v>-0.17910390000000001</v>
      </c>
      <c r="R106">
        <v>-0.14811559999999999</v>
      </c>
      <c r="S106" s="3">
        <v>6.4783100000000001E-3</v>
      </c>
      <c r="T106">
        <v>-0.1143866</v>
      </c>
      <c r="U106" s="3">
        <v>-8.7947849999999994E-2</v>
      </c>
      <c r="V106" s="3">
        <v>-6.0231689999999997E-2</v>
      </c>
    </row>
    <row r="107" spans="1:38" x14ac:dyDescent="0.25">
      <c r="A107">
        <v>11767.62</v>
      </c>
      <c r="B107">
        <v>9116</v>
      </c>
      <c r="C107">
        <v>6744</v>
      </c>
      <c r="D107">
        <v>1</v>
      </c>
      <c r="E107">
        <v>1</v>
      </c>
      <c r="F107" t="s">
        <v>13</v>
      </c>
      <c r="G107" s="3">
        <v>-4.6828750000000002E-2</v>
      </c>
      <c r="H107">
        <v>-2.1588799999999998E-2</v>
      </c>
      <c r="I107" s="3">
        <v>-6.4400669999999993E-2</v>
      </c>
      <c r="J107">
        <v>-7.5354099999999993E-2</v>
      </c>
      <c r="K107" s="3">
        <v>-8.113861E-2</v>
      </c>
      <c r="L107" s="3">
        <v>-9.3883040000000001E-2</v>
      </c>
      <c r="M107">
        <v>-0.11760710000000001</v>
      </c>
      <c r="N107">
        <v>-0.1198525</v>
      </c>
      <c r="O107">
        <v>-0.1229391</v>
      </c>
      <c r="P107">
        <v>-0.11987879999999999</v>
      </c>
      <c r="Q107">
        <v>-0.11891790000000001</v>
      </c>
      <c r="R107">
        <v>-0.1029925</v>
      </c>
      <c r="S107" s="3">
        <v>-8.4631919999999999E-2</v>
      </c>
      <c r="T107" s="3">
        <v>-6.1164860000000001E-2</v>
      </c>
      <c r="U107" s="3">
        <v>-1.8620970000000001E-2</v>
      </c>
      <c r="V107" s="3">
        <v>3.7269120000000003E-2</v>
      </c>
      <c r="AB107" s="3"/>
      <c r="AF107" s="3"/>
      <c r="AI107" s="3"/>
      <c r="AK107" s="3"/>
      <c r="AL107" s="3"/>
    </row>
    <row r="108" spans="1:38" x14ac:dyDescent="0.25">
      <c r="A108" t="s">
        <v>246</v>
      </c>
    </row>
    <row r="109" spans="1:38" x14ac:dyDescent="0.25">
      <c r="A109">
        <v>11777.18</v>
      </c>
      <c r="B109">
        <v>9116</v>
      </c>
      <c r="C109">
        <v>6742</v>
      </c>
      <c r="D109">
        <v>1</v>
      </c>
      <c r="E109">
        <v>1</v>
      </c>
      <c r="F109" t="s">
        <v>13</v>
      </c>
      <c r="G109">
        <v>0.18514920000000001</v>
      </c>
      <c r="H109">
        <v>-0.24316979999999999</v>
      </c>
      <c r="I109">
        <v>-0.27520939999999999</v>
      </c>
      <c r="J109">
        <v>-0.26461030000000002</v>
      </c>
      <c r="K109">
        <v>-0.2478986</v>
      </c>
      <c r="L109">
        <v>-1.9499300000000001E-2</v>
      </c>
      <c r="M109">
        <v>-0.2368999</v>
      </c>
      <c r="N109">
        <v>-0.2105389</v>
      </c>
      <c r="O109">
        <v>-0.19802520000000001</v>
      </c>
      <c r="P109" s="3">
        <v>4.9361710000000003E-2</v>
      </c>
      <c r="Q109">
        <v>-0.16654969999999999</v>
      </c>
      <c r="R109">
        <v>-0.14372399999999999</v>
      </c>
      <c r="S109" s="3">
        <v>7.9050059999999991E-3</v>
      </c>
      <c r="T109">
        <v>-0.11038489999999999</v>
      </c>
      <c r="U109" s="3">
        <v>-8.5764409999999999E-2</v>
      </c>
      <c r="V109" s="3">
        <v>-5.9758659999999998E-2</v>
      </c>
    </row>
    <row r="110" spans="1:38" x14ac:dyDescent="0.25">
      <c r="A110">
        <v>11777.2</v>
      </c>
      <c r="B110">
        <v>9116</v>
      </c>
      <c r="C110">
        <v>6744</v>
      </c>
      <c r="D110">
        <v>1</v>
      </c>
      <c r="E110">
        <v>1</v>
      </c>
      <c r="F110" t="s">
        <v>13</v>
      </c>
      <c r="G110">
        <v>-4.6290400000000002E-2</v>
      </c>
      <c r="H110" s="3">
        <v>-1.5727519999999998E-2</v>
      </c>
      <c r="I110" s="3">
        <v>-6.4601420000000007E-2</v>
      </c>
      <c r="J110" s="3">
        <v>-7.6049329999999998E-2</v>
      </c>
      <c r="K110" s="3">
        <v>-8.5872169999999998E-2</v>
      </c>
      <c r="L110" s="3">
        <v>-9.9820610000000004E-2</v>
      </c>
      <c r="M110">
        <v>-0.1296263</v>
      </c>
      <c r="N110">
        <v>-0.13485430000000001</v>
      </c>
      <c r="O110">
        <v>-0.14124629999999999</v>
      </c>
      <c r="P110">
        <v>-0.1409416</v>
      </c>
      <c r="Q110">
        <v>-0.1437831</v>
      </c>
      <c r="R110">
        <v>-0.13400790000000001</v>
      </c>
      <c r="S110">
        <v>-0.1192284</v>
      </c>
      <c r="T110">
        <v>-0.1014838</v>
      </c>
      <c r="U110" s="3">
        <v>-6.833649E-2</v>
      </c>
      <c r="V110" s="3">
        <v>-2.064848E-2</v>
      </c>
      <c r="AF110" s="3"/>
      <c r="AI110" s="3"/>
      <c r="AK110" s="3"/>
      <c r="AL110" s="3"/>
    </row>
    <row r="111" spans="1:38" x14ac:dyDescent="0.25">
      <c r="A111" t="s">
        <v>247</v>
      </c>
    </row>
    <row r="112" spans="1:38" x14ac:dyDescent="0.25">
      <c r="A112">
        <v>11786.55</v>
      </c>
      <c r="B112">
        <v>9116</v>
      </c>
      <c r="C112">
        <v>6742</v>
      </c>
      <c r="D112">
        <v>1</v>
      </c>
      <c r="E112">
        <v>1</v>
      </c>
      <c r="F112" t="s">
        <v>13</v>
      </c>
      <c r="G112">
        <v>0.20753150000000001</v>
      </c>
      <c r="H112">
        <v>-0.16111900000000001</v>
      </c>
      <c r="I112">
        <v>-0.2121768</v>
      </c>
      <c r="J112">
        <v>-0.2199035</v>
      </c>
      <c r="K112">
        <v>-0.2131171</v>
      </c>
      <c r="L112" s="3">
        <v>-1.6547679999999999E-2</v>
      </c>
      <c r="M112">
        <v>-0.21550559999999999</v>
      </c>
      <c r="N112">
        <v>-0.19283059999999999</v>
      </c>
      <c r="O112">
        <v>-0.1840811</v>
      </c>
      <c r="P112" s="3">
        <v>4.9536709999999998E-2</v>
      </c>
      <c r="Q112">
        <v>-0.1576552</v>
      </c>
      <c r="R112">
        <v>-0.1374679</v>
      </c>
      <c r="S112" s="3">
        <v>8.2616809999999999E-3</v>
      </c>
      <c r="T112">
        <v>-0.107255</v>
      </c>
      <c r="U112" s="3">
        <v>-8.5214609999999996E-2</v>
      </c>
      <c r="V112" s="3">
        <v>-6.0122490000000001E-2</v>
      </c>
    </row>
    <row r="113" spans="1:38" x14ac:dyDescent="0.25">
      <c r="A113">
        <v>11786.57</v>
      </c>
      <c r="B113">
        <v>9116</v>
      </c>
      <c r="C113">
        <v>6744</v>
      </c>
      <c r="D113">
        <v>1</v>
      </c>
      <c r="E113">
        <v>1</v>
      </c>
      <c r="F113" t="s">
        <v>13</v>
      </c>
      <c r="G113" s="3">
        <v>-4.7021390000000003E-2</v>
      </c>
      <c r="H113" s="3">
        <v>-1.608849E-2</v>
      </c>
      <c r="I113" s="3">
        <v>-6.733227E-2</v>
      </c>
      <c r="J113" s="3">
        <v>-7.7788830000000003E-2</v>
      </c>
      <c r="K113" s="3">
        <v>-8.8232989999999997E-2</v>
      </c>
      <c r="L113">
        <v>-0.106111</v>
      </c>
      <c r="M113">
        <v>-0.1421771</v>
      </c>
      <c r="N113">
        <v>-0.1509356</v>
      </c>
      <c r="O113">
        <v>-0.1596236</v>
      </c>
      <c r="P113">
        <v>-0.1621804</v>
      </c>
      <c r="Q113">
        <v>-0.16952420000000001</v>
      </c>
      <c r="R113">
        <v>-0.1651812</v>
      </c>
      <c r="S113">
        <v>-0.154388</v>
      </c>
      <c r="T113">
        <v>-0.14435200000000001</v>
      </c>
      <c r="U113">
        <v>-0.12079429999999999</v>
      </c>
      <c r="V113" s="3">
        <v>-8.3415989999999995E-2</v>
      </c>
      <c r="AB113" s="3"/>
      <c r="AF113" s="3"/>
      <c r="AI113" s="3"/>
      <c r="AK113" s="3"/>
      <c r="AL113" s="3"/>
    </row>
    <row r="114" spans="1:38" x14ac:dyDescent="0.25">
      <c r="A114" t="s">
        <v>248</v>
      </c>
    </row>
    <row r="115" spans="1:38" x14ac:dyDescent="0.25">
      <c r="A115">
        <v>11796.42</v>
      </c>
      <c r="B115">
        <v>9116</v>
      </c>
      <c r="C115">
        <v>6742</v>
      </c>
      <c r="D115">
        <v>1</v>
      </c>
      <c r="E115">
        <v>1</v>
      </c>
      <c r="F115" t="s">
        <v>13</v>
      </c>
      <c r="G115">
        <v>0.2123179</v>
      </c>
      <c r="H115" s="3">
        <v>-8.7457660000000007E-2</v>
      </c>
      <c r="I115">
        <v>-0.15301319999999999</v>
      </c>
      <c r="J115">
        <v>-0.17605109999999999</v>
      </c>
      <c r="K115">
        <v>-0.177814</v>
      </c>
      <c r="L115" s="3">
        <v>-1.377106E-2</v>
      </c>
      <c r="M115">
        <v>-0.19253439999999999</v>
      </c>
      <c r="N115">
        <v>-0.17442849999999999</v>
      </c>
      <c r="O115">
        <v>-0.16841410000000001</v>
      </c>
      <c r="P115" s="3">
        <v>5.005884E-2</v>
      </c>
      <c r="Q115">
        <v>-0.14789769999999999</v>
      </c>
      <c r="R115">
        <v>-0.12965109999999999</v>
      </c>
      <c r="S115" s="3">
        <v>9.3321800000000007E-3</v>
      </c>
      <c r="T115" s="3">
        <v>-9.9428649999999993E-2</v>
      </c>
      <c r="U115" s="3">
        <v>-8.2848069999999996E-2</v>
      </c>
      <c r="V115" s="3">
        <v>-5.9212210000000001E-2</v>
      </c>
    </row>
    <row r="116" spans="1:38" x14ac:dyDescent="0.25">
      <c r="A116">
        <v>11796.44</v>
      </c>
      <c r="B116">
        <v>9116</v>
      </c>
      <c r="C116">
        <v>6744</v>
      </c>
      <c r="D116">
        <v>1</v>
      </c>
      <c r="E116">
        <v>1</v>
      </c>
      <c r="F116" t="s">
        <v>13</v>
      </c>
      <c r="G116" s="3">
        <v>-4.756403E-2</v>
      </c>
      <c r="H116" s="3">
        <v>-1.6677379999999999E-2</v>
      </c>
      <c r="I116" s="3">
        <v>-6.6955570000000006E-2</v>
      </c>
      <c r="J116" s="3">
        <v>-8.0394740000000006E-2</v>
      </c>
      <c r="K116" s="3">
        <v>-9.0582850000000006E-2</v>
      </c>
      <c r="L116">
        <v>-0.11186309999999999</v>
      </c>
      <c r="M116">
        <v>-0.15298990000000001</v>
      </c>
      <c r="N116">
        <v>-0.16552929999999999</v>
      </c>
      <c r="O116">
        <v>-0.1760592</v>
      </c>
      <c r="P116">
        <v>-0.18118999999999999</v>
      </c>
      <c r="Q116">
        <v>-0.19306329999999999</v>
      </c>
      <c r="R116">
        <v>-0.19506599999999999</v>
      </c>
      <c r="S116">
        <v>-0.1881757</v>
      </c>
      <c r="T116">
        <v>-0.1859365</v>
      </c>
      <c r="U116">
        <v>-0.17488770000000001</v>
      </c>
      <c r="V116">
        <v>-0.15012449999999999</v>
      </c>
      <c r="X116" s="3"/>
      <c r="AB116" s="3"/>
      <c r="AF116" s="3"/>
      <c r="AI116" s="3"/>
      <c r="AJ116" s="3"/>
      <c r="AK116" s="3"/>
      <c r="AL116" s="3"/>
    </row>
    <row r="117" spans="1:38" x14ac:dyDescent="0.25">
      <c r="A117" t="s">
        <v>249</v>
      </c>
    </row>
    <row r="118" spans="1:38" x14ac:dyDescent="0.25">
      <c r="A118">
        <v>11805.54</v>
      </c>
      <c r="B118">
        <v>9116</v>
      </c>
      <c r="C118">
        <v>6742</v>
      </c>
      <c r="D118">
        <v>1</v>
      </c>
      <c r="E118">
        <v>1</v>
      </c>
      <c r="F118" t="s">
        <v>13</v>
      </c>
      <c r="G118">
        <v>0.20521590000000001</v>
      </c>
      <c r="H118" s="3">
        <v>-1.7777439999999999E-2</v>
      </c>
      <c r="I118" s="3">
        <v>-9.3681340000000002E-2</v>
      </c>
      <c r="J118">
        <v>-0.13082460000000001</v>
      </c>
      <c r="K118">
        <v>-0.1413064</v>
      </c>
      <c r="L118" s="3">
        <v>-1.099205E-2</v>
      </c>
      <c r="M118">
        <v>-0.16668369999999999</v>
      </c>
      <c r="N118">
        <v>-0.15320919999999999</v>
      </c>
      <c r="O118">
        <v>-0.1507349</v>
      </c>
      <c r="P118" s="3">
        <v>5.0930019999999999E-2</v>
      </c>
      <c r="Q118">
        <v>-0.1364465</v>
      </c>
      <c r="R118">
        <v>-0.1199765</v>
      </c>
      <c r="S118" s="3">
        <v>1.0223390000000001E-2</v>
      </c>
      <c r="T118" s="3">
        <v>-9.5776559999999997E-2</v>
      </c>
      <c r="U118" s="3">
        <v>-7.8064439999999999E-2</v>
      </c>
      <c r="V118" s="3">
        <v>-5.786848E-2</v>
      </c>
    </row>
    <row r="119" spans="1:38" x14ac:dyDescent="0.25">
      <c r="A119">
        <v>11805.56</v>
      </c>
      <c r="B119">
        <v>9116</v>
      </c>
      <c r="C119">
        <v>6744</v>
      </c>
      <c r="D119">
        <v>1</v>
      </c>
      <c r="E119">
        <v>1</v>
      </c>
      <c r="F119" t="s">
        <v>13</v>
      </c>
      <c r="G119" s="3">
        <v>-4.7929289999999999E-2</v>
      </c>
      <c r="H119" s="3">
        <v>-1.745176E-2</v>
      </c>
      <c r="I119" s="3">
        <v>-6.4588549999999995E-2</v>
      </c>
      <c r="J119" s="3">
        <v>-7.9702850000000006E-2</v>
      </c>
      <c r="K119" s="3">
        <v>-9.384584E-2</v>
      </c>
      <c r="L119">
        <v>-0.11976340000000001</v>
      </c>
      <c r="M119">
        <v>-0.1632786</v>
      </c>
      <c r="N119">
        <v>-0.17887069999999999</v>
      </c>
      <c r="O119">
        <v>-0.19226550000000001</v>
      </c>
      <c r="P119">
        <v>-0.20039560000000001</v>
      </c>
      <c r="Q119">
        <v>-0.21679309999999999</v>
      </c>
      <c r="R119">
        <v>-0.2260566</v>
      </c>
      <c r="S119">
        <v>-0.22435050000000001</v>
      </c>
      <c r="T119">
        <v>-0.2302613</v>
      </c>
      <c r="U119">
        <v>-0.23447899999999999</v>
      </c>
      <c r="V119">
        <v>-0.2277489</v>
      </c>
      <c r="X119" s="3"/>
      <c r="Y119" s="3"/>
      <c r="AB119" s="3"/>
      <c r="AF119" s="3"/>
      <c r="AI119" s="3"/>
      <c r="AJ119" s="3"/>
      <c r="AK119" s="3"/>
      <c r="AL119" s="3"/>
    </row>
    <row r="120" spans="1:38" x14ac:dyDescent="0.25">
      <c r="A120" t="s">
        <v>250</v>
      </c>
    </row>
    <row r="121" spans="1:38" x14ac:dyDescent="0.25">
      <c r="A121">
        <v>11814.96</v>
      </c>
      <c r="B121">
        <v>9116</v>
      </c>
      <c r="C121">
        <v>6742</v>
      </c>
      <c r="D121">
        <v>1</v>
      </c>
      <c r="E121">
        <v>1</v>
      </c>
      <c r="F121" t="s">
        <v>13</v>
      </c>
      <c r="G121">
        <v>0.17892649999999999</v>
      </c>
      <c r="H121" s="3">
        <v>4.4933319999999999E-2</v>
      </c>
      <c r="I121" s="3">
        <v>-3.6263940000000001E-2</v>
      </c>
      <c r="J121" s="3">
        <v>-8.4902759999999994E-2</v>
      </c>
      <c r="K121">
        <v>-0.1030741</v>
      </c>
      <c r="L121" s="3">
        <v>-8.3870890000000003E-3</v>
      </c>
      <c r="M121">
        <v>-0.13909669999999999</v>
      </c>
      <c r="N121">
        <v>-0.13023760000000001</v>
      </c>
      <c r="O121">
        <v>-0.1306882</v>
      </c>
      <c r="P121" s="3">
        <v>5.0755979999999999E-2</v>
      </c>
      <c r="Q121">
        <v>-0.1228433</v>
      </c>
      <c r="R121">
        <v>-0.1090279</v>
      </c>
      <c r="S121" s="3">
        <v>1.093674E-2</v>
      </c>
      <c r="T121" s="3">
        <v>-9.0385439999999997E-2</v>
      </c>
      <c r="U121" s="3">
        <v>-7.3481080000000004E-2</v>
      </c>
      <c r="V121" s="3">
        <v>-5.6413650000000003E-2</v>
      </c>
    </row>
    <row r="122" spans="1:38" x14ac:dyDescent="0.25">
      <c r="A122">
        <v>11814.98</v>
      </c>
      <c r="B122">
        <v>9116</v>
      </c>
      <c r="C122">
        <v>6744</v>
      </c>
      <c r="D122">
        <v>1</v>
      </c>
      <c r="E122">
        <v>1</v>
      </c>
      <c r="F122" t="s">
        <v>13</v>
      </c>
      <c r="G122" s="3">
        <v>-4.7929289999999999E-2</v>
      </c>
      <c r="H122" s="3">
        <v>-1.8533230000000001E-2</v>
      </c>
      <c r="I122" s="3">
        <v>-6.2039850000000001E-2</v>
      </c>
      <c r="J122" s="3">
        <v>-7.9007149999999998E-2</v>
      </c>
      <c r="K122" s="3">
        <v>-9.475422E-2</v>
      </c>
      <c r="L122">
        <v>-0.1229982</v>
      </c>
      <c r="M122">
        <v>-0.17234179999999999</v>
      </c>
      <c r="N122">
        <v>-0.19147829999999999</v>
      </c>
      <c r="O122">
        <v>-0.20667740000000001</v>
      </c>
      <c r="P122">
        <v>-0.21849250000000001</v>
      </c>
      <c r="Q122">
        <v>-0.23890400000000001</v>
      </c>
      <c r="R122">
        <v>-0.255774</v>
      </c>
      <c r="S122">
        <v>-0.25967879999999999</v>
      </c>
      <c r="T122">
        <v>-0.2756729</v>
      </c>
      <c r="U122">
        <v>-0.29736849999999998</v>
      </c>
      <c r="V122">
        <v>-0.31074000000000002</v>
      </c>
      <c r="X122" s="3"/>
      <c r="Y122" s="3"/>
      <c r="Z122" s="3"/>
      <c r="AB122" s="3"/>
      <c r="AF122" s="3"/>
      <c r="AI122" s="3"/>
      <c r="AJ122" s="3"/>
      <c r="AK122" s="3"/>
      <c r="AL122" s="3"/>
    </row>
    <row r="123" spans="1:38" x14ac:dyDescent="0.25">
      <c r="A123" t="s">
        <v>251</v>
      </c>
    </row>
    <row r="124" spans="1:38" x14ac:dyDescent="0.25">
      <c r="A124">
        <v>11824.5</v>
      </c>
      <c r="B124">
        <v>9116</v>
      </c>
      <c r="C124">
        <v>6742</v>
      </c>
      <c r="D124">
        <v>1</v>
      </c>
      <c r="E124">
        <v>1</v>
      </c>
      <c r="F124" t="s">
        <v>13</v>
      </c>
      <c r="G124">
        <v>0.1320472</v>
      </c>
      <c r="H124">
        <v>9.65395E-2</v>
      </c>
      <c r="I124" s="3">
        <v>1.4818670000000001E-2</v>
      </c>
      <c r="J124">
        <v>-4.2586800000000001E-2</v>
      </c>
      <c r="K124" s="3">
        <v>-6.759453E-2</v>
      </c>
      <c r="L124" s="3">
        <v>-5.089283E-3</v>
      </c>
      <c r="M124">
        <v>-0.11294269999999999</v>
      </c>
      <c r="N124">
        <v>-0.10796260000000001</v>
      </c>
      <c r="O124">
        <v>-0.1117139</v>
      </c>
      <c r="P124" s="3">
        <v>5.1974770000000003E-2</v>
      </c>
      <c r="Q124">
        <v>-0.1098933</v>
      </c>
      <c r="R124" s="3">
        <v>-9.8729129999999998E-2</v>
      </c>
      <c r="S124" s="3">
        <v>1.129055E-2</v>
      </c>
      <c r="T124" s="3">
        <v>-8.3081249999999995E-2</v>
      </c>
      <c r="U124" s="3">
        <v>-6.9815160000000001E-2</v>
      </c>
      <c r="V124" s="3">
        <v>-5.5032730000000002E-2</v>
      </c>
    </row>
    <row r="125" spans="1:38" x14ac:dyDescent="0.25">
      <c r="A125">
        <v>11824.52</v>
      </c>
      <c r="B125">
        <v>9116</v>
      </c>
      <c r="C125">
        <v>6744</v>
      </c>
      <c r="D125">
        <v>1</v>
      </c>
      <c r="E125">
        <v>1</v>
      </c>
      <c r="F125" t="s">
        <v>13</v>
      </c>
      <c r="G125" s="3">
        <v>-4.8659319999999999E-2</v>
      </c>
      <c r="H125" s="3">
        <v>-2.0643229999999999E-2</v>
      </c>
      <c r="I125" s="3">
        <v>-5.9309960000000002E-2</v>
      </c>
      <c r="J125" s="3">
        <v>-7.7440739999999994E-2</v>
      </c>
      <c r="K125" s="3">
        <v>-9.5304970000000003E-2</v>
      </c>
      <c r="L125">
        <v>-0.12497659999999999</v>
      </c>
      <c r="M125">
        <v>-0.18140510000000001</v>
      </c>
      <c r="N125">
        <v>-0.20538519999999999</v>
      </c>
      <c r="O125">
        <v>-0.22215270000000001</v>
      </c>
      <c r="P125">
        <v>-0.23713590000000001</v>
      </c>
      <c r="Q125">
        <v>-0.26247219999999999</v>
      </c>
      <c r="R125">
        <v>-0.28694770000000003</v>
      </c>
      <c r="S125">
        <v>-0.29659459999999999</v>
      </c>
      <c r="T125">
        <v>-0.32327990000000001</v>
      </c>
      <c r="U125">
        <v>-0.3630023</v>
      </c>
      <c r="V125">
        <v>-0.40141529999999997</v>
      </c>
      <c r="Y125" s="3"/>
      <c r="AA125" s="3"/>
      <c r="AB125" s="3"/>
      <c r="AF125" s="3"/>
      <c r="AH125" s="3"/>
      <c r="AI125" s="3"/>
      <c r="AJ125" s="3"/>
      <c r="AK125" s="3"/>
      <c r="AL125" s="3"/>
    </row>
    <row r="126" spans="1:38" x14ac:dyDescent="0.25">
      <c r="A126" t="s">
        <v>252</v>
      </c>
    </row>
    <row r="127" spans="1:38" x14ac:dyDescent="0.25">
      <c r="A127">
        <v>11834.38</v>
      </c>
      <c r="B127">
        <v>9116</v>
      </c>
      <c r="C127">
        <v>6742</v>
      </c>
      <c r="D127">
        <v>1</v>
      </c>
      <c r="E127">
        <v>1</v>
      </c>
      <c r="F127" t="s">
        <v>13</v>
      </c>
      <c r="G127" s="3">
        <v>6.1889649999999997E-2</v>
      </c>
      <c r="H127">
        <v>0.1374726</v>
      </c>
      <c r="I127" s="3">
        <v>5.958509E-2</v>
      </c>
      <c r="J127" s="3">
        <v>-3.3898349999999999E-3</v>
      </c>
      <c r="K127" s="3">
        <v>-3.3832550000000003E-2</v>
      </c>
      <c r="L127" s="3">
        <v>-2.9940610000000001E-3</v>
      </c>
      <c r="M127" s="3">
        <v>-8.6733340000000006E-2</v>
      </c>
      <c r="N127" s="3">
        <v>-8.5873130000000006E-2</v>
      </c>
      <c r="O127" s="3">
        <v>-9.2638490000000004E-2</v>
      </c>
      <c r="P127" s="3">
        <v>5.1993850000000001E-2</v>
      </c>
      <c r="Q127" s="3">
        <v>-9.6882819999999994E-2</v>
      </c>
      <c r="R127" s="3">
        <v>-8.8654040000000003E-2</v>
      </c>
      <c r="S127" s="3">
        <v>1.111269E-2</v>
      </c>
      <c r="T127" s="3">
        <v>-7.7168459999999994E-2</v>
      </c>
      <c r="U127" s="3">
        <v>-6.5965179999999998E-2</v>
      </c>
      <c r="V127">
        <v>-5.1506999999999997E-2</v>
      </c>
    </row>
    <row r="128" spans="1:38" x14ac:dyDescent="0.25">
      <c r="A128">
        <v>11834.41</v>
      </c>
      <c r="B128">
        <v>9116</v>
      </c>
      <c r="C128">
        <v>6744</v>
      </c>
      <c r="D128">
        <v>1</v>
      </c>
      <c r="E128">
        <v>1</v>
      </c>
      <c r="F128" t="s">
        <v>13</v>
      </c>
      <c r="G128">
        <v>-4.8476699999999998E-2</v>
      </c>
      <c r="H128" s="3">
        <v>-2.3936269999999999E-2</v>
      </c>
      <c r="I128" s="3">
        <v>-5.6753640000000001E-2</v>
      </c>
      <c r="J128" s="3">
        <v>-7.5874810000000001E-2</v>
      </c>
      <c r="K128" s="3">
        <v>-9.5849989999999996E-2</v>
      </c>
      <c r="L128">
        <v>-0.1265936</v>
      </c>
      <c r="M128">
        <v>-0.19429540000000001</v>
      </c>
      <c r="N128">
        <v>-0.21578549999999999</v>
      </c>
      <c r="O128">
        <v>-0.2406993</v>
      </c>
      <c r="P128">
        <v>-0.25744820000000002</v>
      </c>
      <c r="Q128">
        <v>-0.28585339999999998</v>
      </c>
      <c r="R128">
        <v>-0.31846190000000002</v>
      </c>
      <c r="S128">
        <v>-0.33474350000000003</v>
      </c>
      <c r="T128">
        <v>-0.37195869999999998</v>
      </c>
      <c r="U128">
        <v>-0.43230439999999998</v>
      </c>
      <c r="V128">
        <v>-0.49728159999999999</v>
      </c>
      <c r="W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</row>
    <row r="129" spans="1:38" x14ac:dyDescent="0.25">
      <c r="A129" t="s">
        <v>253</v>
      </c>
    </row>
    <row r="130" spans="1:38" x14ac:dyDescent="0.25">
      <c r="A130">
        <v>11843.71</v>
      </c>
      <c r="B130">
        <v>9116</v>
      </c>
      <c r="C130">
        <v>6742</v>
      </c>
      <c r="D130">
        <v>1</v>
      </c>
      <c r="E130">
        <v>1</v>
      </c>
      <c r="F130" t="s">
        <v>13</v>
      </c>
      <c r="G130" s="3">
        <v>-3.0269620000000001E-2</v>
      </c>
      <c r="H130">
        <v>0.16725209999999999</v>
      </c>
      <c r="I130" s="3">
        <v>9.6936229999999998E-2</v>
      </c>
      <c r="J130" s="3">
        <v>3.1187530000000002E-2</v>
      </c>
      <c r="K130" s="3">
        <v>-2.9978750000000001E-3</v>
      </c>
      <c r="L130" s="3">
        <v>-1.6045569999999999E-3</v>
      </c>
      <c r="M130" s="3">
        <v>-6.1971659999999998E-2</v>
      </c>
      <c r="N130" s="3">
        <v>-6.5353389999999997E-2</v>
      </c>
      <c r="O130" s="3">
        <v>-7.4680330000000003E-2</v>
      </c>
      <c r="P130" s="3">
        <v>5.2342409999999999E-2</v>
      </c>
      <c r="Q130" s="3">
        <v>-8.380079E-2</v>
      </c>
      <c r="R130" s="3">
        <v>-7.8225610000000001E-2</v>
      </c>
      <c r="S130" s="3">
        <v>1.236105E-2</v>
      </c>
      <c r="T130" s="3">
        <v>-7.0211410000000002E-2</v>
      </c>
      <c r="U130" s="3">
        <v>-5.8814529999999997E-2</v>
      </c>
      <c r="V130" s="3">
        <v>-5.0415990000000001E-2</v>
      </c>
    </row>
    <row r="131" spans="1:38" x14ac:dyDescent="0.25">
      <c r="A131">
        <v>11843.72</v>
      </c>
      <c r="B131">
        <v>9116</v>
      </c>
      <c r="C131">
        <v>6744</v>
      </c>
      <c r="D131">
        <v>1</v>
      </c>
      <c r="E131">
        <v>1</v>
      </c>
      <c r="F131" t="s">
        <v>13</v>
      </c>
      <c r="G131" s="3">
        <v>-4.5007709999999999E-2</v>
      </c>
      <c r="H131" s="3">
        <v>-2.898216E-2</v>
      </c>
      <c r="I131" s="3">
        <v>-5.7300089999999998E-2</v>
      </c>
      <c r="J131" s="3">
        <v>-7.6396469999999994E-2</v>
      </c>
      <c r="K131" s="3">
        <v>-9.8210809999999996E-2</v>
      </c>
      <c r="L131">
        <v>-0.12893009999999999</v>
      </c>
      <c r="M131">
        <v>-0.20457890000000001</v>
      </c>
      <c r="N131">
        <v>-0.23515269999999999</v>
      </c>
      <c r="O131">
        <v>-0.25781199999999999</v>
      </c>
      <c r="P131">
        <v>-0.2748041</v>
      </c>
      <c r="Q131">
        <v>-0.31611630000000002</v>
      </c>
      <c r="R131">
        <v>-0.3528848</v>
      </c>
      <c r="S131">
        <v>-0.37515880000000001</v>
      </c>
      <c r="T131">
        <v>-0.42428779999999999</v>
      </c>
      <c r="U131">
        <v>-0.5041561</v>
      </c>
      <c r="V131">
        <v>-0.60136219999999996</v>
      </c>
      <c r="W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t="s">
        <v>254</v>
      </c>
    </row>
    <row r="133" spans="1:38" x14ac:dyDescent="0.25">
      <c r="A133">
        <v>11853.1</v>
      </c>
      <c r="B133">
        <v>9116</v>
      </c>
      <c r="C133">
        <v>6742</v>
      </c>
      <c r="D133">
        <v>1</v>
      </c>
      <c r="E133">
        <v>1</v>
      </c>
      <c r="F133" t="s">
        <v>13</v>
      </c>
      <c r="G133">
        <v>-0.14353750000000001</v>
      </c>
      <c r="H133">
        <v>0.1866746</v>
      </c>
      <c r="I133">
        <v>0.1286621</v>
      </c>
      <c r="J133" s="3">
        <v>6.3212870000000004E-2</v>
      </c>
      <c r="K133" s="3">
        <v>2.628088E-2</v>
      </c>
      <c r="L133" s="3">
        <v>-4.1007999999999998E-5</v>
      </c>
      <c r="M133" s="3">
        <v>-3.8337709999999997E-2</v>
      </c>
      <c r="N133" s="3">
        <v>-4.5173169999999999E-2</v>
      </c>
      <c r="O133" s="3">
        <v>-5.6139950000000001E-2</v>
      </c>
      <c r="P133" s="3">
        <v>5.2690510000000003E-2</v>
      </c>
      <c r="Q133" s="3">
        <v>-7.0613380000000003E-2</v>
      </c>
      <c r="R133" s="3">
        <v>-6.7113880000000001E-2</v>
      </c>
      <c r="S133" s="3">
        <v>1.3254169999999999E-2</v>
      </c>
      <c r="T133" s="3">
        <v>-6.186295E-2</v>
      </c>
      <c r="U133" s="3">
        <v>-5.1848890000000002E-2</v>
      </c>
      <c r="V133" s="3">
        <v>-4.3218609999999998E-2</v>
      </c>
    </row>
    <row r="134" spans="1:38" x14ac:dyDescent="0.25">
      <c r="A134">
        <v>11853.12</v>
      </c>
      <c r="B134">
        <v>9116</v>
      </c>
      <c r="C134">
        <v>6744</v>
      </c>
      <c r="D134">
        <v>1</v>
      </c>
      <c r="E134">
        <v>1</v>
      </c>
      <c r="F134" t="s">
        <v>13</v>
      </c>
      <c r="G134" s="3">
        <v>-3.8982389999999999E-2</v>
      </c>
      <c r="H134" s="3">
        <v>-3.2531259999999999E-2</v>
      </c>
      <c r="I134" s="3">
        <v>-5.8404449999999997E-2</v>
      </c>
      <c r="J134" s="3">
        <v>-7.7093120000000001E-2</v>
      </c>
      <c r="K134">
        <v>-0.100215</v>
      </c>
      <c r="L134">
        <v>-0.13144639999999999</v>
      </c>
      <c r="M134">
        <v>-0.21347140000000001</v>
      </c>
      <c r="N134">
        <v>-0.24812980000000001</v>
      </c>
      <c r="O134">
        <v>-0.27496959999999998</v>
      </c>
      <c r="P134">
        <v>-0.29991770000000001</v>
      </c>
      <c r="Q134">
        <v>-0.34312680000000001</v>
      </c>
      <c r="R134">
        <v>-0.37988810000000001</v>
      </c>
      <c r="S134">
        <v>-0.42258790000000002</v>
      </c>
      <c r="T134">
        <v>-0.48373890000000003</v>
      </c>
      <c r="U134">
        <v>-0.57746889999999995</v>
      </c>
      <c r="V134">
        <v>-0.7039552</v>
      </c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t="s">
        <v>255</v>
      </c>
    </row>
    <row r="136" spans="1:38" x14ac:dyDescent="0.25">
      <c r="A136">
        <v>11862.49</v>
      </c>
      <c r="B136">
        <v>9116</v>
      </c>
      <c r="C136">
        <v>6742</v>
      </c>
      <c r="D136">
        <v>1</v>
      </c>
      <c r="E136">
        <v>1</v>
      </c>
      <c r="F136" t="s">
        <v>13</v>
      </c>
      <c r="G136">
        <v>-0.26103880000000002</v>
      </c>
      <c r="H136">
        <v>0.19416</v>
      </c>
      <c r="I136">
        <v>0.1515927</v>
      </c>
      <c r="J136" s="3">
        <v>8.8156219999999993E-2</v>
      </c>
      <c r="K136" s="3">
        <v>4.9886229999999997E-2</v>
      </c>
      <c r="L136" s="3">
        <v>1.507282E-3</v>
      </c>
      <c r="M136">
        <v>-1.8492700000000001E-2</v>
      </c>
      <c r="N136" s="3">
        <v>-2.7983669999999999E-2</v>
      </c>
      <c r="O136" s="3">
        <v>-4.0990350000000002E-2</v>
      </c>
      <c r="P136" s="3">
        <v>5.319405E-2</v>
      </c>
      <c r="Q136">
        <v>-5.9632299999999999E-2</v>
      </c>
      <c r="R136" s="3">
        <v>-5.8428760000000003E-2</v>
      </c>
      <c r="S136" s="3">
        <v>1.378822E-2</v>
      </c>
      <c r="T136" s="3">
        <v>-5.6993009999999997E-2</v>
      </c>
      <c r="U136" s="3">
        <v>-4.8916340000000003E-2</v>
      </c>
      <c r="V136" s="3">
        <v>-4.1044240000000003E-2</v>
      </c>
    </row>
    <row r="137" spans="1:38" x14ac:dyDescent="0.25">
      <c r="A137">
        <v>11862.52</v>
      </c>
      <c r="B137">
        <v>9116</v>
      </c>
      <c r="C137">
        <v>6744</v>
      </c>
      <c r="D137">
        <v>1</v>
      </c>
      <c r="E137">
        <v>1</v>
      </c>
      <c r="F137" t="s">
        <v>13</v>
      </c>
      <c r="G137" s="3">
        <v>-3.6973480000000003E-2</v>
      </c>
      <c r="H137" s="3">
        <v>-3.3432480000000001E-2</v>
      </c>
      <c r="I137" s="3">
        <v>-5.5303570000000003E-2</v>
      </c>
      <c r="J137" s="3">
        <v>-7.3962689999999998E-2</v>
      </c>
      <c r="K137" s="3">
        <v>-9.8937029999999995E-2</v>
      </c>
      <c r="L137">
        <v>-0.1310868</v>
      </c>
      <c r="M137">
        <v>-0.21974469999999999</v>
      </c>
      <c r="N137">
        <v>-0.2578163</v>
      </c>
      <c r="O137">
        <v>-0.2873869</v>
      </c>
      <c r="P137">
        <v>-0.31672240000000002</v>
      </c>
      <c r="Q137">
        <v>-0.36449340000000002</v>
      </c>
      <c r="R137">
        <v>-0.41952800000000001</v>
      </c>
      <c r="S137">
        <v>-0.44313760000000002</v>
      </c>
      <c r="T137">
        <v>-0.55592200000000003</v>
      </c>
      <c r="U137">
        <v>-0.64948130000000004</v>
      </c>
      <c r="V137">
        <v>-0.80336620000000003</v>
      </c>
      <c r="Z137" s="3"/>
      <c r="AA137" s="3"/>
      <c r="AB137" s="3"/>
      <c r="AD137" s="3"/>
      <c r="AE137" s="3"/>
      <c r="AF137" s="3"/>
      <c r="AH137" s="3"/>
      <c r="AI137" s="3"/>
      <c r="AJ137" s="3"/>
      <c r="AK137" s="3"/>
      <c r="AL137" s="3"/>
    </row>
    <row r="138" spans="1:38" x14ac:dyDescent="0.25">
      <c r="A138" t="s">
        <v>256</v>
      </c>
    </row>
    <row r="139" spans="1:38" x14ac:dyDescent="0.25">
      <c r="A139">
        <v>11872.02</v>
      </c>
      <c r="B139">
        <v>9116</v>
      </c>
      <c r="C139">
        <v>6742</v>
      </c>
      <c r="D139">
        <v>1</v>
      </c>
      <c r="E139">
        <v>1</v>
      </c>
      <c r="F139" t="s">
        <v>13</v>
      </c>
      <c r="G139">
        <v>-0.38223980000000002</v>
      </c>
      <c r="H139">
        <v>0.19380810000000001</v>
      </c>
      <c r="I139">
        <v>0.1671</v>
      </c>
      <c r="J139">
        <v>0.1084595</v>
      </c>
      <c r="K139" s="3">
        <v>6.9009780000000007E-2</v>
      </c>
      <c r="L139" s="3">
        <v>2.72274E-3</v>
      </c>
      <c r="M139" s="3">
        <v>-9.8085399999999997E-4</v>
      </c>
      <c r="N139" s="3">
        <v>-1.2899880000000001E-2</v>
      </c>
      <c r="O139" s="3">
        <v>-2.7739050000000001E-2</v>
      </c>
      <c r="P139" s="3">
        <v>5.319405E-2</v>
      </c>
      <c r="Q139" s="3">
        <v>-5.0038340000000001E-2</v>
      </c>
      <c r="R139" s="3">
        <v>-5.1128859999999998E-2</v>
      </c>
      <c r="S139" s="3">
        <v>1.485825E-2</v>
      </c>
      <c r="T139" s="3">
        <v>-5.3340440000000003E-2</v>
      </c>
      <c r="U139">
        <v>-4.6899799999999998E-2</v>
      </c>
      <c r="V139" s="3">
        <v>-4.1408540000000001E-2</v>
      </c>
    </row>
    <row r="140" spans="1:38" x14ac:dyDescent="0.25">
      <c r="A140">
        <v>11872.04</v>
      </c>
      <c r="B140">
        <v>9116</v>
      </c>
      <c r="C140">
        <v>6744</v>
      </c>
      <c r="D140">
        <v>1</v>
      </c>
      <c r="E140">
        <v>1</v>
      </c>
      <c r="F140" t="s">
        <v>13</v>
      </c>
      <c r="G140" s="3">
        <v>-4.0259839999999998E-2</v>
      </c>
      <c r="H140" s="3">
        <v>-3.6136149999999999E-2</v>
      </c>
      <c r="I140" s="3">
        <v>-5.3300859999999999E-2</v>
      </c>
      <c r="J140" s="3">
        <v>-7.0657730000000002E-2</v>
      </c>
      <c r="K140" s="3">
        <v>-9.6031190000000002E-2</v>
      </c>
      <c r="L140">
        <v>-0.12875030000000001</v>
      </c>
      <c r="M140">
        <v>-0.22305630000000001</v>
      </c>
      <c r="N140">
        <v>-0.26548959999999999</v>
      </c>
      <c r="O140">
        <v>-0.29675289999999999</v>
      </c>
      <c r="P140">
        <v>-0.328907</v>
      </c>
      <c r="Q140">
        <v>-0.38170670000000001</v>
      </c>
      <c r="R140">
        <v>-0.44506790000000002</v>
      </c>
      <c r="S140">
        <v>-0.48038429999999999</v>
      </c>
      <c r="T140">
        <v>-0.51417729999999995</v>
      </c>
      <c r="U140">
        <v>-0.73211910000000002</v>
      </c>
      <c r="V140">
        <v>-0.88948249999999995</v>
      </c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L140" s="3"/>
    </row>
    <row r="141" spans="1:38" x14ac:dyDescent="0.25">
      <c r="A141" t="s">
        <v>257</v>
      </c>
    </row>
    <row r="142" spans="1:38" x14ac:dyDescent="0.25">
      <c r="A142">
        <v>11881.45</v>
      </c>
      <c r="B142">
        <v>9116</v>
      </c>
      <c r="C142">
        <v>6742</v>
      </c>
      <c r="D142">
        <v>1</v>
      </c>
      <c r="E142">
        <v>1</v>
      </c>
      <c r="F142" t="s">
        <v>13</v>
      </c>
      <c r="G142">
        <v>-0.51777890000000004</v>
      </c>
      <c r="H142">
        <v>0.18788389999999999</v>
      </c>
      <c r="I142">
        <v>0.17723179999999999</v>
      </c>
      <c r="J142">
        <v>0.12565989999999999</v>
      </c>
      <c r="K142" s="3">
        <v>8.692598E-2</v>
      </c>
      <c r="L142" s="3">
        <v>3.7784580000000002E-3</v>
      </c>
      <c r="M142" s="3">
        <v>1.515388E-2</v>
      </c>
      <c r="N142" s="3">
        <v>1.12772E-3</v>
      </c>
      <c r="O142" s="3">
        <v>-1.5027520000000001E-2</v>
      </c>
      <c r="P142" s="3">
        <v>5.3019520000000001E-2</v>
      </c>
      <c r="Q142">
        <v>-4.0744299999999997E-2</v>
      </c>
      <c r="R142" s="3">
        <v>-4.4703479999999997E-2</v>
      </c>
      <c r="S142" s="3">
        <v>1.5214439999999999E-2</v>
      </c>
      <c r="T142" s="3">
        <v>-5.0209520000000001E-2</v>
      </c>
      <c r="U142" s="3">
        <v>-4.5799729999999997E-2</v>
      </c>
      <c r="V142" s="3">
        <v>-4.3225769999999997E-2</v>
      </c>
    </row>
    <row r="143" spans="1:38" x14ac:dyDescent="0.25">
      <c r="A143">
        <v>11881.47</v>
      </c>
      <c r="B143">
        <v>9116</v>
      </c>
      <c r="C143">
        <v>6744</v>
      </c>
      <c r="D143">
        <v>1</v>
      </c>
      <c r="E143">
        <v>1</v>
      </c>
      <c r="F143" t="s">
        <v>13</v>
      </c>
      <c r="G143" s="3">
        <v>-4.464245E-2</v>
      </c>
      <c r="H143" s="3">
        <v>-4.0460589999999998E-2</v>
      </c>
      <c r="I143" s="3">
        <v>-5.3670879999999997E-2</v>
      </c>
      <c r="J143" s="3">
        <v>-6.9439890000000004E-2</v>
      </c>
      <c r="K143" s="3">
        <v>-9.4760419999999998E-2</v>
      </c>
      <c r="L143">
        <v>-0.12713379999999999</v>
      </c>
      <c r="M143">
        <v>-0.22828480000000001</v>
      </c>
      <c r="N143">
        <v>-0.27353100000000002</v>
      </c>
      <c r="O143">
        <v>-0.30682799999999999</v>
      </c>
      <c r="P143">
        <v>-0.34258650000000002</v>
      </c>
      <c r="Q143">
        <v>-0.39983269999999999</v>
      </c>
      <c r="R143">
        <v>-0.47172639999999999</v>
      </c>
      <c r="S143">
        <v>-0.51464750000000004</v>
      </c>
      <c r="T143">
        <v>-0.57084990000000002</v>
      </c>
      <c r="U143">
        <v>-0.81731750000000003</v>
      </c>
      <c r="V143">
        <v>-0.97646619999999995</v>
      </c>
      <c r="AA143" s="3"/>
      <c r="AB143" s="3"/>
      <c r="AC143" s="3"/>
      <c r="AD143" s="3"/>
      <c r="AE143" s="3"/>
      <c r="AF143" s="3"/>
      <c r="AH143" s="3"/>
      <c r="AI143" s="3"/>
      <c r="AJ143" s="3"/>
      <c r="AK143" s="3"/>
      <c r="AL143" s="3"/>
    </row>
    <row r="144" spans="1:38" x14ac:dyDescent="0.25">
      <c r="A144" t="s">
        <v>258</v>
      </c>
    </row>
    <row r="145" spans="1:38" x14ac:dyDescent="0.25">
      <c r="A145">
        <v>11891.07</v>
      </c>
      <c r="B145">
        <v>9116</v>
      </c>
      <c r="C145">
        <v>6742</v>
      </c>
      <c r="D145">
        <v>1</v>
      </c>
      <c r="E145">
        <v>1</v>
      </c>
      <c r="F145" t="s">
        <v>13</v>
      </c>
      <c r="G145">
        <v>-0.67457820000000002</v>
      </c>
      <c r="H145">
        <v>0.17979239999999999</v>
      </c>
      <c r="I145">
        <v>0.18646960000000001</v>
      </c>
      <c r="J145">
        <v>0.14253850000000001</v>
      </c>
      <c r="K145">
        <v>0.10484980000000001</v>
      </c>
      <c r="L145" s="3">
        <v>5.5146220000000003E-3</v>
      </c>
      <c r="M145" s="3">
        <v>3.1188960000000002E-2</v>
      </c>
      <c r="N145" s="3">
        <v>1.481009E-2</v>
      </c>
      <c r="O145" s="3">
        <v>-2.7527810000000002E-3</v>
      </c>
      <c r="P145" s="3">
        <v>5.3909779999999997E-2</v>
      </c>
      <c r="Q145" s="3">
        <v>-3.2031539999999997E-2</v>
      </c>
      <c r="R145" s="3">
        <v>-3.8050649999999998E-2</v>
      </c>
      <c r="S145" s="3">
        <v>1.557302E-2</v>
      </c>
      <c r="T145" s="3">
        <v>-4.7253129999999997E-2</v>
      </c>
      <c r="U145" s="3">
        <v>-4.4700620000000003E-2</v>
      </c>
      <c r="V145" s="3">
        <v>-4.4063089999999999E-2</v>
      </c>
    </row>
    <row r="146" spans="1:38" x14ac:dyDescent="0.25">
      <c r="A146">
        <v>11891.09</v>
      </c>
      <c r="B146">
        <v>9116</v>
      </c>
      <c r="C146">
        <v>6744</v>
      </c>
      <c r="D146">
        <v>1</v>
      </c>
      <c r="E146">
        <v>1</v>
      </c>
      <c r="F146" t="s">
        <v>13</v>
      </c>
      <c r="G146" s="3">
        <v>-4.9207210000000001E-2</v>
      </c>
      <c r="H146" s="3">
        <v>-4.676056E-2</v>
      </c>
      <c r="I146" s="3">
        <v>-5.5127620000000002E-2</v>
      </c>
      <c r="J146" s="3">
        <v>-6.8221089999999998E-2</v>
      </c>
      <c r="K146" s="3">
        <v>-9.2943670000000006E-2</v>
      </c>
      <c r="L146">
        <v>-0.1256948</v>
      </c>
      <c r="M146">
        <v>-0.23403599999999999</v>
      </c>
      <c r="N146">
        <v>-0.2833986</v>
      </c>
      <c r="O146">
        <v>-0.32014799999999999</v>
      </c>
      <c r="P146">
        <v>-0.35937599999999997</v>
      </c>
      <c r="Q146">
        <v>-0.42191980000000001</v>
      </c>
      <c r="R146">
        <v>-0.50307179999999996</v>
      </c>
      <c r="S146">
        <v>-0.55452920000000006</v>
      </c>
      <c r="T146">
        <v>-0.62721780000000005</v>
      </c>
      <c r="U146">
        <v>-0.93072699999999997</v>
      </c>
      <c r="V146">
        <v>-1.0743769999999999</v>
      </c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t="s">
        <v>259</v>
      </c>
    </row>
    <row r="148" spans="1:38" x14ac:dyDescent="0.25">
      <c r="A148">
        <v>11900.13</v>
      </c>
      <c r="B148">
        <v>9116</v>
      </c>
      <c r="C148">
        <v>6742</v>
      </c>
      <c r="D148">
        <v>1</v>
      </c>
      <c r="E148">
        <v>1</v>
      </c>
      <c r="F148" t="s">
        <v>13</v>
      </c>
      <c r="G148">
        <v>-0.82441620000000004</v>
      </c>
      <c r="H148">
        <v>0.16269919999999999</v>
      </c>
      <c r="I148">
        <v>0.1885848</v>
      </c>
      <c r="J148">
        <v>0.15372420000000001</v>
      </c>
      <c r="K148">
        <v>0.11777260000000001</v>
      </c>
      <c r="L148" s="3">
        <v>5.8622359999999998E-3</v>
      </c>
      <c r="M148" s="3">
        <v>4.4280050000000001E-2</v>
      </c>
      <c r="N148" s="3">
        <v>2.691317E-2</v>
      </c>
      <c r="O148" s="3">
        <v>8.4071159999999992E-3</v>
      </c>
      <c r="P148">
        <v>5.4084300000000002E-2</v>
      </c>
      <c r="Q148" s="3">
        <v>-2.4181370000000001E-2</v>
      </c>
      <c r="R148" s="3">
        <v>-3.231382E-2</v>
      </c>
      <c r="S148" s="3">
        <v>1.6820430000000001E-2</v>
      </c>
      <c r="T148" s="3">
        <v>-4.4470790000000003E-2</v>
      </c>
      <c r="U148" s="3">
        <v>-4.3416980000000001E-2</v>
      </c>
      <c r="V148" s="3">
        <v>-4.6608919999999998E-2</v>
      </c>
    </row>
    <row r="149" spans="1:38" x14ac:dyDescent="0.25">
      <c r="A149">
        <v>11900.15</v>
      </c>
      <c r="B149">
        <v>9116</v>
      </c>
      <c r="C149">
        <v>6744</v>
      </c>
      <c r="D149">
        <v>1</v>
      </c>
      <c r="E149">
        <v>1</v>
      </c>
      <c r="F149" t="s">
        <v>13</v>
      </c>
      <c r="G149" s="3">
        <v>-5.4685119999999997E-2</v>
      </c>
      <c r="H149" s="3">
        <v>-5.4689880000000003E-2</v>
      </c>
      <c r="I149" s="3">
        <v>-5.986118E-2</v>
      </c>
      <c r="J149" s="3">
        <v>-6.9786550000000003E-2</v>
      </c>
      <c r="K149">
        <v>-9.0946200000000005E-2</v>
      </c>
      <c r="L149">
        <v>-0.1221008</v>
      </c>
      <c r="M149">
        <v>-0.23595289999999999</v>
      </c>
      <c r="N149">
        <v>-0.28869679999999998</v>
      </c>
      <c r="O149">
        <v>-0.32735199999999998</v>
      </c>
      <c r="P149">
        <v>-0.36971470000000001</v>
      </c>
      <c r="Q149">
        <v>-0.43786330000000001</v>
      </c>
      <c r="R149">
        <v>-0.52625560000000005</v>
      </c>
      <c r="S149">
        <v>-0.58456609999999998</v>
      </c>
      <c r="T149">
        <v>-0.67005009999999998</v>
      </c>
      <c r="U149">
        <v>-1.049231</v>
      </c>
      <c r="V149">
        <v>-1.1395150000000001</v>
      </c>
      <c r="AB149" s="3"/>
      <c r="AC149" s="3"/>
      <c r="AD149" s="3"/>
      <c r="AE149" s="3"/>
      <c r="AG149" s="3"/>
      <c r="AH149" s="3"/>
      <c r="AI149" s="3"/>
      <c r="AJ149" s="3"/>
      <c r="AK149" s="3"/>
      <c r="AL149" s="3"/>
    </row>
    <row r="150" spans="1:38" x14ac:dyDescent="0.25">
      <c r="A150" t="s">
        <v>260</v>
      </c>
    </row>
    <row r="151" spans="1:38" x14ac:dyDescent="0.25">
      <c r="A151">
        <v>11909.83</v>
      </c>
      <c r="B151">
        <v>9116</v>
      </c>
      <c r="C151">
        <v>6742</v>
      </c>
      <c r="D151">
        <v>1</v>
      </c>
      <c r="E151">
        <v>1</v>
      </c>
      <c r="F151" t="s">
        <v>13</v>
      </c>
      <c r="G151">
        <v>-0.9632096</v>
      </c>
      <c r="H151">
        <v>0.1419907</v>
      </c>
      <c r="I151">
        <v>0.18611620000000001</v>
      </c>
      <c r="J151">
        <v>0.16180900000000001</v>
      </c>
      <c r="K151">
        <v>0.12879940000000001</v>
      </c>
      <c r="L151" s="3">
        <v>7.0776939999999998E-3</v>
      </c>
      <c r="M151" s="3">
        <v>5.6353569999999999E-2</v>
      </c>
      <c r="N151" s="3">
        <v>3.7614349999999998E-2</v>
      </c>
      <c r="O151" s="3">
        <v>1.8512730000000002E-2</v>
      </c>
      <c r="P151" s="3">
        <v>5.319405E-2</v>
      </c>
      <c r="Q151" s="3">
        <v>-1.6917709999999999E-2</v>
      </c>
      <c r="R151" s="3">
        <v>-2.6581759999999999E-2</v>
      </c>
      <c r="S151" s="3">
        <v>1.6999719999999999E-2</v>
      </c>
      <c r="T151" s="3">
        <v>-4.1339870000000001E-2</v>
      </c>
      <c r="U151" s="3">
        <v>-4.3233389999999997E-2</v>
      </c>
      <c r="V151">
        <v>-4.8425200000000002E-2</v>
      </c>
    </row>
    <row r="152" spans="1:38" x14ac:dyDescent="0.25">
      <c r="A152">
        <v>11909.86</v>
      </c>
      <c r="B152">
        <v>9116</v>
      </c>
      <c r="C152">
        <v>6744</v>
      </c>
      <c r="D152">
        <v>1</v>
      </c>
      <c r="E152">
        <v>1</v>
      </c>
      <c r="F152" t="s">
        <v>13</v>
      </c>
      <c r="G152" s="3">
        <v>-6.015682E-2</v>
      </c>
      <c r="H152" s="3">
        <v>-6.3387390000000002E-2</v>
      </c>
      <c r="I152" s="3">
        <v>-6.6603659999999995E-2</v>
      </c>
      <c r="J152" s="3">
        <v>-7.3092939999999995E-2</v>
      </c>
      <c r="K152" s="3">
        <v>-8.7864880000000006E-2</v>
      </c>
      <c r="L152">
        <v>-0.11473179999999999</v>
      </c>
      <c r="M152">
        <v>-0.23106860000000001</v>
      </c>
      <c r="N152">
        <v>-0.28648659999999998</v>
      </c>
      <c r="O152">
        <v>-0.32783600000000002</v>
      </c>
      <c r="P152">
        <v>-0.37210080000000001</v>
      </c>
      <c r="Q152">
        <v>-0.44350669999999998</v>
      </c>
      <c r="R152">
        <v>-0.53909589999999996</v>
      </c>
      <c r="S152">
        <v>-0.60369680000000003</v>
      </c>
      <c r="T152">
        <v>-0.70429850000000005</v>
      </c>
      <c r="U152">
        <v>-1.1426320000000001</v>
      </c>
      <c r="V152">
        <v>-1.1987300000000001</v>
      </c>
      <c r="AB152" s="3"/>
      <c r="AC152" s="3"/>
      <c r="AD152" s="3"/>
      <c r="AE152" s="3"/>
      <c r="AF152" s="3"/>
      <c r="AG152" s="3"/>
      <c r="AH152" s="3"/>
      <c r="AI152" s="3"/>
      <c r="AJ152" s="3"/>
      <c r="AK152" s="3"/>
    </row>
    <row r="153" spans="1:38" x14ac:dyDescent="0.25">
      <c r="A153" t="s">
        <v>261</v>
      </c>
    </row>
    <row r="154" spans="1:38" x14ac:dyDescent="0.25">
      <c r="A154">
        <v>11919.1</v>
      </c>
      <c r="B154">
        <v>9116</v>
      </c>
      <c r="C154">
        <v>6742</v>
      </c>
      <c r="D154">
        <v>1</v>
      </c>
      <c r="E154">
        <v>1</v>
      </c>
      <c r="F154" t="s">
        <v>13</v>
      </c>
      <c r="G154">
        <v>-1.1236109999999999</v>
      </c>
      <c r="H154">
        <v>0.12278509999999999</v>
      </c>
      <c r="I154">
        <v>0.1873493</v>
      </c>
      <c r="J154">
        <v>0.17144580000000001</v>
      </c>
      <c r="K154">
        <v>0.13982729999999999</v>
      </c>
      <c r="L154" s="3">
        <v>7.9460139999999995E-3</v>
      </c>
      <c r="M154" s="3">
        <v>6.749964E-2</v>
      </c>
      <c r="N154" s="3">
        <v>4.7438139999999997E-2</v>
      </c>
      <c r="O154" s="3">
        <v>2.6359560000000001E-2</v>
      </c>
      <c r="P154" s="3">
        <v>5.3716659999999999E-2</v>
      </c>
      <c r="Q154" s="3">
        <v>-1.185894E-2</v>
      </c>
      <c r="R154" s="3">
        <v>-2.345324E-2</v>
      </c>
      <c r="S154" s="3">
        <v>1.7534259999999999E-2</v>
      </c>
      <c r="T154" s="3">
        <v>-4.2383190000000001E-2</v>
      </c>
      <c r="U154" s="3">
        <v>-4.7084330000000001E-2</v>
      </c>
      <c r="V154" s="3">
        <v>-5.6427480000000002E-2</v>
      </c>
    </row>
    <row r="155" spans="1:38" x14ac:dyDescent="0.25">
      <c r="A155">
        <v>11919.12</v>
      </c>
      <c r="B155">
        <v>9116</v>
      </c>
      <c r="C155">
        <v>6744</v>
      </c>
      <c r="D155">
        <v>1</v>
      </c>
      <c r="E155">
        <v>1</v>
      </c>
      <c r="F155" t="s">
        <v>13</v>
      </c>
      <c r="G155" s="3">
        <v>-7.2023870000000004E-2</v>
      </c>
      <c r="H155" s="3">
        <v>-8.1225870000000006E-2</v>
      </c>
      <c r="I155" s="3">
        <v>-8.2989690000000005E-2</v>
      </c>
      <c r="J155" s="3">
        <v>-8.6833949999999993E-2</v>
      </c>
      <c r="K155" s="3">
        <v>-9.4584470000000004E-2</v>
      </c>
      <c r="L155">
        <v>-0.1116767</v>
      </c>
      <c r="M155">
        <v>-0.2277575</v>
      </c>
      <c r="N155">
        <v>-0.28904439999999998</v>
      </c>
      <c r="O155">
        <v>-0.3330593</v>
      </c>
      <c r="P155">
        <v>-0.38243870000000002</v>
      </c>
      <c r="Q155">
        <v>-0.45872499999999999</v>
      </c>
      <c r="R155">
        <v>-0.56336450000000005</v>
      </c>
      <c r="S155">
        <v>-0.63636680000000001</v>
      </c>
      <c r="T155">
        <v>-0.75787780000000005</v>
      </c>
      <c r="U155">
        <v>-1.2585409999999999</v>
      </c>
      <c r="V155">
        <v>-1.3112619999999999</v>
      </c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t="s">
        <v>262</v>
      </c>
    </row>
    <row r="157" spans="1:38" x14ac:dyDescent="0.25">
      <c r="A157">
        <v>11928.5</v>
      </c>
      <c r="B157">
        <v>9116</v>
      </c>
      <c r="C157">
        <v>6742</v>
      </c>
      <c r="D157">
        <v>1</v>
      </c>
      <c r="E157">
        <v>1</v>
      </c>
      <c r="F157" t="s">
        <v>13</v>
      </c>
      <c r="G157">
        <v>-1.0674459999999999</v>
      </c>
      <c r="H157">
        <v>0.12070889999999999</v>
      </c>
      <c r="I157">
        <v>0.18356749999999999</v>
      </c>
      <c r="J157">
        <v>0.1676569</v>
      </c>
      <c r="K157">
        <v>0.13724140000000001</v>
      </c>
      <c r="L157" s="3">
        <v>8.2917210000000002E-3</v>
      </c>
      <c r="M157" s="3">
        <v>6.5897940000000002E-2</v>
      </c>
      <c r="N157" s="3">
        <v>4.6035769999999997E-2</v>
      </c>
      <c r="O157" s="3">
        <v>2.477789E-2</v>
      </c>
      <c r="P157">
        <v>5.4084300000000002E-2</v>
      </c>
      <c r="Q157" s="3">
        <v>-1.5527249999999999E-2</v>
      </c>
      <c r="R157" s="3">
        <v>-2.820539E-2</v>
      </c>
      <c r="S157" s="3">
        <v>1.788998E-2</v>
      </c>
      <c r="T157" s="3">
        <v>-5.2819249999999998E-2</v>
      </c>
      <c r="U157" s="3">
        <v>-6.1934950000000003E-2</v>
      </c>
      <c r="V157" s="3">
        <v>-7.9513550000000002E-2</v>
      </c>
    </row>
    <row r="158" spans="1:38" x14ac:dyDescent="0.25">
      <c r="A158">
        <v>11928.52</v>
      </c>
      <c r="B158">
        <v>9116</v>
      </c>
      <c r="C158">
        <v>6744</v>
      </c>
      <c r="D158">
        <v>1</v>
      </c>
      <c r="E158">
        <v>1</v>
      </c>
      <c r="F158" t="s">
        <v>13</v>
      </c>
      <c r="G158">
        <v>-0.1072598</v>
      </c>
      <c r="H158">
        <v>-0.12279080000000001</v>
      </c>
      <c r="I158">
        <v>-0.14160539999999999</v>
      </c>
      <c r="J158">
        <v>-0.15292310000000001</v>
      </c>
      <c r="K158">
        <v>-0.16521739999999999</v>
      </c>
      <c r="L158">
        <v>-0.1801548</v>
      </c>
      <c r="M158">
        <v>-0.18732789999999999</v>
      </c>
      <c r="N158">
        <v>-0.2022591</v>
      </c>
      <c r="O158">
        <v>-0.23187830000000001</v>
      </c>
      <c r="P158">
        <v>-0.2796187</v>
      </c>
      <c r="Q158">
        <v>-0.3590565</v>
      </c>
      <c r="R158">
        <v>-0.46484330000000001</v>
      </c>
      <c r="S158">
        <v>-0.53854849999999999</v>
      </c>
      <c r="T158">
        <v>-0.64998049999999996</v>
      </c>
      <c r="U158">
        <v>-1.118957</v>
      </c>
      <c r="V158">
        <v>-1.151864</v>
      </c>
      <c r="AB158" s="3"/>
      <c r="AC158" s="3"/>
      <c r="AD158" s="3"/>
      <c r="AE158" s="3"/>
      <c r="AG158" s="3"/>
      <c r="AH158" s="3"/>
      <c r="AI158" s="3"/>
      <c r="AJ158" s="3"/>
      <c r="AK158" s="3"/>
      <c r="AL158" s="3"/>
    </row>
    <row r="159" spans="1:38" x14ac:dyDescent="0.25">
      <c r="A159" t="s">
        <v>263</v>
      </c>
    </row>
    <row r="160" spans="1:38" x14ac:dyDescent="0.25">
      <c r="A160">
        <v>11938.15</v>
      </c>
      <c r="B160">
        <v>9116</v>
      </c>
      <c r="C160">
        <v>6742</v>
      </c>
      <c r="D160">
        <v>1</v>
      </c>
      <c r="E160">
        <v>1</v>
      </c>
      <c r="F160" t="s">
        <v>13</v>
      </c>
      <c r="G160">
        <v>-0.19234850000000001</v>
      </c>
      <c r="H160">
        <v>0.1862607</v>
      </c>
      <c r="I160">
        <v>0.17070630000000001</v>
      </c>
      <c r="J160">
        <v>0.12618589999999999</v>
      </c>
      <c r="K160">
        <v>9.3303200000000003E-2</v>
      </c>
      <c r="L160" s="3">
        <v>4.4589039999999996E-3</v>
      </c>
      <c r="M160" s="3">
        <v>2.6093479999999999E-2</v>
      </c>
      <c r="N160" s="3">
        <v>1.077271E-2</v>
      </c>
      <c r="O160" s="3">
        <v>-8.0027580000000004E-3</v>
      </c>
      <c r="P160" s="3">
        <v>5.3542609999999997E-2</v>
      </c>
      <c r="Q160" s="3">
        <v>-4.4831280000000001E-2</v>
      </c>
      <c r="R160" s="3">
        <v>-5.7000639999999998E-2</v>
      </c>
      <c r="S160" s="3">
        <v>1.8424510000000002E-2</v>
      </c>
      <c r="T160" s="3">
        <v>-8.5864070000000001E-2</v>
      </c>
      <c r="U160" s="3">
        <v>-9.9335670000000001E-2</v>
      </c>
      <c r="V160">
        <v>-0.12211610000000001</v>
      </c>
    </row>
    <row r="161" spans="1:59" x14ac:dyDescent="0.25">
      <c r="A161">
        <v>11938.17</v>
      </c>
      <c r="B161">
        <v>9116</v>
      </c>
      <c r="C161">
        <v>6744</v>
      </c>
      <c r="D161">
        <v>1</v>
      </c>
      <c r="E161">
        <v>1</v>
      </c>
      <c r="F161" t="s">
        <v>13</v>
      </c>
      <c r="G161">
        <v>-0.15364030000000001</v>
      </c>
      <c r="H161">
        <v>-0.1992526</v>
      </c>
      <c r="I161">
        <v>-0.21257970000000001</v>
      </c>
      <c r="J161">
        <v>-0.22439339999999999</v>
      </c>
      <c r="K161">
        <v>-0.22931860000000001</v>
      </c>
      <c r="L161">
        <v>-0.23172280000000001</v>
      </c>
      <c r="M161">
        <v>-0.2124267</v>
      </c>
      <c r="N161">
        <v>-0.20483779999999999</v>
      </c>
      <c r="O161">
        <v>-0.20268820000000001</v>
      </c>
      <c r="P161">
        <v>-0.19911000000000001</v>
      </c>
      <c r="Q161">
        <v>-0.1972265</v>
      </c>
      <c r="R161">
        <v>-0.1974158</v>
      </c>
      <c r="S161">
        <v>-0.1920347</v>
      </c>
      <c r="T161">
        <v>-0.19744059999999999</v>
      </c>
      <c r="U161">
        <v>-0.19487950000000001</v>
      </c>
      <c r="V161">
        <v>-0.19315199999999999</v>
      </c>
      <c r="AB161" s="3"/>
      <c r="AC161" s="3"/>
      <c r="AD161" s="3"/>
      <c r="AE161" s="3"/>
      <c r="AF161" s="3"/>
      <c r="AG161" s="3"/>
      <c r="AH161" s="3"/>
      <c r="AI161" s="3"/>
      <c r="AJ161" s="3"/>
      <c r="AK161" s="3"/>
    </row>
    <row r="162" spans="1:59" x14ac:dyDescent="0.25">
      <c r="A162" t="s">
        <v>264</v>
      </c>
    </row>
    <row r="163" spans="1:59" x14ac:dyDescent="0.25">
      <c r="A163">
        <v>11947.59</v>
      </c>
      <c r="B163">
        <v>9116</v>
      </c>
      <c r="C163">
        <v>6742</v>
      </c>
      <c r="D163">
        <v>1</v>
      </c>
      <c r="E163">
        <v>1</v>
      </c>
      <c r="F163" t="s">
        <v>13</v>
      </c>
      <c r="G163">
        <v>-0.1898637</v>
      </c>
      <c r="H163">
        <v>0.1913705</v>
      </c>
      <c r="I163">
        <v>0.17370179999999999</v>
      </c>
      <c r="J163">
        <v>0.12721869999999999</v>
      </c>
      <c r="K163">
        <v>9.2613699999999993E-2</v>
      </c>
      <c r="L163" s="3">
        <v>3.9381980000000004E-3</v>
      </c>
      <c r="M163" s="3">
        <v>2.2555349999999998E-2</v>
      </c>
      <c r="N163" s="3">
        <v>6.9131849999999996E-3</v>
      </c>
      <c r="O163" s="3">
        <v>-1.323366E-2</v>
      </c>
      <c r="P163" s="3">
        <v>5.2670960000000003E-2</v>
      </c>
      <c r="Q163" s="3">
        <v>-5.1983359999999999E-2</v>
      </c>
      <c r="R163">
        <v>-6.4822199999999996E-2</v>
      </c>
      <c r="S163" s="3">
        <v>1.8959520000000001E-2</v>
      </c>
      <c r="T163" s="3">
        <v>-9.5255370000000006E-2</v>
      </c>
      <c r="U163">
        <v>-0.108686</v>
      </c>
      <c r="V163">
        <v>-0.1326628</v>
      </c>
    </row>
    <row r="164" spans="1:59" x14ac:dyDescent="0.25">
      <c r="A164">
        <v>11947.61</v>
      </c>
      <c r="B164">
        <v>9116</v>
      </c>
      <c r="C164">
        <v>6744</v>
      </c>
      <c r="D164">
        <v>1</v>
      </c>
      <c r="E164">
        <v>1</v>
      </c>
      <c r="F164" t="s">
        <v>13</v>
      </c>
      <c r="G164">
        <v>-0.1647758</v>
      </c>
      <c r="H164">
        <v>-0.21096229999999999</v>
      </c>
      <c r="I164">
        <v>-0.2264118</v>
      </c>
      <c r="J164">
        <v>-0.2381296</v>
      </c>
      <c r="K164">
        <v>-0.2443881</v>
      </c>
      <c r="L164">
        <v>-0.24753520000000001</v>
      </c>
      <c r="M164">
        <v>-0.22584580000000001</v>
      </c>
      <c r="N164">
        <v>-0.21653220000000001</v>
      </c>
      <c r="O164">
        <v>-0.2131371</v>
      </c>
      <c r="P164">
        <v>-0.20945169999999999</v>
      </c>
      <c r="Q164">
        <v>-0.20828289999999999</v>
      </c>
      <c r="R164">
        <v>-0.20774509999999999</v>
      </c>
      <c r="S164">
        <v>-0.20346020000000001</v>
      </c>
      <c r="T164">
        <v>-0.2087493</v>
      </c>
      <c r="U164">
        <v>-0.2060661</v>
      </c>
      <c r="V164">
        <v>-0.20390800000000001</v>
      </c>
      <c r="AB164" s="3"/>
      <c r="AC164" s="3"/>
      <c r="AD164" s="3"/>
      <c r="AE164" s="3"/>
      <c r="AF164" s="3"/>
      <c r="AG164" s="3"/>
      <c r="AI164" s="3"/>
      <c r="AJ164" s="3"/>
    </row>
    <row r="166" spans="1:59" x14ac:dyDescent="0.25">
      <c r="D166" s="16" t="s">
        <v>315</v>
      </c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X166" s="9" t="s">
        <v>312</v>
      </c>
      <c r="Y166" s="10" t="s">
        <v>313</v>
      </c>
    </row>
    <row r="167" spans="1:59" x14ac:dyDescent="0.25">
      <c r="J167" s="14" t="s">
        <v>321</v>
      </c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</row>
    <row r="168" spans="1:59" x14ac:dyDescent="0.25">
      <c r="E168" t="s">
        <v>316</v>
      </c>
      <c r="F168" t="s">
        <v>317</v>
      </c>
      <c r="G168" t="s">
        <v>318</v>
      </c>
      <c r="H168" t="s">
        <v>67</v>
      </c>
      <c r="I168" t="s">
        <v>68</v>
      </c>
      <c r="J168" t="s">
        <v>320</v>
      </c>
      <c r="K168">
        <v>0</v>
      </c>
      <c r="L168">
        <v>-4</v>
      </c>
      <c r="M168">
        <v>-3</v>
      </c>
      <c r="N168">
        <v>-2</v>
      </c>
      <c r="O168">
        <v>-1</v>
      </c>
      <c r="P168">
        <v>0</v>
      </c>
      <c r="Q168">
        <v>1</v>
      </c>
      <c r="R168">
        <v>2</v>
      </c>
      <c r="S168">
        <v>3</v>
      </c>
      <c r="T168">
        <v>4</v>
      </c>
      <c r="U168">
        <v>5</v>
      </c>
      <c r="V168">
        <v>6</v>
      </c>
      <c r="W168">
        <v>7</v>
      </c>
      <c r="X168">
        <v>8</v>
      </c>
      <c r="Y168">
        <v>9</v>
      </c>
      <c r="Z168">
        <v>10</v>
      </c>
      <c r="AA168">
        <v>11</v>
      </c>
      <c r="AB168">
        <v>12</v>
      </c>
      <c r="AC168">
        <v>13</v>
      </c>
      <c r="AD168">
        <v>14</v>
      </c>
      <c r="AE168">
        <v>15</v>
      </c>
      <c r="AF168">
        <v>16</v>
      </c>
      <c r="AG168">
        <v>17</v>
      </c>
      <c r="AH168">
        <v>18</v>
      </c>
      <c r="AI168" t="s">
        <v>322</v>
      </c>
      <c r="AJ168" t="s">
        <v>74</v>
      </c>
      <c r="AK168">
        <v>-4</v>
      </c>
      <c r="AL168">
        <v>-3</v>
      </c>
      <c r="AM168">
        <v>-2</v>
      </c>
      <c r="AN168">
        <v>-1</v>
      </c>
      <c r="AO168">
        <v>0</v>
      </c>
      <c r="AP168">
        <v>1</v>
      </c>
      <c r="AQ168">
        <v>2</v>
      </c>
      <c r="AR168">
        <v>3</v>
      </c>
      <c r="AS168">
        <v>4</v>
      </c>
      <c r="AT168">
        <v>5</v>
      </c>
      <c r="AU168">
        <v>6</v>
      </c>
      <c r="AV168">
        <v>7</v>
      </c>
      <c r="AW168">
        <v>8</v>
      </c>
      <c r="AX168">
        <v>9</v>
      </c>
      <c r="AY168">
        <v>10</v>
      </c>
      <c r="AZ168">
        <v>11</v>
      </c>
      <c r="BA168">
        <v>12</v>
      </c>
      <c r="BB168">
        <v>13</v>
      </c>
      <c r="BC168">
        <v>14</v>
      </c>
      <c r="BD168">
        <v>15</v>
      </c>
      <c r="BE168">
        <v>16</v>
      </c>
      <c r="BF168">
        <v>17</v>
      </c>
      <c r="BG168">
        <v>18</v>
      </c>
    </row>
    <row r="169" spans="1:59" x14ac:dyDescent="0.25">
      <c r="D169" s="12" t="s">
        <v>313</v>
      </c>
      <c r="E169">
        <v>1</v>
      </c>
      <c r="F169">
        <v>0</v>
      </c>
      <c r="G169">
        <v>0</v>
      </c>
      <c r="H169">
        <v>0</v>
      </c>
      <c r="I169">
        <v>0</v>
      </c>
      <c r="J169" t="s">
        <v>14</v>
      </c>
      <c r="K169">
        <v>-6.1464310000000004E-4</v>
      </c>
      <c r="L169">
        <v>-9.7381110000000007E-2</v>
      </c>
      <c r="M169">
        <v>1.3341900000000001E-3</v>
      </c>
      <c r="N169">
        <v>8.2496169999999994E-2</v>
      </c>
      <c r="O169">
        <v>0.14430480000000001</v>
      </c>
      <c r="P169">
        <v>0.18514920000000001</v>
      </c>
      <c r="Q169">
        <v>0.20753150000000001</v>
      </c>
      <c r="R169">
        <v>0.2123179</v>
      </c>
      <c r="S169">
        <v>0.20521590000000001</v>
      </c>
      <c r="T169">
        <v>0.17892649999999999</v>
      </c>
      <c r="U169">
        <v>0.1320472</v>
      </c>
      <c r="V169">
        <v>6.1889649999999997E-2</v>
      </c>
      <c r="W169">
        <v>-3.0269620000000001E-2</v>
      </c>
      <c r="X169">
        <v>-0.14353750000000001</v>
      </c>
      <c r="Y169">
        <v>-0.26103880000000002</v>
      </c>
      <c r="Z169">
        <v>-0.38223980000000002</v>
      </c>
      <c r="AA169">
        <v>-0.51777890000000004</v>
      </c>
      <c r="AB169">
        <v>-0.67457820000000002</v>
      </c>
      <c r="AC169">
        <v>-0.82441620000000004</v>
      </c>
      <c r="AD169">
        <v>-0.9632096</v>
      </c>
      <c r="AE169">
        <v>-1.1236109999999999</v>
      </c>
      <c r="AF169">
        <v>-1.0674459999999999</v>
      </c>
      <c r="AG169">
        <v>-0.19234850000000001</v>
      </c>
      <c r="AH169">
        <v>-0.1898637</v>
      </c>
      <c r="AI169" s="3">
        <f>(0.5*Q14*H14^2)*144</f>
        <v>5276.1897150903051</v>
      </c>
      <c r="AJ169" t="s">
        <v>323</v>
      </c>
      <c r="AK169" s="3">
        <f>(L169/$AI$169)</f>
        <v>-1.8456711236421731E-5</v>
      </c>
      <c r="AL169" s="3">
        <f t="shared" ref="AL169:BG180" si="5">(M169/$AI$169)</f>
        <v>2.5286998232533509E-7</v>
      </c>
      <c r="AM169" s="3">
        <f t="shared" si="5"/>
        <v>1.5635557941378539E-5</v>
      </c>
      <c r="AN169" s="3">
        <f t="shared" si="5"/>
        <v>2.7350191670947174E-5</v>
      </c>
      <c r="AO169" s="3">
        <f t="shared" si="5"/>
        <v>3.5091459935653785E-5</v>
      </c>
      <c r="AP169" s="3">
        <f t="shared" si="5"/>
        <v>3.9333593219069452E-5</v>
      </c>
      <c r="AQ169" s="3">
        <f t="shared" si="5"/>
        <v>4.0240763025020616E-5</v>
      </c>
      <c r="AR169" s="3">
        <f t="shared" si="5"/>
        <v>3.8894715899442901E-5</v>
      </c>
      <c r="AS169" s="3">
        <f t="shared" si="5"/>
        <v>3.3912067166246228E-5</v>
      </c>
      <c r="AT169" s="3">
        <f t="shared" si="5"/>
        <v>2.5027000000082433E-5</v>
      </c>
      <c r="AU169" s="3">
        <f t="shared" si="5"/>
        <v>1.1729989507957016E-5</v>
      </c>
      <c r="AV169" s="3">
        <f t="shared" si="5"/>
        <v>-5.7370226687312968E-6</v>
      </c>
      <c r="AW169" s="3">
        <f t="shared" si="5"/>
        <v>-2.7204764754662218E-5</v>
      </c>
      <c r="AX169" s="3">
        <f t="shared" si="5"/>
        <v>-4.9474869952725378E-5</v>
      </c>
      <c r="AY169" s="3">
        <f t="shared" si="5"/>
        <v>-7.2446181930639272E-5</v>
      </c>
      <c r="AZ169" s="3">
        <f t="shared" si="5"/>
        <v>-9.8135004228356849E-5</v>
      </c>
      <c r="BA169" s="3">
        <f t="shared" si="5"/>
        <v>-1.2785328739614024E-4</v>
      </c>
      <c r="BB169" s="3">
        <f t="shared" si="5"/>
        <v>-1.5625219040970169E-4</v>
      </c>
      <c r="BC169" s="3">
        <f t="shared" si="5"/>
        <v>-1.8255780250758365E-4</v>
      </c>
      <c r="BD169" s="3">
        <f t="shared" si="5"/>
        <v>-2.129587942576035E-4</v>
      </c>
      <c r="BE169" s="3">
        <f t="shared" si="5"/>
        <v>-2.0231380174731453E-4</v>
      </c>
      <c r="BF169" s="3">
        <f t="shared" si="5"/>
        <v>-3.6455948399631766E-5</v>
      </c>
      <c r="BG169" s="3">
        <f t="shared" si="5"/>
        <v>-3.59850024833215E-5</v>
      </c>
    </row>
    <row r="170" spans="1:59" x14ac:dyDescent="0.25">
      <c r="D170" s="12"/>
      <c r="E170">
        <v>2</v>
      </c>
      <c r="F170">
        <v>1.2500000000000001E-2</v>
      </c>
      <c r="G170">
        <v>-1.8939999999999999E-2</v>
      </c>
      <c r="H170">
        <v>0.1</v>
      </c>
      <c r="I170">
        <v>-0.15151999999999999</v>
      </c>
      <c r="J170" t="s">
        <v>15</v>
      </c>
      <c r="K170">
        <v>-6.4849850000000002E-4</v>
      </c>
      <c r="L170">
        <v>-0.66208409999999995</v>
      </c>
      <c r="M170">
        <v>-0.54388139999999996</v>
      </c>
      <c r="N170">
        <v>-0.43188290000000001</v>
      </c>
      <c r="O170">
        <v>-0.3370128</v>
      </c>
      <c r="P170">
        <v>-0.24316979999999999</v>
      </c>
      <c r="Q170">
        <v>-0.16111900000000001</v>
      </c>
      <c r="R170">
        <v>-8.7457660000000007E-2</v>
      </c>
      <c r="S170">
        <v>-1.7777439999999999E-2</v>
      </c>
      <c r="T170">
        <v>4.4933319999999999E-2</v>
      </c>
      <c r="U170">
        <v>9.65395E-2</v>
      </c>
      <c r="V170">
        <v>0.1374726</v>
      </c>
      <c r="W170">
        <v>0.16725209999999999</v>
      </c>
      <c r="X170">
        <v>0.1866746</v>
      </c>
      <c r="Y170">
        <v>0.19416</v>
      </c>
      <c r="Z170">
        <v>0.19380810000000001</v>
      </c>
      <c r="AA170">
        <v>0.18788389999999999</v>
      </c>
      <c r="AB170">
        <v>0.17979239999999999</v>
      </c>
      <c r="AC170">
        <v>0.16269919999999999</v>
      </c>
      <c r="AD170">
        <v>0.1419907</v>
      </c>
      <c r="AE170">
        <v>0.12278509999999999</v>
      </c>
      <c r="AF170">
        <v>0.12070889999999999</v>
      </c>
      <c r="AG170">
        <v>0.1862607</v>
      </c>
      <c r="AH170">
        <v>0.1913705</v>
      </c>
      <c r="AJ170" t="s">
        <v>324</v>
      </c>
      <c r="AK170" s="3">
        <f t="shared" ref="AK170:AK200" si="6">(L170/$AI$169)</f>
        <v>-1.2548527171158931E-4</v>
      </c>
      <c r="AL170" s="3">
        <f t="shared" si="5"/>
        <v>-1.0308222967124508E-4</v>
      </c>
      <c r="AM170" s="3">
        <f t="shared" si="5"/>
        <v>-8.1855074082113079E-5</v>
      </c>
      <c r="AN170" s="3">
        <f t="shared" si="5"/>
        <v>-6.3874276361996173E-5</v>
      </c>
      <c r="AO170" s="3">
        <f t="shared" si="5"/>
        <v>-4.6088145637469366E-5</v>
      </c>
      <c r="AP170" s="3">
        <f t="shared" si="5"/>
        <v>-3.0536998989855764E-5</v>
      </c>
      <c r="AQ170" s="3">
        <f t="shared" si="5"/>
        <v>-1.6575912679914527E-5</v>
      </c>
      <c r="AR170" s="3">
        <f t="shared" si="5"/>
        <v>-3.3693708831498543E-6</v>
      </c>
      <c r="AS170" s="3">
        <f t="shared" si="5"/>
        <v>8.5162441887726817E-6</v>
      </c>
      <c r="AT170" s="3">
        <f t="shared" si="5"/>
        <v>1.8297200292834365E-5</v>
      </c>
      <c r="AU170" s="3">
        <f t="shared" si="5"/>
        <v>2.6055279931807207E-5</v>
      </c>
      <c r="AV170" s="3">
        <f t="shared" si="5"/>
        <v>3.1699409807355147E-5</v>
      </c>
      <c r="AW170" s="3">
        <f t="shared" si="5"/>
        <v>3.5380570085661705E-5</v>
      </c>
      <c r="AX170" s="3">
        <f t="shared" si="5"/>
        <v>3.6799283286703582E-5</v>
      </c>
      <c r="AY170" s="3">
        <f t="shared" si="5"/>
        <v>3.6732587428707131E-5</v>
      </c>
      <c r="AZ170" s="3">
        <f t="shared" si="5"/>
        <v>3.5609769577207906E-5</v>
      </c>
      <c r="BA170" s="3">
        <f t="shared" si="5"/>
        <v>3.4076181810858696E-5</v>
      </c>
      <c r="BB170" s="3">
        <f t="shared" si="5"/>
        <v>3.0836495422950366E-5</v>
      </c>
      <c r="BC170" s="3">
        <f t="shared" si="5"/>
        <v>2.6911598647390513E-5</v>
      </c>
      <c r="BD170" s="3">
        <f t="shared" si="5"/>
        <v>2.3271547580790215E-5</v>
      </c>
      <c r="BE170" s="3">
        <f t="shared" si="5"/>
        <v>2.2878043913918282E-5</v>
      </c>
      <c r="BF170" s="3">
        <f t="shared" si="5"/>
        <v>3.5302123323443087E-5</v>
      </c>
      <c r="BG170" s="3">
        <f t="shared" si="5"/>
        <v>3.6270587362062772E-5</v>
      </c>
    </row>
    <row r="171" spans="1:59" x14ac:dyDescent="0.25">
      <c r="D171" s="12"/>
      <c r="E171">
        <v>3</v>
      </c>
      <c r="F171">
        <v>2.5000000000000001E-2</v>
      </c>
      <c r="G171">
        <v>-2.615E-2</v>
      </c>
      <c r="H171">
        <v>0.2</v>
      </c>
      <c r="I171">
        <v>-0.2092</v>
      </c>
      <c r="J171" t="s">
        <v>16</v>
      </c>
      <c r="K171">
        <v>-4.6157840000000001E-4</v>
      </c>
      <c r="L171">
        <v>-0.57179210000000003</v>
      </c>
      <c r="M171">
        <v>-0.49067640000000001</v>
      </c>
      <c r="N171">
        <v>-0.41639520000000002</v>
      </c>
      <c r="O171">
        <v>-0.34651520000000002</v>
      </c>
      <c r="P171">
        <v>-0.27520939999999999</v>
      </c>
      <c r="Q171">
        <v>-0.2121768</v>
      </c>
      <c r="R171">
        <v>-0.15301319999999999</v>
      </c>
      <c r="S171">
        <v>-9.3681340000000002E-2</v>
      </c>
      <c r="T171">
        <v>-3.6263940000000001E-2</v>
      </c>
      <c r="U171">
        <v>1.4818670000000001E-2</v>
      </c>
      <c r="V171">
        <v>5.958509E-2</v>
      </c>
      <c r="W171">
        <v>9.6936229999999998E-2</v>
      </c>
      <c r="X171">
        <v>0.1286621</v>
      </c>
      <c r="Y171">
        <v>0.1515927</v>
      </c>
      <c r="Z171">
        <v>0.1671</v>
      </c>
      <c r="AA171">
        <v>0.17723179999999999</v>
      </c>
      <c r="AB171">
        <v>0.18646960000000001</v>
      </c>
      <c r="AC171">
        <v>0.1885848</v>
      </c>
      <c r="AD171">
        <v>0.18611620000000001</v>
      </c>
      <c r="AE171">
        <v>0.1873493</v>
      </c>
      <c r="AF171">
        <v>0.18356749999999999</v>
      </c>
      <c r="AG171">
        <v>0.17070630000000001</v>
      </c>
      <c r="AH171">
        <v>0.17370179999999999</v>
      </c>
      <c r="AJ171" t="s">
        <v>325</v>
      </c>
      <c r="AK171" s="3">
        <f t="shared" si="6"/>
        <v>-1.0837216454985138E-4</v>
      </c>
      <c r="AL171" s="3">
        <f t="shared" si="5"/>
        <v>-9.2998248072207883E-5</v>
      </c>
      <c r="AM171" s="3">
        <f t="shared" si="5"/>
        <v>-7.891967925434485E-5</v>
      </c>
      <c r="AN171" s="3">
        <f t="shared" si="5"/>
        <v>-6.5675273011684952E-5</v>
      </c>
      <c r="AO171" s="3">
        <f t="shared" si="5"/>
        <v>-5.2160633878057894E-5</v>
      </c>
      <c r="AP171" s="3">
        <f t="shared" si="5"/>
        <v>-4.0214020241379527E-5</v>
      </c>
      <c r="AQ171" s="3">
        <f t="shared" si="5"/>
        <v>-2.9000700934306924E-5</v>
      </c>
      <c r="AR171" s="3">
        <f t="shared" si="5"/>
        <v>-1.7755491189421075E-5</v>
      </c>
      <c r="AS171" s="3">
        <f t="shared" si="5"/>
        <v>-6.8731304138443635E-6</v>
      </c>
      <c r="AT171" s="3">
        <f t="shared" si="5"/>
        <v>2.8085930946754006E-6</v>
      </c>
      <c r="AU171" s="3">
        <f t="shared" si="5"/>
        <v>1.1293204607404867E-5</v>
      </c>
      <c r="AV171" s="3">
        <f t="shared" si="5"/>
        <v>1.8372392812706295E-5</v>
      </c>
      <c r="AW171" s="3">
        <f t="shared" si="5"/>
        <v>2.4385419582623533E-5</v>
      </c>
      <c r="AX171" s="3">
        <f t="shared" si="5"/>
        <v>2.8731472556120055E-5</v>
      </c>
      <c r="AY171" s="3">
        <f t="shared" si="5"/>
        <v>3.1670582185868192E-5</v>
      </c>
      <c r="AZ171" s="3">
        <f t="shared" si="5"/>
        <v>3.3590869466483269E-5</v>
      </c>
      <c r="BA171" s="3">
        <f t="shared" si="5"/>
        <v>3.5341716289443258E-5</v>
      </c>
      <c r="BB171" s="3">
        <f t="shared" si="5"/>
        <v>3.574261165413235E-5</v>
      </c>
      <c r="BC171" s="3">
        <f t="shared" si="5"/>
        <v>3.5274736135376913E-5</v>
      </c>
      <c r="BD171" s="3">
        <f t="shared" si="5"/>
        <v>3.550844645789872E-5</v>
      </c>
      <c r="BE171" s="3">
        <f t="shared" si="5"/>
        <v>3.4791679206489289E-5</v>
      </c>
      <c r="BF171" s="3">
        <f t="shared" si="5"/>
        <v>3.2354086797100373E-5</v>
      </c>
      <c r="BG171" s="3">
        <f t="shared" si="5"/>
        <v>3.292182604867289E-5</v>
      </c>
    </row>
    <row r="172" spans="1:59" x14ac:dyDescent="0.25">
      <c r="D172" s="12"/>
      <c r="E172">
        <v>4</v>
      </c>
      <c r="F172">
        <v>0.05</v>
      </c>
      <c r="G172">
        <v>-3.5549999999999998E-2</v>
      </c>
      <c r="H172">
        <v>0.4</v>
      </c>
      <c r="I172">
        <v>-0.28439999999999999</v>
      </c>
      <c r="J172" t="s">
        <v>17</v>
      </c>
      <c r="K172">
        <v>3.9632319999999999E-2</v>
      </c>
      <c r="L172">
        <v>-0.46573969999999998</v>
      </c>
      <c r="M172">
        <v>-0.4136629</v>
      </c>
      <c r="N172">
        <v>-0.3617496</v>
      </c>
      <c r="O172">
        <v>-0.31430200000000003</v>
      </c>
      <c r="P172">
        <v>-0.26461030000000002</v>
      </c>
      <c r="Q172">
        <v>-0.2199035</v>
      </c>
      <c r="R172">
        <v>-0.17605109999999999</v>
      </c>
      <c r="S172">
        <v>-0.13082460000000001</v>
      </c>
      <c r="T172">
        <v>-8.4902759999999994E-2</v>
      </c>
      <c r="U172">
        <v>-4.2586800000000001E-2</v>
      </c>
      <c r="V172">
        <v>-3.3898349999999999E-3</v>
      </c>
      <c r="W172">
        <v>3.1187530000000002E-2</v>
      </c>
      <c r="X172">
        <v>6.3212870000000004E-2</v>
      </c>
      <c r="Y172">
        <v>8.8156219999999993E-2</v>
      </c>
      <c r="Z172">
        <v>0.1084595</v>
      </c>
      <c r="AA172">
        <v>0.12565989999999999</v>
      </c>
      <c r="AB172">
        <v>0.14253850000000001</v>
      </c>
      <c r="AC172">
        <v>0.15372420000000001</v>
      </c>
      <c r="AD172">
        <v>0.16180900000000001</v>
      </c>
      <c r="AE172">
        <v>0.17144580000000001</v>
      </c>
      <c r="AF172">
        <v>0.1676569</v>
      </c>
      <c r="AG172">
        <v>0.12618589999999999</v>
      </c>
      <c r="AH172">
        <v>0.12721869999999999</v>
      </c>
      <c r="AJ172" t="s">
        <v>326</v>
      </c>
      <c r="AK172" s="3">
        <f t="shared" si="6"/>
        <v>-8.8271977534839E-5</v>
      </c>
      <c r="AL172" s="3">
        <f t="shared" si="5"/>
        <v>-7.8401824486502546E-5</v>
      </c>
      <c r="AM172" s="3">
        <f t="shared" si="5"/>
        <v>-6.8562659709784236E-5</v>
      </c>
      <c r="AN172" s="3">
        <f t="shared" si="5"/>
        <v>-5.9569882239274364E-5</v>
      </c>
      <c r="AO172" s="3">
        <f t="shared" si="5"/>
        <v>-5.015177889513608E-5</v>
      </c>
      <c r="AP172" s="3">
        <f t="shared" si="5"/>
        <v>-4.1678467203531216E-5</v>
      </c>
      <c r="AQ172" s="3">
        <f t="shared" si="5"/>
        <v>-3.3367090553336321E-5</v>
      </c>
      <c r="AR172" s="3">
        <f t="shared" si="5"/>
        <v>-2.4795279750049866E-5</v>
      </c>
      <c r="AS172" s="3">
        <f t="shared" si="5"/>
        <v>-1.6091680660604684E-5</v>
      </c>
      <c r="AT172" s="3">
        <f t="shared" si="5"/>
        <v>-8.0715065794921109E-6</v>
      </c>
      <c r="AU172" s="3">
        <f t="shared" si="5"/>
        <v>-6.42477845386191E-7</v>
      </c>
      <c r="AV172" s="3">
        <f t="shared" si="5"/>
        <v>5.9109948057404545E-6</v>
      </c>
      <c r="AW172" s="3">
        <f t="shared" si="5"/>
        <v>1.1980780338357883E-5</v>
      </c>
      <c r="AX172" s="3">
        <f t="shared" si="5"/>
        <v>1.6708311254969942E-5</v>
      </c>
      <c r="AY172" s="3">
        <f t="shared" si="5"/>
        <v>2.0556406394902283E-5</v>
      </c>
      <c r="AZ172" s="3">
        <f t="shared" si="5"/>
        <v>2.3816410475272164E-5</v>
      </c>
      <c r="BA172" s="3">
        <f t="shared" si="5"/>
        <v>2.7015423572114745E-5</v>
      </c>
      <c r="BB172" s="3">
        <f t="shared" si="5"/>
        <v>2.9135457271435308E-5</v>
      </c>
      <c r="BC172" s="3">
        <f t="shared" si="5"/>
        <v>3.0667775182005665E-5</v>
      </c>
      <c r="BD172" s="3">
        <f t="shared" si="5"/>
        <v>3.2494244759556682E-5</v>
      </c>
      <c r="BE172" s="3">
        <f t="shared" si="5"/>
        <v>3.1776131840083097E-5</v>
      </c>
      <c r="BF172" s="3">
        <f t="shared" si="5"/>
        <v>2.3916103630447308E-5</v>
      </c>
      <c r="BG172" s="3">
        <f t="shared" si="5"/>
        <v>2.4111850951102992E-5</v>
      </c>
    </row>
    <row r="173" spans="1:59" x14ac:dyDescent="0.25">
      <c r="D173" s="12"/>
      <c r="E173">
        <v>5</v>
      </c>
      <c r="F173">
        <v>7.4999999999999997E-2</v>
      </c>
      <c r="G173">
        <v>-4.2000000000000003E-2</v>
      </c>
      <c r="H173">
        <v>0.6</v>
      </c>
      <c r="I173">
        <v>-0.33600000000000002</v>
      </c>
      <c r="J173" t="s">
        <v>18</v>
      </c>
      <c r="K173">
        <v>-2.5653839999999998E-4</v>
      </c>
      <c r="L173">
        <v>-0.4059334</v>
      </c>
      <c r="M173">
        <v>-0.36238769999999998</v>
      </c>
      <c r="N173">
        <v>-0.32263140000000001</v>
      </c>
      <c r="O173">
        <v>-0.28664780000000001</v>
      </c>
      <c r="P173">
        <v>-0.2478986</v>
      </c>
      <c r="Q173">
        <v>-0.2131171</v>
      </c>
      <c r="R173">
        <v>-0.177814</v>
      </c>
      <c r="S173">
        <v>-0.1413064</v>
      </c>
      <c r="T173">
        <v>-0.1030741</v>
      </c>
      <c r="U173">
        <v>-6.759453E-2</v>
      </c>
      <c r="V173">
        <v>-3.3832550000000003E-2</v>
      </c>
      <c r="W173">
        <v>-2.9978750000000001E-3</v>
      </c>
      <c r="X173">
        <v>2.628088E-2</v>
      </c>
      <c r="Y173">
        <v>4.9886229999999997E-2</v>
      </c>
      <c r="Z173">
        <v>6.9009780000000007E-2</v>
      </c>
      <c r="AA173">
        <v>8.692598E-2</v>
      </c>
      <c r="AB173">
        <v>0.10484980000000001</v>
      </c>
      <c r="AC173">
        <v>0.11777260000000001</v>
      </c>
      <c r="AD173">
        <v>0.12879940000000001</v>
      </c>
      <c r="AE173">
        <v>0.13982729999999999</v>
      </c>
      <c r="AF173">
        <v>0.13724140000000001</v>
      </c>
      <c r="AG173">
        <v>9.3303200000000003E-2</v>
      </c>
      <c r="AH173">
        <v>9.2613699999999993E-2</v>
      </c>
      <c r="AJ173" t="s">
        <v>327</v>
      </c>
      <c r="AK173" s="3">
        <f t="shared" si="6"/>
        <v>-7.6936846838353723E-5</v>
      </c>
      <c r="AL173" s="3">
        <f t="shared" si="5"/>
        <v>-6.8683599257915906E-5</v>
      </c>
      <c r="AM173" s="3">
        <f t="shared" si="5"/>
        <v>-6.1148559362308294E-5</v>
      </c>
      <c r="AN173" s="3">
        <f t="shared" si="5"/>
        <v>-5.4328561988619444E-5</v>
      </c>
      <c r="AO173" s="3">
        <f t="shared" si="5"/>
        <v>-4.6984398474336714E-5</v>
      </c>
      <c r="AP173" s="3">
        <f t="shared" si="5"/>
        <v>-4.0392235971058593E-5</v>
      </c>
      <c r="AQ173" s="3">
        <f t="shared" si="5"/>
        <v>-3.3701214247743666E-5</v>
      </c>
      <c r="AR173" s="3">
        <f t="shared" si="5"/>
        <v>-2.6781902780306196E-5</v>
      </c>
      <c r="AS173" s="3">
        <f t="shared" si="5"/>
        <v>-1.9535707691707941E-5</v>
      </c>
      <c r="AT173" s="3">
        <f t="shared" si="5"/>
        <v>-1.2811239483423897E-5</v>
      </c>
      <c r="AU173" s="3">
        <f t="shared" si="5"/>
        <v>-6.4123073329293539E-6</v>
      </c>
      <c r="AV173" s="3">
        <f t="shared" si="5"/>
        <v>-5.6818938701651477E-7</v>
      </c>
      <c r="AW173" s="3">
        <f t="shared" si="5"/>
        <v>4.9810339315196867E-6</v>
      </c>
      <c r="AX173" s="3">
        <f t="shared" si="5"/>
        <v>9.4549727537888891E-6</v>
      </c>
      <c r="AY173" s="3">
        <f t="shared" si="5"/>
        <v>1.3079472825366149E-5</v>
      </c>
      <c r="AZ173" s="3">
        <f t="shared" si="5"/>
        <v>1.6475142990288061E-5</v>
      </c>
      <c r="BA173" s="3">
        <f t="shared" si="5"/>
        <v>1.9872257379245021E-5</v>
      </c>
      <c r="BB173" s="3">
        <f t="shared" si="5"/>
        <v>2.2321524880570799E-5</v>
      </c>
      <c r="BC173" s="3">
        <f t="shared" si="5"/>
        <v>2.4411442149554231E-5</v>
      </c>
      <c r="BD173" s="3">
        <f t="shared" si="5"/>
        <v>2.6501567902322247E-5</v>
      </c>
      <c r="BE173" s="3">
        <f t="shared" si="5"/>
        <v>2.6011460430901327E-5</v>
      </c>
      <c r="BF173" s="3">
        <f t="shared" si="5"/>
        <v>1.7683822045508663E-5</v>
      </c>
      <c r="BG173" s="3">
        <f t="shared" si="5"/>
        <v>1.7553140618715385E-5</v>
      </c>
    </row>
    <row r="174" spans="1:59" x14ac:dyDescent="0.25">
      <c r="D174" s="12"/>
      <c r="E174">
        <v>6</v>
      </c>
      <c r="F174">
        <v>0.1</v>
      </c>
      <c r="G174">
        <v>-4.6829999999999997E-2</v>
      </c>
      <c r="H174">
        <v>0.8</v>
      </c>
      <c r="I174">
        <v>-0.37463999999999997</v>
      </c>
      <c r="J174" t="s">
        <v>19</v>
      </c>
      <c r="K174">
        <v>-6.1178209999999998E-4</v>
      </c>
      <c r="L174">
        <v>-3.5473350000000001E-2</v>
      </c>
      <c r="M174">
        <v>-3.008986E-2</v>
      </c>
      <c r="N174">
        <v>-2.6420590000000001E-2</v>
      </c>
      <c r="O174">
        <v>-2.2600169999999999E-2</v>
      </c>
      <c r="P174">
        <v>-1.9499300000000001E-2</v>
      </c>
      <c r="Q174">
        <v>-1.6547679999999999E-2</v>
      </c>
      <c r="R174">
        <v>-1.377106E-2</v>
      </c>
      <c r="S174">
        <v>-1.099205E-2</v>
      </c>
      <c r="T174">
        <v>-8.3870890000000003E-3</v>
      </c>
      <c r="U174">
        <v>-5.089283E-3</v>
      </c>
      <c r="V174">
        <v>-2.9940610000000001E-3</v>
      </c>
      <c r="W174">
        <v>-1.6045569999999999E-3</v>
      </c>
      <c r="X174">
        <v>-4.1007999999999998E-5</v>
      </c>
      <c r="Y174">
        <v>1.507282E-3</v>
      </c>
      <c r="Z174">
        <v>2.72274E-3</v>
      </c>
      <c r="AA174">
        <v>3.7784580000000002E-3</v>
      </c>
      <c r="AB174">
        <v>5.5146220000000003E-3</v>
      </c>
      <c r="AC174">
        <v>5.8622359999999998E-3</v>
      </c>
      <c r="AD174">
        <v>7.0776939999999998E-3</v>
      </c>
      <c r="AE174">
        <v>7.9460139999999995E-3</v>
      </c>
      <c r="AF174">
        <v>8.2917210000000002E-3</v>
      </c>
      <c r="AG174">
        <v>4.4589039999999996E-3</v>
      </c>
      <c r="AH174">
        <v>3.9381980000000004E-3</v>
      </c>
      <c r="AJ174" t="s">
        <v>328</v>
      </c>
      <c r="AK174" s="3">
        <f t="shared" si="6"/>
        <v>-6.7232893272475619E-6</v>
      </c>
      <c r="AL174" s="3">
        <f t="shared" si="5"/>
        <v>-5.7029526277155468E-6</v>
      </c>
      <c r="AM174" s="3">
        <f t="shared" si="5"/>
        <v>-5.0075132674693442E-6</v>
      </c>
      <c r="AN174" s="3">
        <f t="shared" si="5"/>
        <v>-4.2834263399137811E-6</v>
      </c>
      <c r="AO174" s="3">
        <f t="shared" si="5"/>
        <v>-3.6957162370849773E-6</v>
      </c>
      <c r="AP174" s="3">
        <f t="shared" si="5"/>
        <v>-3.1362935932103372E-6</v>
      </c>
      <c r="AQ174" s="3">
        <f t="shared" si="5"/>
        <v>-2.6100388241563261E-6</v>
      </c>
      <c r="AR174" s="3">
        <f t="shared" si="5"/>
        <v>-2.0833310766976211E-6</v>
      </c>
      <c r="AS174" s="3">
        <f t="shared" si="5"/>
        <v>-1.5896109603512334E-6</v>
      </c>
      <c r="AT174" s="3">
        <f t="shared" si="5"/>
        <v>-9.6457543697571429E-7</v>
      </c>
      <c r="AU174" s="3">
        <f t="shared" si="5"/>
        <v>-5.6746651687613832E-7</v>
      </c>
      <c r="AV174" s="3">
        <f t="shared" si="5"/>
        <v>-3.0411283267749919E-7</v>
      </c>
      <c r="AW174" s="3">
        <f t="shared" si="5"/>
        <v>-7.7722754893960675E-9</v>
      </c>
      <c r="AX174" s="3">
        <f t="shared" si="5"/>
        <v>2.8567623254506156E-7</v>
      </c>
      <c r="AY174" s="3">
        <f t="shared" si="5"/>
        <v>5.1604285422352346E-7</v>
      </c>
      <c r="AZ174" s="3">
        <f t="shared" si="5"/>
        <v>7.1613383976571614E-7</v>
      </c>
      <c r="BA174" s="3">
        <f t="shared" si="5"/>
        <v>1.0451902410233203E-6</v>
      </c>
      <c r="BB174" s="3">
        <f t="shared" si="5"/>
        <v>1.1110737703827363E-6</v>
      </c>
      <c r="BC174" s="3">
        <f t="shared" si="5"/>
        <v>1.3414403920611981E-6</v>
      </c>
      <c r="BD174" s="3">
        <f t="shared" si="5"/>
        <v>1.5060137009997562E-6</v>
      </c>
      <c r="BE174" s="3">
        <f t="shared" si="5"/>
        <v>1.571535795288984E-6</v>
      </c>
      <c r="BF174" s="3">
        <f t="shared" si="5"/>
        <v>8.4509925548112765E-7</v>
      </c>
      <c r="BG174" s="3">
        <f t="shared" si="5"/>
        <v>7.464094759019854E-7</v>
      </c>
    </row>
    <row r="175" spans="1:59" x14ac:dyDescent="0.25">
      <c r="D175" s="12"/>
      <c r="E175">
        <v>7</v>
      </c>
      <c r="F175">
        <v>0.15</v>
      </c>
      <c r="G175">
        <v>-5.3449999999999998E-2</v>
      </c>
      <c r="H175">
        <v>1.2</v>
      </c>
      <c r="I175">
        <v>-0.42759999999999998</v>
      </c>
      <c r="J175" t="s">
        <v>20</v>
      </c>
      <c r="K175">
        <v>-1.2450219999999999E-3</v>
      </c>
      <c r="L175">
        <v>-0.33714719999999998</v>
      </c>
      <c r="M175">
        <v>-0.3067474</v>
      </c>
      <c r="N175">
        <v>-0.282331</v>
      </c>
      <c r="O175">
        <v>-0.26111509999999999</v>
      </c>
      <c r="P175">
        <v>-0.2368999</v>
      </c>
      <c r="Q175">
        <v>-0.21550559999999999</v>
      </c>
      <c r="R175">
        <v>-0.19253439999999999</v>
      </c>
      <c r="S175">
        <v>-0.16668369999999999</v>
      </c>
      <c r="T175">
        <v>-0.13909669999999999</v>
      </c>
      <c r="U175">
        <v>-0.11294269999999999</v>
      </c>
      <c r="V175">
        <v>-8.6733340000000006E-2</v>
      </c>
      <c r="W175">
        <v>-6.1971659999999998E-2</v>
      </c>
      <c r="X175">
        <v>-3.8337709999999997E-2</v>
      </c>
      <c r="Y175">
        <v>-1.8492700000000001E-2</v>
      </c>
      <c r="Z175">
        <v>-9.8085399999999997E-4</v>
      </c>
      <c r="AA175">
        <v>1.515388E-2</v>
      </c>
      <c r="AB175">
        <v>3.1188960000000002E-2</v>
      </c>
      <c r="AC175">
        <v>4.4280050000000001E-2</v>
      </c>
      <c r="AD175">
        <v>5.6353569999999999E-2</v>
      </c>
      <c r="AE175">
        <v>6.749964E-2</v>
      </c>
      <c r="AF175">
        <v>6.5897940000000002E-2</v>
      </c>
      <c r="AG175">
        <v>2.6093479999999999E-2</v>
      </c>
      <c r="AH175">
        <v>2.2555349999999998E-2</v>
      </c>
      <c r="AJ175" t="s">
        <v>329</v>
      </c>
      <c r="AK175" s="3">
        <f t="shared" si="6"/>
        <v>-6.389974928985841E-5</v>
      </c>
      <c r="AL175" s="3">
        <f t="shared" si="5"/>
        <v>-5.8138053512874841E-5</v>
      </c>
      <c r="AM175" s="3">
        <f t="shared" si="5"/>
        <v>-5.3510395805615518E-5</v>
      </c>
      <c r="AN175" s="3">
        <f t="shared" si="5"/>
        <v>-4.9489331146147165E-5</v>
      </c>
      <c r="AO175" s="3">
        <f t="shared" si="5"/>
        <v>-4.4899807018395908E-5</v>
      </c>
      <c r="AP175" s="3">
        <f t="shared" si="5"/>
        <v>-4.0844930079681848E-5</v>
      </c>
      <c r="AQ175" s="3">
        <f t="shared" si="5"/>
        <v>-3.6491182159226939E-5</v>
      </c>
      <c r="AR175" s="3">
        <f t="shared" si="5"/>
        <v>-3.159168054993775E-5</v>
      </c>
      <c r="AS175" s="3">
        <f t="shared" si="5"/>
        <v>-2.6363096763213956E-5</v>
      </c>
      <c r="AT175" s="3">
        <f t="shared" si="5"/>
        <v>-2.1406110488592791E-5</v>
      </c>
      <c r="AU175" s="3">
        <f t="shared" si="5"/>
        <v>-1.6438631793685515E-5</v>
      </c>
      <c r="AV175" s="3">
        <f t="shared" si="5"/>
        <v>-1.1745532921751528E-5</v>
      </c>
      <c r="AW175" s="3">
        <f t="shared" si="5"/>
        <v>-7.2661735210830693E-6</v>
      </c>
      <c r="AX175" s="3">
        <f t="shared" si="5"/>
        <v>-3.5049346211167252E-6</v>
      </c>
      <c r="AY175" s="3">
        <f t="shared" si="5"/>
        <v>-1.8590195822464129E-7</v>
      </c>
      <c r="AZ175" s="3">
        <f t="shared" si="5"/>
        <v>2.8721256850675304E-6</v>
      </c>
      <c r="BA175" s="3">
        <f t="shared" si="5"/>
        <v>5.9112658346604172E-6</v>
      </c>
      <c r="BB175" s="3">
        <f t="shared" si="5"/>
        <v>8.3924294597208442E-6</v>
      </c>
      <c r="BC175" s="3">
        <f t="shared" si="5"/>
        <v>1.0680732316888548E-5</v>
      </c>
      <c r="BD175" s="3">
        <f t="shared" si="5"/>
        <v>1.2793254914042587E-5</v>
      </c>
      <c r="BE175" s="3">
        <f t="shared" si="5"/>
        <v>1.2489683570612874E-5</v>
      </c>
      <c r="BF175" s="3">
        <f t="shared" si="5"/>
        <v>4.9455158758546262E-6</v>
      </c>
      <c r="BG175" s="3">
        <f t="shared" si="5"/>
        <v>4.2749315733454349E-6</v>
      </c>
    </row>
    <row r="176" spans="1:59" x14ac:dyDescent="0.25">
      <c r="D176" s="12"/>
      <c r="E176">
        <v>8</v>
      </c>
      <c r="F176">
        <v>0.2</v>
      </c>
      <c r="G176">
        <v>-5.7369999999999997E-2</v>
      </c>
      <c r="H176">
        <v>1.6</v>
      </c>
      <c r="I176">
        <v>-0.45895999999999998</v>
      </c>
      <c r="J176" t="s">
        <v>21</v>
      </c>
      <c r="K176">
        <v>-1.192093E-4</v>
      </c>
      <c r="L176">
        <v>-0.28523779999999999</v>
      </c>
      <c r="M176">
        <v>-0.27243469999999997</v>
      </c>
      <c r="N176">
        <v>-0.24911259999999999</v>
      </c>
      <c r="O176">
        <v>-0.23105429999999999</v>
      </c>
      <c r="P176">
        <v>-0.2105389</v>
      </c>
      <c r="Q176">
        <v>-0.19283059999999999</v>
      </c>
      <c r="R176">
        <v>-0.17442849999999999</v>
      </c>
      <c r="S176">
        <v>-0.15320919999999999</v>
      </c>
      <c r="T176">
        <v>-0.13023760000000001</v>
      </c>
      <c r="U176">
        <v>-0.10796260000000001</v>
      </c>
      <c r="V176">
        <v>-8.5873130000000006E-2</v>
      </c>
      <c r="W176">
        <v>-6.5353389999999997E-2</v>
      </c>
      <c r="X176">
        <v>-4.5173169999999999E-2</v>
      </c>
      <c r="Y176">
        <v>-2.7983669999999999E-2</v>
      </c>
      <c r="Z176">
        <v>-1.2899880000000001E-2</v>
      </c>
      <c r="AA176">
        <v>1.12772E-3</v>
      </c>
      <c r="AB176">
        <v>1.481009E-2</v>
      </c>
      <c r="AC176">
        <v>2.691317E-2</v>
      </c>
      <c r="AD176">
        <v>3.7614349999999998E-2</v>
      </c>
      <c r="AE176">
        <v>4.7438139999999997E-2</v>
      </c>
      <c r="AF176">
        <v>4.6035769999999997E-2</v>
      </c>
      <c r="AG176">
        <v>1.077271E-2</v>
      </c>
      <c r="AH176">
        <v>6.9131849999999996E-3</v>
      </c>
      <c r="AJ176" t="s">
        <v>330</v>
      </c>
      <c r="AK176" s="3">
        <f t="shared" si="6"/>
        <v>-5.4061323682921811E-5</v>
      </c>
      <c r="AL176" s="3">
        <f t="shared" si="5"/>
        <v>-5.1634743007973338E-5</v>
      </c>
      <c r="AM176" s="3">
        <f t="shared" si="5"/>
        <v>-4.7214488760235239E-5</v>
      </c>
      <c r="AN176" s="3">
        <f t="shared" si="5"/>
        <v>-4.3791886280958977E-5</v>
      </c>
      <c r="AO176" s="3">
        <f t="shared" si="5"/>
        <v>-3.9903587886129772E-5</v>
      </c>
      <c r="AP176" s="3">
        <f t="shared" si="5"/>
        <v>-3.6547321156494764E-5</v>
      </c>
      <c r="AQ176" s="3">
        <f t="shared" si="5"/>
        <v>-3.305955801799946E-5</v>
      </c>
      <c r="AR176" s="3">
        <f t="shared" si="5"/>
        <v>-2.9037848954106026E-5</v>
      </c>
      <c r="AS176" s="3">
        <f t="shared" si="5"/>
        <v>-2.4684025221365814E-5</v>
      </c>
      <c r="AT176" s="3">
        <f t="shared" si="5"/>
        <v>-2.0462228583483025E-5</v>
      </c>
      <c r="AU176" s="3">
        <f t="shared" si="5"/>
        <v>-1.6275595578831501E-5</v>
      </c>
      <c r="AV176" s="3">
        <f t="shared" si="5"/>
        <v>-1.2386474620706741E-5</v>
      </c>
      <c r="AW176" s="3">
        <f t="shared" si="5"/>
        <v>-8.5617031303482667E-6</v>
      </c>
      <c r="AX176" s="3">
        <f t="shared" si="5"/>
        <v>-5.3037649347529276E-6</v>
      </c>
      <c r="AY176" s="3">
        <f t="shared" si="5"/>
        <v>-2.4449234573778423E-6</v>
      </c>
      <c r="AZ176" s="3">
        <f t="shared" si="5"/>
        <v>2.1373757595839186E-7</v>
      </c>
      <c r="BA176" s="3">
        <f t="shared" si="5"/>
        <v>2.8069669211556234E-6</v>
      </c>
      <c r="BB176" s="3">
        <f t="shared" si="5"/>
        <v>5.1008723062073146E-6</v>
      </c>
      <c r="BC176" s="3">
        <f t="shared" si="5"/>
        <v>7.1290745843387863E-6</v>
      </c>
      <c r="BD176" s="3">
        <f t="shared" si="5"/>
        <v>8.9909845099624255E-6</v>
      </c>
      <c r="BE176" s="3">
        <f t="shared" si="5"/>
        <v>8.7251923236069746E-6</v>
      </c>
      <c r="BF176" s="3">
        <f t="shared" si="5"/>
        <v>2.0417594100510122E-6</v>
      </c>
      <c r="BG176" s="3">
        <f t="shared" si="5"/>
        <v>1.3102608839533884E-6</v>
      </c>
    </row>
    <row r="177" spans="1:59" x14ac:dyDescent="0.25">
      <c r="D177" s="12"/>
      <c r="E177">
        <v>9</v>
      </c>
      <c r="F177">
        <v>0.25</v>
      </c>
      <c r="G177">
        <v>-5.9409999999999998E-2</v>
      </c>
      <c r="H177">
        <v>2</v>
      </c>
      <c r="I177">
        <v>-0.47527999999999998</v>
      </c>
      <c r="J177" t="s">
        <v>22</v>
      </c>
      <c r="K177">
        <v>4.3630600000000002E-4</v>
      </c>
      <c r="L177">
        <v>-0.26356740000000001</v>
      </c>
      <c r="M177">
        <v>-0.24208689999999999</v>
      </c>
      <c r="N177">
        <v>-0.2285171</v>
      </c>
      <c r="O177">
        <v>-0.21492240000000001</v>
      </c>
      <c r="P177">
        <v>-0.19802520000000001</v>
      </c>
      <c r="Q177">
        <v>-0.1840811</v>
      </c>
      <c r="R177">
        <v>-0.16841410000000001</v>
      </c>
      <c r="S177">
        <v>-0.1507349</v>
      </c>
      <c r="T177">
        <v>-0.1306882</v>
      </c>
      <c r="U177">
        <v>-0.1117139</v>
      </c>
      <c r="V177">
        <v>-9.2638490000000004E-2</v>
      </c>
      <c r="W177">
        <v>-7.4680330000000003E-2</v>
      </c>
      <c r="X177">
        <v>-5.6139950000000001E-2</v>
      </c>
      <c r="Y177">
        <v>-4.0990350000000002E-2</v>
      </c>
      <c r="Z177">
        <v>-2.7739050000000001E-2</v>
      </c>
      <c r="AA177">
        <v>-1.5027520000000001E-2</v>
      </c>
      <c r="AB177">
        <v>-2.7527810000000002E-3</v>
      </c>
      <c r="AC177">
        <v>8.4071159999999992E-3</v>
      </c>
      <c r="AD177">
        <v>1.8512730000000002E-2</v>
      </c>
      <c r="AE177">
        <v>2.6359560000000001E-2</v>
      </c>
      <c r="AF177">
        <v>2.477789E-2</v>
      </c>
      <c r="AG177">
        <v>-8.0027580000000004E-3</v>
      </c>
      <c r="AH177">
        <v>-1.323366E-2</v>
      </c>
      <c r="AJ177" t="s">
        <v>331</v>
      </c>
      <c r="AK177" s="3">
        <f t="shared" si="6"/>
        <v>-4.995411731427646E-5</v>
      </c>
      <c r="AL177" s="3">
        <f t="shared" si="5"/>
        <v>-4.5882902828079324E-5</v>
      </c>
      <c r="AM177" s="3">
        <f t="shared" si="5"/>
        <v>-4.3311008955273852E-5</v>
      </c>
      <c r="AN177" s="3">
        <f t="shared" si="5"/>
        <v>-4.073439576770819E-5</v>
      </c>
      <c r="AO177" s="3">
        <f t="shared" si="5"/>
        <v>-3.7531857399598961E-5</v>
      </c>
      <c r="AP177" s="3">
        <f t="shared" si="5"/>
        <v>-3.4889022180819997E-5</v>
      </c>
      <c r="AQ177" s="3">
        <f t="shared" si="5"/>
        <v>-3.1919644496164123E-5</v>
      </c>
      <c r="AR177" s="3">
        <f t="shared" si="5"/>
        <v>-2.8568893110285002E-5</v>
      </c>
      <c r="AS177" s="3">
        <f t="shared" si="5"/>
        <v>-2.4769427760761101E-5</v>
      </c>
      <c r="AT177" s="3">
        <f t="shared" si="5"/>
        <v>-2.1173215148138009E-5</v>
      </c>
      <c r="AU177" s="3">
        <f t="shared" si="5"/>
        <v>-1.7557839085097121E-5</v>
      </c>
      <c r="AV177" s="3">
        <f t="shared" si="5"/>
        <v>-1.4154216211446787E-5</v>
      </c>
      <c r="AW177" s="3">
        <f t="shared" si="5"/>
        <v>-1.0640244765921791E-5</v>
      </c>
      <c r="AX177" s="3">
        <f t="shared" si="5"/>
        <v>-7.7689302723070164E-6</v>
      </c>
      <c r="AY177" s="3">
        <f t="shared" si="5"/>
        <v>-5.257401931675088E-6</v>
      </c>
      <c r="AZ177" s="3">
        <f t="shared" si="5"/>
        <v>-2.8481765841399043E-6</v>
      </c>
      <c r="BA177" s="3">
        <f t="shared" si="5"/>
        <v>-5.2173654638058908E-7</v>
      </c>
      <c r="BB177" s="3">
        <f t="shared" si="5"/>
        <v>1.5934066919457058E-6</v>
      </c>
      <c r="BC177" s="3">
        <f t="shared" si="5"/>
        <v>3.508730921303338E-6</v>
      </c>
      <c r="BD177" s="3">
        <f t="shared" si="5"/>
        <v>4.9959462080390412E-6</v>
      </c>
      <c r="BE177" s="3">
        <f t="shared" si="5"/>
        <v>4.6961711647959408E-6</v>
      </c>
      <c r="BF177" s="3">
        <f t="shared" si="5"/>
        <v>-1.5167684317930233E-6</v>
      </c>
      <c r="BG177" s="3">
        <f t="shared" si="5"/>
        <v>-2.5081850188500086E-6</v>
      </c>
    </row>
    <row r="178" spans="1:59" x14ac:dyDescent="0.25">
      <c r="D178" s="12"/>
      <c r="E178">
        <v>10</v>
      </c>
      <c r="F178">
        <v>0.3</v>
      </c>
      <c r="G178">
        <v>-6.0019999999999997E-2</v>
      </c>
      <c r="H178">
        <v>2.4</v>
      </c>
      <c r="I178">
        <v>-0.48015999999999998</v>
      </c>
      <c r="J178" t="s">
        <v>23</v>
      </c>
      <c r="K178">
        <v>4.3742179999999999E-2</v>
      </c>
      <c r="L178">
        <v>4.7463890000000002E-2</v>
      </c>
      <c r="M178">
        <v>4.8161509999999998E-2</v>
      </c>
      <c r="N178">
        <v>4.8684119999999997E-2</v>
      </c>
      <c r="O178">
        <v>4.8510070000000002E-2</v>
      </c>
      <c r="P178">
        <v>4.9361710000000003E-2</v>
      </c>
      <c r="Q178">
        <v>4.9536709999999998E-2</v>
      </c>
      <c r="R178">
        <v>5.005884E-2</v>
      </c>
      <c r="S178">
        <v>5.0930019999999999E-2</v>
      </c>
      <c r="T178">
        <v>5.0755979999999999E-2</v>
      </c>
      <c r="U178">
        <v>5.1974770000000003E-2</v>
      </c>
      <c r="V178">
        <v>5.1993850000000001E-2</v>
      </c>
      <c r="W178">
        <v>5.2342409999999999E-2</v>
      </c>
      <c r="X178">
        <v>5.2690510000000003E-2</v>
      </c>
      <c r="Y178">
        <v>5.319405E-2</v>
      </c>
      <c r="Z178">
        <v>5.319405E-2</v>
      </c>
      <c r="AA178">
        <v>5.3019520000000001E-2</v>
      </c>
      <c r="AB178">
        <v>5.3909779999999997E-2</v>
      </c>
      <c r="AC178">
        <v>5.4084300000000002E-2</v>
      </c>
      <c r="AD178">
        <v>5.319405E-2</v>
      </c>
      <c r="AE178">
        <v>5.3716659999999999E-2</v>
      </c>
      <c r="AF178">
        <v>5.4084300000000002E-2</v>
      </c>
      <c r="AG178">
        <v>5.3542609999999997E-2</v>
      </c>
      <c r="AH178">
        <v>5.2670960000000003E-2</v>
      </c>
      <c r="AJ178" t="s">
        <v>332</v>
      </c>
      <c r="AK178" s="3">
        <f t="shared" si="6"/>
        <v>8.9958649258288898E-6</v>
      </c>
      <c r="AL178" s="3">
        <f t="shared" si="5"/>
        <v>9.1280853420138408E-6</v>
      </c>
      <c r="AM178" s="3">
        <f t="shared" si="5"/>
        <v>9.227135988071032E-6</v>
      </c>
      <c r="AN178" s="3">
        <f t="shared" si="5"/>
        <v>9.1941481674280021E-6</v>
      </c>
      <c r="AO178" s="3">
        <f t="shared" si="5"/>
        <v>9.3555601040693711E-6</v>
      </c>
      <c r="AP178" s="3">
        <f t="shared" si="5"/>
        <v>9.3887279788899979E-6</v>
      </c>
      <c r="AQ178" s="3">
        <f t="shared" si="5"/>
        <v>9.487687650204825E-6</v>
      </c>
      <c r="AR178" s="3">
        <f t="shared" si="5"/>
        <v>9.6528030169833088E-6</v>
      </c>
      <c r="AS178" s="3">
        <f t="shared" si="5"/>
        <v>9.6198170916474102E-6</v>
      </c>
      <c r="AT178" s="3">
        <f t="shared" si="5"/>
        <v>9.8508152296624584E-6</v>
      </c>
      <c r="AU178" s="3">
        <f t="shared" si="5"/>
        <v>9.8544314756714718E-6</v>
      </c>
      <c r="AV178" s="3">
        <f t="shared" si="5"/>
        <v>9.920494301085633E-6</v>
      </c>
      <c r="AW178" s="3">
        <f t="shared" si="5"/>
        <v>9.9864699423716946E-6</v>
      </c>
      <c r="AX178" s="3">
        <f t="shared" si="5"/>
        <v>1.0081906237727002E-5</v>
      </c>
      <c r="AY178" s="3">
        <f t="shared" si="5"/>
        <v>1.0081906237727002E-5</v>
      </c>
      <c r="AZ178" s="3">
        <f t="shared" si="5"/>
        <v>1.0048827442341606E-5</v>
      </c>
      <c r="BA178" s="3">
        <f t="shared" si="5"/>
        <v>1.0217559055129105E-5</v>
      </c>
      <c r="BB178" s="3">
        <f t="shared" si="5"/>
        <v>1.0250635955207368E-5</v>
      </c>
      <c r="BC178" s="3">
        <f t="shared" si="5"/>
        <v>1.0081906237727002E-5</v>
      </c>
      <c r="BD178" s="3">
        <f t="shared" si="5"/>
        <v>1.0180956883784193E-5</v>
      </c>
      <c r="BE178" s="3">
        <f t="shared" si="5"/>
        <v>1.0250635955207368E-5</v>
      </c>
      <c r="BF178" s="3">
        <f t="shared" si="5"/>
        <v>1.0147969063141162E-5</v>
      </c>
      <c r="BG178" s="3">
        <f t="shared" si="5"/>
        <v>9.9827646169274468E-6</v>
      </c>
    </row>
    <row r="179" spans="1:59" x14ac:dyDescent="0.25">
      <c r="D179" s="12"/>
      <c r="E179">
        <v>11</v>
      </c>
      <c r="F179">
        <v>0.4</v>
      </c>
      <c r="G179">
        <v>-5.8029999999999998E-2</v>
      </c>
      <c r="H179">
        <v>3.2</v>
      </c>
      <c r="I179">
        <v>-0.46423999999999999</v>
      </c>
      <c r="J179" t="s">
        <v>24</v>
      </c>
      <c r="K179">
        <v>7.2145460000000005E-4</v>
      </c>
      <c r="L179">
        <v>-0.2071848</v>
      </c>
      <c r="M179">
        <v>-0.1963558</v>
      </c>
      <c r="N179">
        <v>-0.18293999999999999</v>
      </c>
      <c r="O179">
        <v>-0.17910390000000001</v>
      </c>
      <c r="P179">
        <v>-0.16654969999999999</v>
      </c>
      <c r="Q179">
        <v>-0.1576552</v>
      </c>
      <c r="R179">
        <v>-0.14789769999999999</v>
      </c>
      <c r="S179">
        <v>-0.1364465</v>
      </c>
      <c r="T179">
        <v>-0.1228433</v>
      </c>
      <c r="U179">
        <v>-0.1098933</v>
      </c>
      <c r="V179">
        <v>-9.6882819999999994E-2</v>
      </c>
      <c r="W179">
        <v>-8.380079E-2</v>
      </c>
      <c r="X179">
        <v>-7.0613380000000003E-2</v>
      </c>
      <c r="Y179">
        <v>-5.9632299999999999E-2</v>
      </c>
      <c r="Z179">
        <v>-5.0038340000000001E-2</v>
      </c>
      <c r="AA179">
        <v>-4.0744299999999997E-2</v>
      </c>
      <c r="AB179">
        <v>-3.2031539999999997E-2</v>
      </c>
      <c r="AC179">
        <v>-2.4181370000000001E-2</v>
      </c>
      <c r="AD179">
        <v>-1.6917709999999999E-2</v>
      </c>
      <c r="AE179">
        <v>-1.185894E-2</v>
      </c>
      <c r="AF179">
        <v>-1.5527249999999999E-2</v>
      </c>
      <c r="AG179">
        <v>-4.4831280000000001E-2</v>
      </c>
      <c r="AH179">
        <v>-5.1983359999999999E-2</v>
      </c>
      <c r="AJ179" t="s">
        <v>333</v>
      </c>
      <c r="AK179" s="3">
        <f t="shared" si="6"/>
        <v>-3.9267882920781952E-5</v>
      </c>
      <c r="AL179" s="3">
        <f t="shared" si="5"/>
        <v>-3.7215454826881495E-5</v>
      </c>
      <c r="AM179" s="3">
        <f t="shared" si="5"/>
        <v>-3.4672748683918175E-5</v>
      </c>
      <c r="AN179" s="3">
        <f t="shared" si="5"/>
        <v>-3.3945689914778689E-5</v>
      </c>
      <c r="AO179" s="3">
        <f t="shared" si="5"/>
        <v>-3.1566283434360816E-5</v>
      </c>
      <c r="AP179" s="3">
        <f t="shared" si="5"/>
        <v>-2.9880502505263239E-5</v>
      </c>
      <c r="AQ179" s="3">
        <f t="shared" si="5"/>
        <v>-2.8031156570621654E-5</v>
      </c>
      <c r="AR179" s="3">
        <f t="shared" si="5"/>
        <v>-2.5860802466930368E-5</v>
      </c>
      <c r="AS179" s="3">
        <f t="shared" si="5"/>
        <v>-2.3282578268301988E-5</v>
      </c>
      <c r="AT179" s="3">
        <f t="shared" si="5"/>
        <v>-2.0828155531575518E-5</v>
      </c>
      <c r="AU179" s="3">
        <f t="shared" si="5"/>
        <v>-1.836226997731104E-5</v>
      </c>
      <c r="AV179" s="3">
        <f t="shared" si="5"/>
        <v>-1.5882823500512757E-5</v>
      </c>
      <c r="AW179" s="3">
        <f t="shared" si="5"/>
        <v>-1.3383404277151056E-5</v>
      </c>
      <c r="AX179" s="3">
        <f t="shared" si="5"/>
        <v>-1.1302152352377905E-5</v>
      </c>
      <c r="AY179" s="3">
        <f t="shared" si="5"/>
        <v>-9.4838022705829803E-6</v>
      </c>
      <c r="AZ179" s="3">
        <f t="shared" si="5"/>
        <v>-7.7222962403092116E-6</v>
      </c>
      <c r="BA179" s="3">
        <f t="shared" si="5"/>
        <v>-6.0709606230396437E-6</v>
      </c>
      <c r="BB179" s="3">
        <f t="shared" si="5"/>
        <v>-4.5831123037216497E-6</v>
      </c>
      <c r="BC179" s="3">
        <f t="shared" si="5"/>
        <v>-3.2064256430382057E-6</v>
      </c>
      <c r="BD179" s="3">
        <f t="shared" si="5"/>
        <v>-2.2476333567162165E-6</v>
      </c>
      <c r="BE179" s="3">
        <f t="shared" si="5"/>
        <v>-2.9428907674776896E-6</v>
      </c>
      <c r="BF179" s="3">
        <f t="shared" si="5"/>
        <v>-8.4969044747915564E-6</v>
      </c>
      <c r="BG179" s="3">
        <f t="shared" si="5"/>
        <v>-9.8524432984893674E-6</v>
      </c>
    </row>
    <row r="180" spans="1:59" x14ac:dyDescent="0.25">
      <c r="D180" s="12"/>
      <c r="E180">
        <v>12</v>
      </c>
      <c r="F180">
        <v>0.5</v>
      </c>
      <c r="G180">
        <v>-5.2940000000000001E-2</v>
      </c>
      <c r="H180">
        <v>4</v>
      </c>
      <c r="I180">
        <v>-0.42352000000000001</v>
      </c>
      <c r="J180" t="s">
        <v>25</v>
      </c>
      <c r="K180">
        <v>9.8705290000000004E-5</v>
      </c>
      <c r="L180">
        <v>-0.1723981</v>
      </c>
      <c r="M180">
        <v>-0.16491320000000001</v>
      </c>
      <c r="N180">
        <v>-0.15767339999999999</v>
      </c>
      <c r="O180">
        <v>-0.14811559999999999</v>
      </c>
      <c r="P180">
        <v>-0.14372399999999999</v>
      </c>
      <c r="Q180">
        <v>-0.1374679</v>
      </c>
      <c r="R180">
        <v>-0.12965109999999999</v>
      </c>
      <c r="S180">
        <v>-0.1199765</v>
      </c>
      <c r="T180">
        <v>-0.1090279</v>
      </c>
      <c r="U180">
        <v>-9.8729129999999998E-2</v>
      </c>
      <c r="V180">
        <v>-8.8654040000000003E-2</v>
      </c>
      <c r="W180">
        <v>-7.8225610000000001E-2</v>
      </c>
      <c r="X180">
        <v>-6.7113880000000001E-2</v>
      </c>
      <c r="Y180">
        <v>-5.8428760000000003E-2</v>
      </c>
      <c r="Z180">
        <v>-5.1128859999999998E-2</v>
      </c>
      <c r="AA180">
        <v>-4.4703479999999997E-2</v>
      </c>
      <c r="AB180">
        <v>-3.8050649999999998E-2</v>
      </c>
      <c r="AC180">
        <v>-3.231382E-2</v>
      </c>
      <c r="AD180">
        <v>-2.6581759999999999E-2</v>
      </c>
      <c r="AE180">
        <v>-2.345324E-2</v>
      </c>
      <c r="AF180">
        <v>-2.820539E-2</v>
      </c>
      <c r="AG180">
        <v>-5.7000639999999998E-2</v>
      </c>
      <c r="AH180">
        <v>-6.4822199999999996E-2</v>
      </c>
      <c r="AJ180" t="s">
        <v>334</v>
      </c>
      <c r="AK180" s="3">
        <f t="shared" si="6"/>
        <v>-3.2674734857794874E-5</v>
      </c>
      <c r="AL180" s="3">
        <f t="shared" si="5"/>
        <v>-3.1256116422109631E-5</v>
      </c>
      <c r="AM180" s="3">
        <f t="shared" si="5"/>
        <v>-2.9883951964244584E-5</v>
      </c>
      <c r="AN180" s="3">
        <f t="shared" si="5"/>
        <v>-2.8072455313041164E-5</v>
      </c>
      <c r="AO180" s="3">
        <f t="shared" si="5"/>
        <v>-2.7240112232685338E-5</v>
      </c>
      <c r="AP180" s="3">
        <f t="shared" si="5"/>
        <v>-2.6054389137454879E-5</v>
      </c>
      <c r="AQ180" s="3">
        <f t="shared" si="5"/>
        <v>-2.4572865458038393E-5</v>
      </c>
      <c r="AR180" s="3">
        <f t="shared" si="5"/>
        <v>-2.2739231619526124E-5</v>
      </c>
      <c r="AS180" s="3">
        <f t="shared" si="5"/>
        <v>-2.0664135652319683E-5</v>
      </c>
      <c r="AT180" s="3">
        <f t="shared" si="5"/>
        <v>-1.871220242851146E-5</v>
      </c>
      <c r="AU180" s="3">
        <f t="shared" si="5"/>
        <v>-1.6802663434645402E-5</v>
      </c>
      <c r="AV180" s="3">
        <f t="shared" si="5"/>
        <v>-1.4826155658555793E-5</v>
      </c>
      <c r="AW180" s="3">
        <f t="shared" si="5"/>
        <v>-1.2720141546095127E-5</v>
      </c>
      <c r="AX180" s="3">
        <f t="shared" si="5"/>
        <v>-1.1074044557740086E-5</v>
      </c>
      <c r="AY180" s="3">
        <f t="shared" ref="AY180:AY200" si="7">(Z180/$AI$169)</f>
        <v>-9.6904893040080713E-6</v>
      </c>
      <c r="AZ180" s="3">
        <f t="shared" ref="AZ180:AZ200" si="8">(AA180/$AI$169)</f>
        <v>-8.4726824496368336E-6</v>
      </c>
      <c r="BA180" s="3">
        <f t="shared" ref="BA180:BA200" si="9">(AB180/$AI$169)</f>
        <v>-7.2117668345344438E-6</v>
      </c>
      <c r="BB180" s="3">
        <f t="shared" ref="BB180:BB200" si="10">(AC180/$AI$169)</f>
        <v>-6.1244613527788832E-6</v>
      </c>
      <c r="BC180" s="3">
        <f t="shared" ref="BC180:BC200" si="11">(AD180/$AI$169)</f>
        <v>-5.0380599325255755E-6</v>
      </c>
      <c r="BD180" s="3">
        <f t="shared" ref="BD180:BD200" si="12">(AE180/$AI$169)</f>
        <v>-4.4451093054751128E-6</v>
      </c>
      <c r="BE180" s="3">
        <f t="shared" ref="BE180:BE200" si="13">(AF180/$AI$169)</f>
        <v>-5.3457876844970969E-6</v>
      </c>
      <c r="BF180" s="3">
        <f t="shared" ref="BF180:BF200" si="14">(AG180/$AI$169)</f>
        <v>-1.0803371955518169E-5</v>
      </c>
      <c r="BG180" s="3">
        <f t="shared" ref="BG180:BG200" si="15">(AH180/$AI$169)</f>
        <v>-1.2285797801129774E-5</v>
      </c>
    </row>
    <row r="181" spans="1:59" x14ac:dyDescent="0.25">
      <c r="D181" s="12"/>
      <c r="E181">
        <v>13</v>
      </c>
      <c r="F181">
        <v>0.6</v>
      </c>
      <c r="G181">
        <v>-4.5629999999999997E-2</v>
      </c>
      <c r="H181">
        <v>4.8</v>
      </c>
      <c r="I181">
        <v>-0.36503999999999998</v>
      </c>
      <c r="J181" t="s">
        <v>26</v>
      </c>
      <c r="K181">
        <v>1.8774030000000001E-2</v>
      </c>
      <c r="L181">
        <v>4.8770899999999997E-3</v>
      </c>
      <c r="M181">
        <v>6.2990190000000003E-3</v>
      </c>
      <c r="N181">
        <v>6.8354610000000001E-3</v>
      </c>
      <c r="O181">
        <v>6.4783100000000001E-3</v>
      </c>
      <c r="P181">
        <v>7.9050059999999991E-3</v>
      </c>
      <c r="Q181">
        <v>8.2616809999999999E-3</v>
      </c>
      <c r="R181">
        <v>9.3321800000000007E-3</v>
      </c>
      <c r="S181">
        <v>1.0223390000000001E-2</v>
      </c>
      <c r="T181">
        <v>1.093674E-2</v>
      </c>
      <c r="U181">
        <v>1.129055E-2</v>
      </c>
      <c r="V181">
        <v>1.111269E-2</v>
      </c>
      <c r="W181">
        <v>1.236105E-2</v>
      </c>
      <c r="X181">
        <v>1.3254169999999999E-2</v>
      </c>
      <c r="Y181">
        <v>1.378822E-2</v>
      </c>
      <c r="Z181">
        <v>1.485825E-2</v>
      </c>
      <c r="AA181">
        <v>1.5214439999999999E-2</v>
      </c>
      <c r="AB181">
        <v>1.557302E-2</v>
      </c>
      <c r="AC181">
        <v>1.6820430000000001E-2</v>
      </c>
      <c r="AD181">
        <v>1.6999719999999999E-2</v>
      </c>
      <c r="AE181">
        <v>1.7534259999999999E-2</v>
      </c>
      <c r="AF181">
        <v>1.788998E-2</v>
      </c>
      <c r="AG181">
        <v>1.8424510000000002E-2</v>
      </c>
      <c r="AH181">
        <v>1.8959520000000001E-2</v>
      </c>
      <c r="AJ181" t="s">
        <v>335</v>
      </c>
      <c r="AK181" s="3">
        <f t="shared" si="6"/>
        <v>9.2435834633677975E-7</v>
      </c>
      <c r="AL181" s="3">
        <f t="shared" ref="AL181:AL200" si="16">(M181/$AI$169)</f>
        <v>1.1938575639128983E-6</v>
      </c>
      <c r="AM181" s="3">
        <f t="shared" ref="AM181:AM200" si="17">(N181/$AI$169)</f>
        <v>1.2955297987959113E-6</v>
      </c>
      <c r="AN181" s="3">
        <f t="shared" ref="AN181:AN200" si="18">(O181/$AI$169)</f>
        <v>1.227838715024128E-6</v>
      </c>
      <c r="AO181" s="3">
        <f t="shared" ref="AO181:AO200" si="19">(P181/$AI$169)</f>
        <v>1.4982414255103601E-6</v>
      </c>
      <c r="AP181" s="3">
        <f t="shared" ref="AP181:AP200" si="20">(Q181/$AI$169)</f>
        <v>1.5658422926626315E-6</v>
      </c>
      <c r="AQ181" s="3">
        <f t="shared" ref="AQ181:AQ200" si="21">(R181/$AI$169)</f>
        <v>1.7687347316775313E-6</v>
      </c>
      <c r="AR181" s="3">
        <f t="shared" ref="AR181:AR200" si="22">(S181/$AI$169)</f>
        <v>1.9376463986426276E-6</v>
      </c>
      <c r="AS181" s="3">
        <f t="shared" ref="AS181:AS200" si="23">(T181/$AI$169)</f>
        <v>2.07284813294717E-6</v>
      </c>
      <c r="AT181" s="3">
        <f t="shared" ref="AT181:AT200" si="24">(U181/$AI$169)</f>
        <v>2.1399059946059496E-6</v>
      </c>
      <c r="AU181" s="3">
        <f t="shared" ref="AU181:AU200" si="25">(V181/$AI$169)</f>
        <v>2.1061960619453958E-6</v>
      </c>
      <c r="AV181" s="3">
        <f t="shared" ref="AV181:AV200" si="26">(W181/$AI$169)</f>
        <v>2.3427986231515622E-6</v>
      </c>
      <c r="AW181" s="3">
        <f t="shared" ref="AW181:AW200" si="27">(X181/$AI$169)</f>
        <v>2.5120722937789864E-6</v>
      </c>
      <c r="AX181" s="3">
        <f t="shared" ref="AX181:AX200" si="28">(Y181/$AI$169)</f>
        <v>2.6132911711958801E-6</v>
      </c>
      <c r="AY181" s="3">
        <f t="shared" si="7"/>
        <v>2.8160947203062604E-6</v>
      </c>
      <c r="AZ181" s="3">
        <f t="shared" si="8"/>
        <v>2.8836036650626003E-6</v>
      </c>
      <c r="BA181" s="3">
        <f t="shared" si="9"/>
        <v>2.9515655882236332E-6</v>
      </c>
      <c r="BB181" s="3">
        <f t="shared" si="10"/>
        <v>3.1879880952522023E-6</v>
      </c>
      <c r="BC181" s="3">
        <f t="shared" si="11"/>
        <v>3.2219690568327183E-6</v>
      </c>
      <c r="BD181" s="3">
        <f t="shared" si="12"/>
        <v>3.3232808042991096E-6</v>
      </c>
      <c r="BE181" s="3">
        <f t="shared" si="13"/>
        <v>3.3907006696202172E-6</v>
      </c>
      <c r="BF181" s="3">
        <f t="shared" si="14"/>
        <v>3.4920105217794763E-6</v>
      </c>
      <c r="BG181" s="3">
        <f t="shared" si="15"/>
        <v>3.5934113486810999E-6</v>
      </c>
    </row>
    <row r="182" spans="1:59" x14ac:dyDescent="0.25">
      <c r="D182" s="12"/>
      <c r="E182">
        <v>14</v>
      </c>
      <c r="F182">
        <v>0.7</v>
      </c>
      <c r="G182">
        <v>-3.6639999999999999E-2</v>
      </c>
      <c r="H182">
        <v>5.6</v>
      </c>
      <c r="I182">
        <v>-0.29311999999999999</v>
      </c>
      <c r="J182" t="s">
        <v>27</v>
      </c>
      <c r="K182">
        <v>-3.0565259999999999E-4</v>
      </c>
      <c r="L182">
        <v>-0.12342740000000001</v>
      </c>
      <c r="M182">
        <v>-0.11908009999999999</v>
      </c>
      <c r="N182">
        <v>-0.11577800000000001</v>
      </c>
      <c r="O182">
        <v>-0.1143866</v>
      </c>
      <c r="P182">
        <v>-0.11038489999999999</v>
      </c>
      <c r="Q182">
        <v>-0.107255</v>
      </c>
      <c r="R182">
        <v>-9.9428649999999993E-2</v>
      </c>
      <c r="S182">
        <v>-9.5776559999999997E-2</v>
      </c>
      <c r="T182">
        <v>-9.0385439999999997E-2</v>
      </c>
      <c r="U182">
        <v>-8.3081249999999995E-2</v>
      </c>
      <c r="V182">
        <v>-7.7168459999999994E-2</v>
      </c>
      <c r="W182">
        <v>-7.0211410000000002E-2</v>
      </c>
      <c r="X182">
        <v>-6.186295E-2</v>
      </c>
      <c r="Y182">
        <v>-5.6993009999999997E-2</v>
      </c>
      <c r="Z182">
        <v>-5.3340440000000003E-2</v>
      </c>
      <c r="AA182">
        <v>-5.0209520000000001E-2</v>
      </c>
      <c r="AB182">
        <v>-4.7253129999999997E-2</v>
      </c>
      <c r="AC182">
        <v>-4.4470790000000003E-2</v>
      </c>
      <c r="AD182">
        <v>-4.1339870000000001E-2</v>
      </c>
      <c r="AE182">
        <v>-4.2383190000000001E-2</v>
      </c>
      <c r="AF182">
        <v>-5.2819249999999998E-2</v>
      </c>
      <c r="AG182">
        <v>-8.5864070000000001E-2</v>
      </c>
      <c r="AH182">
        <v>-9.5255370000000006E-2</v>
      </c>
      <c r="AJ182" t="s">
        <v>336</v>
      </c>
      <c r="AK182" s="3">
        <f t="shared" si="6"/>
        <v>-2.3393283157917582E-5</v>
      </c>
      <c r="AL182" s="3">
        <f t="shared" si="16"/>
        <v>-2.2569336288159205E-5</v>
      </c>
      <c r="AM182" s="3">
        <f t="shared" si="17"/>
        <v>-2.1943486919900945E-5</v>
      </c>
      <c r="AN182" s="3">
        <f t="shared" si="18"/>
        <v>-2.1679773885469962E-5</v>
      </c>
      <c r="AO182" s="3">
        <f t="shared" si="19"/>
        <v>-2.0921328830214494E-5</v>
      </c>
      <c r="AP182" s="3">
        <f t="shared" si="20"/>
        <v>-2.0328116650779733E-5</v>
      </c>
      <c r="AQ182" s="3">
        <f t="shared" si="21"/>
        <v>-1.8844782953051606E-5</v>
      </c>
      <c r="AR182" s="3">
        <f t="shared" si="22"/>
        <v>-1.8152599730459222E-5</v>
      </c>
      <c r="AS182" s="3">
        <f t="shared" si="23"/>
        <v>-1.7130816911585029E-5</v>
      </c>
      <c r="AT182" s="3">
        <f t="shared" si="24"/>
        <v>-1.574644857109313E-5</v>
      </c>
      <c r="AU182" s="3">
        <f t="shared" si="25"/>
        <v>-1.4625793265032209E-5</v>
      </c>
      <c r="AV182" s="3">
        <f t="shared" si="26"/>
        <v>-1.330721861634164E-5</v>
      </c>
      <c r="AW182" s="3">
        <f t="shared" si="27"/>
        <v>-1.1724929037912955E-5</v>
      </c>
      <c r="AX182" s="3">
        <f t="shared" si="28"/>
        <v>-1.080192583617599E-5</v>
      </c>
      <c r="AY182" s="3">
        <f t="shared" si="7"/>
        <v>-1.0109651638841241E-5</v>
      </c>
      <c r="AZ182" s="3">
        <f t="shared" si="8"/>
        <v>-9.5162461380789519E-6</v>
      </c>
      <c r="BA182" s="3">
        <f t="shared" si="9"/>
        <v>-8.9559194327020585E-6</v>
      </c>
      <c r="BB182" s="3">
        <f t="shared" si="10"/>
        <v>-8.4285805479681967E-6</v>
      </c>
      <c r="BC182" s="3">
        <f t="shared" si="11"/>
        <v>-7.8351750472059075E-6</v>
      </c>
      <c r="BD182" s="3">
        <f t="shared" si="12"/>
        <v>-8.0329162309650928E-6</v>
      </c>
      <c r="BE182" s="3">
        <f t="shared" si="13"/>
        <v>-1.0010870126396879E-5</v>
      </c>
      <c r="BF182" s="3">
        <f t="shared" si="14"/>
        <v>-1.6273878430569358E-5</v>
      </c>
      <c r="BG182" s="3">
        <f t="shared" si="15"/>
        <v>-1.8053818218014865E-5</v>
      </c>
    </row>
    <row r="183" spans="1:59" x14ac:dyDescent="0.25">
      <c r="D183" s="12"/>
      <c r="E183">
        <v>15</v>
      </c>
      <c r="F183">
        <v>0.8</v>
      </c>
      <c r="G183">
        <v>-2.623E-2</v>
      </c>
      <c r="H183">
        <v>6.4</v>
      </c>
      <c r="I183">
        <v>-0.20984</v>
      </c>
      <c r="J183" t="s">
        <v>28</v>
      </c>
      <c r="K183">
        <v>2.3031230000000001E-4</v>
      </c>
      <c r="L183">
        <v>-9.4748499999999999E-2</v>
      </c>
      <c r="M183">
        <v>-9.1080190000000005E-2</v>
      </c>
      <c r="N183">
        <v>-8.849812E-2</v>
      </c>
      <c r="O183">
        <v>-8.7947849999999994E-2</v>
      </c>
      <c r="P183">
        <v>-8.5764409999999999E-2</v>
      </c>
      <c r="Q183">
        <v>-8.5214609999999996E-2</v>
      </c>
      <c r="R183">
        <v>-8.2848069999999996E-2</v>
      </c>
      <c r="S183">
        <v>-7.8064439999999999E-2</v>
      </c>
      <c r="T183">
        <v>-7.3481080000000004E-2</v>
      </c>
      <c r="U183">
        <v>-6.9815160000000001E-2</v>
      </c>
      <c r="V183">
        <v>-6.5965179999999998E-2</v>
      </c>
      <c r="W183">
        <v>-5.8814529999999997E-2</v>
      </c>
      <c r="X183">
        <v>-5.1848890000000002E-2</v>
      </c>
      <c r="Y183">
        <v>-4.8916340000000003E-2</v>
      </c>
      <c r="Z183">
        <v>-4.6899799999999998E-2</v>
      </c>
      <c r="AA183">
        <v>-4.5799729999999997E-2</v>
      </c>
      <c r="AB183">
        <v>-4.4700620000000003E-2</v>
      </c>
      <c r="AC183">
        <v>-4.3416980000000001E-2</v>
      </c>
      <c r="AD183">
        <v>-4.3233389999999997E-2</v>
      </c>
      <c r="AE183">
        <v>-4.7084330000000001E-2</v>
      </c>
      <c r="AF183">
        <v>-6.1934950000000003E-2</v>
      </c>
      <c r="AG183">
        <v>-9.9335670000000001E-2</v>
      </c>
      <c r="AH183">
        <v>-0.108686</v>
      </c>
      <c r="AJ183" t="s">
        <v>337</v>
      </c>
      <c r="AK183" s="3">
        <f t="shared" si="6"/>
        <v>-1.7957750785384394E-5</v>
      </c>
      <c r="AL183" s="3">
        <f t="shared" si="16"/>
        <v>-1.7262493374622923E-5</v>
      </c>
      <c r="AM183" s="3">
        <f t="shared" si="17"/>
        <v>-1.6773111805833787E-5</v>
      </c>
      <c r="AN183" s="3">
        <f t="shared" si="18"/>
        <v>-1.6668818740247803E-5</v>
      </c>
      <c r="AO183" s="3">
        <f t="shared" si="19"/>
        <v>-1.6254989799685794E-5</v>
      </c>
      <c r="AP183" s="3">
        <f t="shared" si="20"/>
        <v>-1.6150785813535041E-5</v>
      </c>
      <c r="AQ183" s="3">
        <f t="shared" si="21"/>
        <v>-1.5702253799374993E-5</v>
      </c>
      <c r="AR183" s="3">
        <f t="shared" si="22"/>
        <v>-1.479560899349956E-5</v>
      </c>
      <c r="AS183" s="3">
        <f t="shared" si="23"/>
        <v>-1.3926921503568856E-5</v>
      </c>
      <c r="AT183" s="3">
        <f t="shared" si="24"/>
        <v>-1.3232117071212076E-5</v>
      </c>
      <c r="AU183" s="3">
        <f t="shared" si="25"/>
        <v>-1.2502427615772525E-5</v>
      </c>
      <c r="AV183" s="3">
        <f t="shared" si="26"/>
        <v>-1.1147159820994677E-5</v>
      </c>
      <c r="AW183" s="3">
        <f t="shared" si="27"/>
        <v>-9.8269571034771972E-6</v>
      </c>
      <c r="AX183" s="3">
        <f t="shared" si="28"/>
        <v>-9.2711488103044396E-6</v>
      </c>
      <c r="AY183" s="3">
        <f t="shared" si="7"/>
        <v>-8.8889525457856434E-6</v>
      </c>
      <c r="AZ183" s="3">
        <f t="shared" si="8"/>
        <v>-8.6804554940489118E-6</v>
      </c>
      <c r="BA183" s="3">
        <f t="shared" si="9"/>
        <v>-8.47214039179691E-6</v>
      </c>
      <c r="BB183" s="3">
        <f t="shared" si="10"/>
        <v>-8.2288511870269036E-6</v>
      </c>
      <c r="BC183" s="3">
        <f t="shared" si="11"/>
        <v>-8.1940552433793661E-6</v>
      </c>
      <c r="BD183" s="3">
        <f t="shared" si="12"/>
        <v>-8.9239266483036464E-6</v>
      </c>
      <c r="BE183" s="3">
        <f t="shared" si="13"/>
        <v>-1.1738575249267729E-5</v>
      </c>
      <c r="BF183" s="3">
        <f t="shared" si="14"/>
        <v>-1.8827160387332624E-5</v>
      </c>
      <c r="BG183" s="3">
        <f t="shared" si="15"/>
        <v>-2.0599335101455838E-5</v>
      </c>
    </row>
    <row r="184" spans="1:59" x14ac:dyDescent="0.25">
      <c r="D184" s="12"/>
      <c r="E184">
        <v>16</v>
      </c>
      <c r="F184">
        <v>0.9</v>
      </c>
      <c r="G184">
        <v>-1.448E-2</v>
      </c>
      <c r="H184">
        <v>7.2</v>
      </c>
      <c r="I184">
        <v>-0.11584</v>
      </c>
      <c r="J184" t="s">
        <v>29</v>
      </c>
      <c r="K184">
        <v>-1.416206E-4</v>
      </c>
      <c r="L184">
        <v>-6.7215440000000001E-2</v>
      </c>
      <c r="M184">
        <v>-6.4044000000000004E-2</v>
      </c>
      <c r="N184">
        <v>-6.0958859999999997E-2</v>
      </c>
      <c r="O184">
        <v>-6.0231689999999997E-2</v>
      </c>
      <c r="P184">
        <v>-5.9758659999999998E-2</v>
      </c>
      <c r="Q184">
        <v>-6.0122490000000001E-2</v>
      </c>
      <c r="R184">
        <v>-5.9212210000000001E-2</v>
      </c>
      <c r="S184">
        <v>-5.786848E-2</v>
      </c>
      <c r="T184">
        <v>-5.6413650000000003E-2</v>
      </c>
      <c r="U184">
        <v>-5.5032730000000002E-2</v>
      </c>
      <c r="V184">
        <v>-5.1506999999999997E-2</v>
      </c>
      <c r="W184">
        <v>-5.0415990000000001E-2</v>
      </c>
      <c r="X184">
        <v>-4.3218609999999998E-2</v>
      </c>
      <c r="Y184">
        <v>-4.1044240000000003E-2</v>
      </c>
      <c r="Z184">
        <v>-4.1408540000000001E-2</v>
      </c>
      <c r="AA184">
        <v>-4.3225769999999997E-2</v>
      </c>
      <c r="AB184">
        <v>-4.4063089999999999E-2</v>
      </c>
      <c r="AC184">
        <v>-4.6608919999999998E-2</v>
      </c>
      <c r="AD184">
        <v>-4.8425200000000002E-2</v>
      </c>
      <c r="AE184">
        <v>-5.6427480000000002E-2</v>
      </c>
      <c r="AF184">
        <v>-7.9513550000000002E-2</v>
      </c>
      <c r="AG184">
        <v>-0.12211610000000001</v>
      </c>
      <c r="AH184">
        <v>-0.1326628</v>
      </c>
      <c r="AJ184" t="s">
        <v>338</v>
      </c>
      <c r="AK184" s="3">
        <f t="shared" si="6"/>
        <v>-1.2739390285333887E-5</v>
      </c>
      <c r="AL184" s="3">
        <f t="shared" si="16"/>
        <v>-1.2138305000070274E-5</v>
      </c>
      <c r="AM184" s="3">
        <f t="shared" si="17"/>
        <v>-1.1553576215361059E-5</v>
      </c>
      <c r="AN184" s="3">
        <f t="shared" si="18"/>
        <v>-1.1415755166599255E-5</v>
      </c>
      <c r="AO184" s="3">
        <f t="shared" si="19"/>
        <v>-1.1326101453305531E-5</v>
      </c>
      <c r="AP184" s="3">
        <f t="shared" si="20"/>
        <v>-1.1395058412711183E-5</v>
      </c>
      <c r="AQ184" s="3">
        <f t="shared" si="21"/>
        <v>-1.1222532395044205E-5</v>
      </c>
      <c r="AR184" s="3">
        <f t="shared" si="22"/>
        <v>-1.0967854289714361E-5</v>
      </c>
      <c r="AS184" s="3">
        <f t="shared" si="23"/>
        <v>-1.0692119322141252E-5</v>
      </c>
      <c r="AT184" s="3">
        <f t="shared" si="24"/>
        <v>-1.0430392569585244E-5</v>
      </c>
      <c r="AU184" s="3">
        <f t="shared" si="25"/>
        <v>-9.7621584479204851E-6</v>
      </c>
      <c r="AV184" s="3">
        <f t="shared" si="26"/>
        <v>-9.5553785444458952E-6</v>
      </c>
      <c r="AW184" s="3">
        <f t="shared" si="27"/>
        <v>-8.1912539794373721E-6</v>
      </c>
      <c r="AX184" s="3">
        <f t="shared" si="28"/>
        <v>-7.7791440824446375E-6</v>
      </c>
      <c r="AY184" s="3">
        <f t="shared" si="7"/>
        <v>-7.848190121285521E-6</v>
      </c>
      <c r="AZ184" s="3">
        <f t="shared" si="8"/>
        <v>-8.1926110193443184E-6</v>
      </c>
      <c r="BA184" s="3">
        <f t="shared" si="9"/>
        <v>-8.3513088761717948E-6</v>
      </c>
      <c r="BB184" s="3">
        <f t="shared" si="10"/>
        <v>-8.8338218519123627E-6</v>
      </c>
      <c r="BC184" s="3">
        <f t="shared" si="11"/>
        <v>-9.1780626957935633E-6</v>
      </c>
      <c r="BD184" s="3">
        <f t="shared" si="12"/>
        <v>-1.0694740531905649E-5</v>
      </c>
      <c r="BE184" s="3">
        <f t="shared" si="13"/>
        <v>-1.5070259845392819E-5</v>
      </c>
      <c r="BF184" s="3">
        <f t="shared" si="14"/>
        <v>-2.3144751533618785E-5</v>
      </c>
      <c r="BG184" s="3">
        <f t="shared" si="15"/>
        <v>-2.5143675107165741E-5</v>
      </c>
    </row>
    <row r="185" spans="1:59" x14ac:dyDescent="0.25">
      <c r="D185" s="12"/>
      <c r="E185">
        <v>17</v>
      </c>
      <c r="F185">
        <v>0.95</v>
      </c>
      <c r="G185">
        <v>-8.0700000000000008E-3</v>
      </c>
      <c r="H185">
        <v>7.6</v>
      </c>
      <c r="I185">
        <v>-6.4560000000000006E-2</v>
      </c>
      <c r="J185" t="s">
        <v>46</v>
      </c>
      <c r="K185">
        <v>-6.5183639999999996E-4</v>
      </c>
      <c r="L185">
        <v>-5.6692600000000003E-2</v>
      </c>
      <c r="M185">
        <v>-5.1216129999999999E-2</v>
      </c>
      <c r="N185">
        <v>-4.7558780000000002E-2</v>
      </c>
      <c r="O185">
        <v>-4.6828750000000002E-2</v>
      </c>
      <c r="P185">
        <v>-4.6290400000000002E-2</v>
      </c>
      <c r="Q185">
        <v>-4.7021390000000003E-2</v>
      </c>
      <c r="R185">
        <v>-4.756403E-2</v>
      </c>
      <c r="S185">
        <v>-4.7929289999999999E-2</v>
      </c>
      <c r="T185">
        <v>-4.7929289999999999E-2</v>
      </c>
      <c r="U185">
        <v>-4.8659319999999999E-2</v>
      </c>
      <c r="V185">
        <v>-4.8476699999999998E-2</v>
      </c>
      <c r="W185">
        <v>-4.5007709999999999E-2</v>
      </c>
      <c r="X185">
        <v>-3.8982389999999999E-2</v>
      </c>
      <c r="Y185">
        <v>-3.6973480000000003E-2</v>
      </c>
      <c r="Z185">
        <v>-4.0259839999999998E-2</v>
      </c>
      <c r="AA185">
        <v>-4.464245E-2</v>
      </c>
      <c r="AB185">
        <v>-4.9207210000000001E-2</v>
      </c>
      <c r="AC185">
        <v>-5.4685119999999997E-2</v>
      </c>
      <c r="AD185">
        <v>-6.015682E-2</v>
      </c>
      <c r="AE185">
        <v>-7.2023870000000004E-2</v>
      </c>
      <c r="AF185">
        <v>-0.1072598</v>
      </c>
      <c r="AG185">
        <v>-0.15364030000000001</v>
      </c>
      <c r="AH185">
        <v>-0.1647758</v>
      </c>
      <c r="AJ185" t="s">
        <v>339</v>
      </c>
      <c r="AK185" s="3">
        <f>(L185/$AI$169)</f>
        <v>-1.0744988914605334E-5</v>
      </c>
      <c r="AL185" s="3">
        <f t="shared" si="16"/>
        <v>-9.7070296493543358E-6</v>
      </c>
      <c r="AM185" s="3">
        <f t="shared" si="17"/>
        <v>-9.0138494952102019E-6</v>
      </c>
      <c r="AN185" s="3">
        <f t="shared" si="18"/>
        <v>-8.8754863886084705E-6</v>
      </c>
      <c r="AO185" s="3">
        <f t="shared" si="19"/>
        <v>-8.7734525291245554E-6</v>
      </c>
      <c r="AP185" s="3">
        <f t="shared" si="20"/>
        <v>-8.9119975852110167E-6</v>
      </c>
      <c r="AQ185" s="3">
        <f t="shared" si="21"/>
        <v>-9.0148445314548198E-6</v>
      </c>
      <c r="AR185" s="3">
        <f t="shared" si="22"/>
        <v>-9.0840725197804349E-6</v>
      </c>
      <c r="AS185" s="3">
        <f t="shared" si="23"/>
        <v>-9.0840725197804349E-6</v>
      </c>
      <c r="AT185" s="3">
        <f t="shared" si="24"/>
        <v>-9.2224356263821663E-6</v>
      </c>
      <c r="AU185" s="3">
        <f t="shared" si="25"/>
        <v>-9.1878235275264901E-6</v>
      </c>
      <c r="AV185" s="3">
        <f t="shared" si="26"/>
        <v>-8.5303433785321475E-6</v>
      </c>
      <c r="AW185" s="3">
        <f t="shared" si="27"/>
        <v>-7.3883601813079978E-6</v>
      </c>
      <c r="AX185" s="3">
        <f t="shared" si="28"/>
        <v>-7.0076100361313825E-6</v>
      </c>
      <c r="AY185" s="3">
        <f t="shared" si="7"/>
        <v>-7.6304761909629192E-6</v>
      </c>
      <c r="AZ185" s="3">
        <f t="shared" si="8"/>
        <v>-8.4611153902065324E-6</v>
      </c>
      <c r="BA185" s="3">
        <f t="shared" si="9"/>
        <v>-9.326277608870589E-6</v>
      </c>
      <c r="BB185" s="3">
        <f t="shared" si="10"/>
        <v>-1.036450979834868E-5</v>
      </c>
      <c r="BC185" s="3">
        <f t="shared" si="11"/>
        <v>-1.1401565002097423E-5</v>
      </c>
      <c r="BD185" s="3">
        <f t="shared" si="12"/>
        <v>-1.3650735452898185E-5</v>
      </c>
      <c r="BE185" s="3">
        <f t="shared" si="13"/>
        <v>-2.0329026398203384E-5</v>
      </c>
      <c r="BF185" s="3">
        <f t="shared" si="14"/>
        <v>-2.9119555644592732E-5</v>
      </c>
      <c r="BG185" s="3">
        <f t="shared" si="15"/>
        <v>-3.1230074902107605E-5</v>
      </c>
    </row>
    <row r="186" spans="1:59" x14ac:dyDescent="0.25">
      <c r="A186" s="11" t="s">
        <v>319</v>
      </c>
      <c r="D186" s="13" t="s">
        <v>312</v>
      </c>
      <c r="E186">
        <v>18</v>
      </c>
      <c r="F186">
        <v>1</v>
      </c>
      <c r="G186">
        <v>1.26E-2</v>
      </c>
      <c r="H186" s="11">
        <v>8</v>
      </c>
      <c r="I186" s="11">
        <v>0</v>
      </c>
      <c r="J186" t="s">
        <v>47</v>
      </c>
      <c r="K186">
        <v>-1.280308E-3</v>
      </c>
      <c r="L186">
        <v>-4.5741560000000001E-2</v>
      </c>
      <c r="M186">
        <v>-3.7802700000000002E-2</v>
      </c>
      <c r="N186">
        <v>-2.8616909999999999E-2</v>
      </c>
      <c r="O186">
        <v>-2.1588799999999998E-2</v>
      </c>
      <c r="P186">
        <v>-1.5727519999999998E-2</v>
      </c>
      <c r="Q186">
        <v>-1.608849E-2</v>
      </c>
      <c r="R186">
        <v>-1.6677379999999999E-2</v>
      </c>
      <c r="S186">
        <v>-1.745176E-2</v>
      </c>
      <c r="T186">
        <v>-1.8533230000000001E-2</v>
      </c>
      <c r="U186">
        <v>-2.0643229999999999E-2</v>
      </c>
      <c r="V186">
        <v>-2.3936269999999999E-2</v>
      </c>
      <c r="W186">
        <v>-2.898216E-2</v>
      </c>
      <c r="X186">
        <v>-3.2531259999999999E-2</v>
      </c>
      <c r="Y186">
        <v>-3.3432480000000001E-2</v>
      </c>
      <c r="Z186">
        <v>-3.6136149999999999E-2</v>
      </c>
      <c r="AA186">
        <v>-4.0460589999999998E-2</v>
      </c>
      <c r="AB186">
        <v>-4.676056E-2</v>
      </c>
      <c r="AC186">
        <v>-5.4689880000000003E-2</v>
      </c>
      <c r="AD186">
        <v>-6.3387390000000002E-2</v>
      </c>
      <c r="AE186">
        <v>-8.1225870000000006E-2</v>
      </c>
      <c r="AF186">
        <v>-0.12279080000000001</v>
      </c>
      <c r="AG186">
        <v>-0.1992526</v>
      </c>
      <c r="AH186">
        <v>-0.21096229999999999</v>
      </c>
      <c r="AJ186" t="s">
        <v>340</v>
      </c>
      <c r="AK186" s="3">
        <f t="shared" si="6"/>
        <v>-8.6694304924585341E-6</v>
      </c>
      <c r="AL186" s="3">
        <f t="shared" si="16"/>
        <v>-7.1647726941814461E-6</v>
      </c>
      <c r="AM186" s="3">
        <f t="shared" si="17"/>
        <v>-5.4237833636181532E-6</v>
      </c>
      <c r="AN186" s="3">
        <f t="shared" si="18"/>
        <v>-4.0917406624432748E-6</v>
      </c>
      <c r="AO186" s="3">
        <f t="shared" si="19"/>
        <v>-2.9808480834224157E-6</v>
      </c>
      <c r="AP186" s="3">
        <f t="shared" si="20"/>
        <v>-3.0492629849881424E-6</v>
      </c>
      <c r="AQ186" s="3">
        <f t="shared" si="21"/>
        <v>-3.1608757267202541E-6</v>
      </c>
      <c r="AR186" s="3">
        <f t="shared" si="22"/>
        <v>-3.3076445204550994E-6</v>
      </c>
      <c r="AS186" s="3">
        <f t="shared" si="23"/>
        <v>-3.5126163009251826E-6</v>
      </c>
      <c r="AT186" s="3">
        <f t="shared" si="24"/>
        <v>-3.9125261059053253E-6</v>
      </c>
      <c r="AU186" s="3">
        <f t="shared" si="25"/>
        <v>-4.5366583259014434E-6</v>
      </c>
      <c r="AV186" s="3">
        <f t="shared" si="26"/>
        <v>-5.4930094566366352E-6</v>
      </c>
      <c r="AW186" s="3">
        <f t="shared" si="27"/>
        <v>-6.1656729110702967E-6</v>
      </c>
      <c r="AX186" s="3">
        <f t="shared" si="28"/>
        <v>-6.3364817804751328E-6</v>
      </c>
      <c r="AY186" s="3">
        <f t="shared" si="7"/>
        <v>-6.8489102839967739E-6</v>
      </c>
      <c r="AZ186" s="3">
        <f t="shared" si="8"/>
        <v>-7.6685244816500102E-6</v>
      </c>
      <c r="BA186" s="3">
        <f t="shared" si="9"/>
        <v>-8.8625622892712195E-6</v>
      </c>
      <c r="BB186" s="3">
        <f t="shared" si="10"/>
        <v>-1.0365411964543802E-5</v>
      </c>
      <c r="BC186" s="3">
        <f t="shared" si="11"/>
        <v>-1.2013857238436145E-5</v>
      </c>
      <c r="BD186" s="3">
        <f t="shared" si="12"/>
        <v>-1.5394797076323434E-5</v>
      </c>
      <c r="BE186" s="3">
        <f t="shared" si="13"/>
        <v>-2.3272627905855803E-5</v>
      </c>
      <c r="BF186" s="3">
        <f t="shared" si="14"/>
        <v>-3.7764487397055183E-5</v>
      </c>
      <c r="BG186" s="3">
        <f t="shared" si="15"/>
        <v>-3.9983835190124369E-5</v>
      </c>
    </row>
    <row r="187" spans="1:59" x14ac:dyDescent="0.25">
      <c r="D187" s="13"/>
      <c r="E187">
        <v>19</v>
      </c>
      <c r="F187">
        <v>0.95</v>
      </c>
      <c r="G187">
        <v>8.0700000000000008E-3</v>
      </c>
      <c r="H187">
        <v>7.6</v>
      </c>
      <c r="I187">
        <v>6.4560000000000006E-2</v>
      </c>
      <c r="J187" t="s">
        <v>48</v>
      </c>
      <c r="K187">
        <v>-8.8691710000000004E-5</v>
      </c>
      <c r="L187">
        <v>-4.9483300000000001E-2</v>
      </c>
      <c r="M187">
        <v>-5.5303570000000003E-2</v>
      </c>
      <c r="N187">
        <v>-6.0942169999999997E-2</v>
      </c>
      <c r="O187">
        <v>-6.4400669999999993E-2</v>
      </c>
      <c r="P187">
        <v>-6.4601420000000007E-2</v>
      </c>
      <c r="Q187">
        <v>-6.733227E-2</v>
      </c>
      <c r="R187">
        <v>-6.6955570000000006E-2</v>
      </c>
      <c r="S187">
        <v>-6.4588549999999995E-2</v>
      </c>
      <c r="T187">
        <v>-6.2039850000000001E-2</v>
      </c>
      <c r="U187">
        <v>-5.9309960000000002E-2</v>
      </c>
      <c r="V187">
        <v>-5.6753640000000001E-2</v>
      </c>
      <c r="W187">
        <v>-5.7300089999999998E-2</v>
      </c>
      <c r="X187">
        <v>-5.8404449999999997E-2</v>
      </c>
      <c r="Y187">
        <v>-5.5303570000000003E-2</v>
      </c>
      <c r="Z187">
        <v>-5.3300859999999999E-2</v>
      </c>
      <c r="AA187">
        <v>-5.3670879999999997E-2</v>
      </c>
      <c r="AB187">
        <v>-5.5127620000000002E-2</v>
      </c>
      <c r="AC187">
        <v>-5.986118E-2</v>
      </c>
      <c r="AD187">
        <v>-6.6603659999999995E-2</v>
      </c>
      <c r="AE187">
        <v>-8.2989690000000005E-2</v>
      </c>
      <c r="AF187">
        <v>-0.14160539999999999</v>
      </c>
      <c r="AG187">
        <v>-0.21257970000000001</v>
      </c>
      <c r="AH187">
        <v>-0.2264118</v>
      </c>
      <c r="AJ187" t="s">
        <v>341</v>
      </c>
      <c r="AK187" s="3">
        <f t="shared" si="6"/>
        <v>-9.3786051434947443E-6</v>
      </c>
      <c r="AL187" s="3">
        <f t="shared" si="16"/>
        <v>-1.048172506796478E-5</v>
      </c>
      <c r="AM187" s="3">
        <f t="shared" si="17"/>
        <v>-1.1550412947756738E-5</v>
      </c>
      <c r="AN187" s="3">
        <f t="shared" si="18"/>
        <v>-1.2205904919568977E-5</v>
      </c>
      <c r="AO187" s="3">
        <f t="shared" si="19"/>
        <v>-1.2243953210256071E-5</v>
      </c>
      <c r="AP187" s="3">
        <f t="shared" si="20"/>
        <v>-1.2761533158564137E-5</v>
      </c>
      <c r="AQ187" s="3">
        <f t="shared" si="21"/>
        <v>-1.2690136938878821E-5</v>
      </c>
      <c r="AR187" s="3">
        <f t="shared" si="22"/>
        <v>-1.2241513949976404E-5</v>
      </c>
      <c r="AS187" s="3">
        <f t="shared" si="23"/>
        <v>-1.1758457021088779E-5</v>
      </c>
      <c r="AT187" s="3">
        <f t="shared" si="24"/>
        <v>-1.1241059022265441E-5</v>
      </c>
      <c r="AU187" s="3">
        <f t="shared" si="25"/>
        <v>-1.0756557869342769E-5</v>
      </c>
      <c r="AV187" s="3">
        <f t="shared" si="26"/>
        <v>-1.0860126927604094E-5</v>
      </c>
      <c r="AW187" s="3">
        <f t="shared" si="27"/>
        <v>-1.1069437066100715E-5</v>
      </c>
      <c r="AX187" s="3">
        <f t="shared" si="28"/>
        <v>-1.048172506796478E-5</v>
      </c>
      <c r="AY187" s="3">
        <f t="shared" si="7"/>
        <v>-1.010215001321038E-5</v>
      </c>
      <c r="AZ187" s="3">
        <f t="shared" si="8"/>
        <v>-1.0172280167731115E-5</v>
      </c>
      <c r="BA187" s="3">
        <f t="shared" si="9"/>
        <v>-1.0448377138966555E-5</v>
      </c>
      <c r="BB187" s="3">
        <f t="shared" si="10"/>
        <v>-1.1345532142029022E-5</v>
      </c>
      <c r="BC187" s="3">
        <f t="shared" si="11"/>
        <v>-1.2623439185575236E-5</v>
      </c>
      <c r="BD187" s="3">
        <f t="shared" si="12"/>
        <v>-1.5729095138986978E-5</v>
      </c>
      <c r="BE187" s="3">
        <f t="shared" si="13"/>
        <v>-2.6838572463571155E-5</v>
      </c>
      <c r="BF187" s="3">
        <f t="shared" si="14"/>
        <v>-4.0290382165752273E-5</v>
      </c>
      <c r="BG187" s="3">
        <f t="shared" si="15"/>
        <v>-4.2911989944646035E-5</v>
      </c>
    </row>
    <row r="188" spans="1:59" x14ac:dyDescent="0.25">
      <c r="D188" s="13"/>
      <c r="E188">
        <v>20</v>
      </c>
      <c r="F188">
        <v>0.9</v>
      </c>
      <c r="G188">
        <v>1.448E-2</v>
      </c>
      <c r="H188">
        <v>7.2</v>
      </c>
      <c r="I188">
        <v>0.11584</v>
      </c>
      <c r="J188" t="s">
        <v>49</v>
      </c>
      <c r="K188">
        <v>3.4039020000000003E-2</v>
      </c>
      <c r="L188">
        <v>-5.7263370000000001E-2</v>
      </c>
      <c r="M188">
        <v>-6.3004489999999996E-2</v>
      </c>
      <c r="N188">
        <v>-6.9092269999999997E-2</v>
      </c>
      <c r="O188">
        <v>-7.5354099999999993E-2</v>
      </c>
      <c r="P188">
        <v>-7.6049329999999998E-2</v>
      </c>
      <c r="Q188">
        <v>-7.7788830000000003E-2</v>
      </c>
      <c r="R188">
        <v>-8.0394740000000006E-2</v>
      </c>
      <c r="S188">
        <v>-7.9702850000000006E-2</v>
      </c>
      <c r="T188">
        <v>-7.9007149999999998E-2</v>
      </c>
      <c r="U188">
        <v>-7.7440739999999994E-2</v>
      </c>
      <c r="V188">
        <v>-7.5874810000000001E-2</v>
      </c>
      <c r="W188">
        <v>-7.6396469999999994E-2</v>
      </c>
      <c r="X188">
        <v>-7.7093120000000001E-2</v>
      </c>
      <c r="Y188">
        <v>-7.3962689999999998E-2</v>
      </c>
      <c r="Z188">
        <v>-7.0657730000000002E-2</v>
      </c>
      <c r="AA188">
        <v>-6.9439890000000004E-2</v>
      </c>
      <c r="AB188">
        <v>-6.8221089999999998E-2</v>
      </c>
      <c r="AC188">
        <v>-6.9786550000000003E-2</v>
      </c>
      <c r="AD188">
        <v>-7.3092939999999995E-2</v>
      </c>
      <c r="AE188">
        <v>-8.6833949999999993E-2</v>
      </c>
      <c r="AF188">
        <v>-0.15292310000000001</v>
      </c>
      <c r="AG188">
        <v>-0.22439339999999999</v>
      </c>
      <c r="AH188">
        <v>-0.2381296</v>
      </c>
      <c r="AJ188" t="s">
        <v>342</v>
      </c>
      <c r="AK188" s="3">
        <f t="shared" si="6"/>
        <v>-1.0853167359813161E-5</v>
      </c>
      <c r="AL188" s="3">
        <f t="shared" si="16"/>
        <v>-1.1941285928328609E-5</v>
      </c>
      <c r="AM188" s="3">
        <f t="shared" si="17"/>
        <v>-1.3095107213903024E-5</v>
      </c>
      <c r="AN188" s="3">
        <f t="shared" si="18"/>
        <v>-1.4281916320120468E-5</v>
      </c>
      <c r="AO188" s="3">
        <f t="shared" si="19"/>
        <v>-1.4413683757900728E-5</v>
      </c>
      <c r="AP188" s="3">
        <f t="shared" si="20"/>
        <v>-1.474337243361777E-5</v>
      </c>
      <c r="AQ188" s="3">
        <f t="shared" si="21"/>
        <v>-1.5237272414611043E-5</v>
      </c>
      <c r="AR188" s="3">
        <f t="shared" si="22"/>
        <v>-1.5106138009413075E-5</v>
      </c>
      <c r="AS188" s="3">
        <f t="shared" si="23"/>
        <v>-1.4974281492197584E-5</v>
      </c>
      <c r="AT188" s="3">
        <f t="shared" si="24"/>
        <v>-1.467739868763884E-5</v>
      </c>
      <c r="AU188" s="3">
        <f t="shared" si="25"/>
        <v>-1.4380606857822465E-5</v>
      </c>
      <c r="AV188" s="3">
        <f t="shared" si="26"/>
        <v>-1.4479477449702056E-5</v>
      </c>
      <c r="AW188" s="3">
        <f t="shared" si="27"/>
        <v>-1.4611514021095148E-5</v>
      </c>
      <c r="AX188" s="3">
        <f t="shared" si="28"/>
        <v>-1.4018201390382356E-5</v>
      </c>
      <c r="AY188" s="3">
        <f t="shared" si="7"/>
        <v>-1.339180996428417E-5</v>
      </c>
      <c r="AZ188" s="3">
        <f t="shared" si="8"/>
        <v>-1.3160991880446722E-5</v>
      </c>
      <c r="BA188" s="3">
        <f t="shared" si="9"/>
        <v>-1.2929991847124541E-5</v>
      </c>
      <c r="BB188" s="3">
        <f t="shared" si="10"/>
        <v>-1.3226694597505686E-5</v>
      </c>
      <c r="BC188" s="3">
        <f t="shared" si="11"/>
        <v>-1.3853357052523833E-5</v>
      </c>
      <c r="BD188" s="3">
        <f t="shared" si="12"/>
        <v>-1.6457700478746674E-5</v>
      </c>
      <c r="BE188" s="3">
        <f t="shared" si="13"/>
        <v>-2.8983624217042134E-5</v>
      </c>
      <c r="BF188" s="3">
        <f t="shared" si="14"/>
        <v>-4.2529441153000576E-5</v>
      </c>
      <c r="BG188" s="3">
        <f t="shared" si="15"/>
        <v>-4.513287293649263E-5</v>
      </c>
    </row>
    <row r="189" spans="1:59" x14ac:dyDescent="0.25">
      <c r="D189" s="13"/>
      <c r="E189">
        <v>21</v>
      </c>
      <c r="F189">
        <v>0.8</v>
      </c>
      <c r="G189">
        <v>2.623E-2</v>
      </c>
      <c r="H189">
        <v>6.4</v>
      </c>
      <c r="I189">
        <v>0.20984</v>
      </c>
      <c r="J189" t="s">
        <v>50</v>
      </c>
      <c r="K189">
        <v>-3.2901760000000001E-5</v>
      </c>
      <c r="L189">
        <v>-6.1161989999999999E-2</v>
      </c>
      <c r="M189">
        <v>-6.7880629999999997E-2</v>
      </c>
      <c r="N189">
        <v>-7.4055670000000004E-2</v>
      </c>
      <c r="O189">
        <v>-8.113861E-2</v>
      </c>
      <c r="P189">
        <v>-8.5872169999999998E-2</v>
      </c>
      <c r="Q189">
        <v>-8.8232989999999997E-2</v>
      </c>
      <c r="R189">
        <v>-9.0582850000000006E-2</v>
      </c>
      <c r="S189">
        <v>-9.384584E-2</v>
      </c>
      <c r="T189">
        <v>-9.475422E-2</v>
      </c>
      <c r="U189">
        <v>-9.5304970000000003E-2</v>
      </c>
      <c r="V189">
        <v>-9.5849989999999996E-2</v>
      </c>
      <c r="W189">
        <v>-9.8210809999999996E-2</v>
      </c>
      <c r="X189">
        <v>-0.100215</v>
      </c>
      <c r="Y189">
        <v>-9.8937029999999995E-2</v>
      </c>
      <c r="Z189">
        <v>-9.6031190000000002E-2</v>
      </c>
      <c r="AA189">
        <v>-9.4760419999999998E-2</v>
      </c>
      <c r="AB189">
        <v>-9.2943670000000006E-2</v>
      </c>
      <c r="AC189">
        <v>-9.0946200000000005E-2</v>
      </c>
      <c r="AD189">
        <v>-8.7864880000000006E-2</v>
      </c>
      <c r="AE189">
        <v>-9.4584470000000004E-2</v>
      </c>
      <c r="AF189">
        <v>-0.16521739999999999</v>
      </c>
      <c r="AG189">
        <v>-0.22931860000000001</v>
      </c>
      <c r="AH189">
        <v>-0.2443881</v>
      </c>
      <c r="AJ189" t="s">
        <v>343</v>
      </c>
      <c r="AK189" s="3">
        <f t="shared" si="6"/>
        <v>-1.1592075589145713E-5</v>
      </c>
      <c r="AL189" s="3">
        <f t="shared" si="16"/>
        <v>-1.2865464220487793E-5</v>
      </c>
      <c r="AM189" s="3">
        <f t="shared" si="17"/>
        <v>-1.4035823956101339E-5</v>
      </c>
      <c r="AN189" s="3">
        <f t="shared" si="18"/>
        <v>-1.5378258626284303E-5</v>
      </c>
      <c r="AO189" s="3">
        <f t="shared" si="19"/>
        <v>-1.627541362934677E-5</v>
      </c>
      <c r="AP189" s="3">
        <f t="shared" si="20"/>
        <v>-1.6722861527826967E-5</v>
      </c>
      <c r="AQ189" s="3">
        <f t="shared" si="21"/>
        <v>-1.7168232169689831E-5</v>
      </c>
      <c r="AR189" s="3">
        <f t="shared" si="22"/>
        <v>-1.7786668991752466E-5</v>
      </c>
      <c r="AS189" s="3">
        <f t="shared" si="23"/>
        <v>-1.7958834901064248E-5</v>
      </c>
      <c r="AT189" s="3">
        <f t="shared" si="24"/>
        <v>-1.8063218941392596E-5</v>
      </c>
      <c r="AU189" s="3">
        <f t="shared" si="25"/>
        <v>-1.8166516970733957E-5</v>
      </c>
      <c r="AV189" s="3">
        <f t="shared" si="26"/>
        <v>-1.8613964869214158E-5</v>
      </c>
      <c r="AW189" s="3">
        <f t="shared" si="27"/>
        <v>-1.8993820429424182E-5</v>
      </c>
      <c r="AX189" s="3">
        <f t="shared" si="28"/>
        <v>-1.8751605863798367E-5</v>
      </c>
      <c r="AY189" s="3">
        <f t="shared" si="7"/>
        <v>-1.8200859935976806E-5</v>
      </c>
      <c r="AZ189" s="3">
        <f t="shared" si="8"/>
        <v>-1.7960009991486463E-5</v>
      </c>
      <c r="BA189" s="3">
        <f t="shared" si="9"/>
        <v>-1.7615680068170032E-5</v>
      </c>
      <c r="BB189" s="3">
        <f t="shared" si="10"/>
        <v>-1.7237098154353119E-5</v>
      </c>
      <c r="BC189" s="3">
        <f t="shared" si="11"/>
        <v>-1.6653093376968563E-5</v>
      </c>
      <c r="BD189" s="3">
        <f t="shared" si="12"/>
        <v>-1.7926662062488238E-5</v>
      </c>
      <c r="BE189" s="3">
        <f t="shared" si="13"/>
        <v>-3.131377166508354E-5</v>
      </c>
      <c r="BF189" s="3">
        <f t="shared" si="14"/>
        <v>-4.3462917821952329E-5</v>
      </c>
      <c r="BG189" s="3">
        <f t="shared" si="15"/>
        <v>-4.6319050905434919E-5</v>
      </c>
    </row>
    <row r="190" spans="1:59" x14ac:dyDescent="0.25">
      <c r="D190" s="13"/>
      <c r="E190">
        <v>22</v>
      </c>
      <c r="F190">
        <v>0.7</v>
      </c>
      <c r="G190">
        <v>3.6639999999999999E-2</v>
      </c>
      <c r="H190">
        <v>5.6</v>
      </c>
      <c r="I190">
        <v>0.29311999999999999</v>
      </c>
      <c r="J190" t="s">
        <v>51</v>
      </c>
      <c r="K190">
        <v>-5.0067899999999997E-4</v>
      </c>
      <c r="L190">
        <v>-7.1237560000000005E-2</v>
      </c>
      <c r="M190">
        <v>-7.8424930000000004E-2</v>
      </c>
      <c r="N190">
        <v>-8.5615159999999996E-2</v>
      </c>
      <c r="O190">
        <v>-9.3883040000000001E-2</v>
      </c>
      <c r="P190">
        <v>-9.9820610000000004E-2</v>
      </c>
      <c r="Q190">
        <v>-0.106111</v>
      </c>
      <c r="R190">
        <v>-0.11186309999999999</v>
      </c>
      <c r="S190">
        <v>-0.11976340000000001</v>
      </c>
      <c r="T190">
        <v>-0.1229982</v>
      </c>
      <c r="U190">
        <v>-0.12497659999999999</v>
      </c>
      <c r="V190">
        <v>-0.1265936</v>
      </c>
      <c r="W190">
        <v>-0.12893009999999999</v>
      </c>
      <c r="X190">
        <v>-0.13144639999999999</v>
      </c>
      <c r="Y190">
        <v>-0.1310868</v>
      </c>
      <c r="Z190">
        <v>-0.12875030000000001</v>
      </c>
      <c r="AA190">
        <v>-0.12713379999999999</v>
      </c>
      <c r="AB190">
        <v>-0.1256948</v>
      </c>
      <c r="AC190">
        <v>-0.1221008</v>
      </c>
      <c r="AD190">
        <v>-0.11473179999999999</v>
      </c>
      <c r="AE190">
        <v>-0.1116767</v>
      </c>
      <c r="AF190">
        <v>-0.1801548</v>
      </c>
      <c r="AG190">
        <v>-0.23172280000000001</v>
      </c>
      <c r="AH190">
        <v>-0.24753520000000001</v>
      </c>
      <c r="AJ190" t="s">
        <v>344</v>
      </c>
      <c r="AK190" s="3">
        <f t="shared" si="6"/>
        <v>-1.350170555775414E-5</v>
      </c>
      <c r="AL190" s="3">
        <f t="shared" si="16"/>
        <v>-1.4863932920322921E-5</v>
      </c>
      <c r="AM190" s="3">
        <f t="shared" si="17"/>
        <v>-1.6226702340731628E-5</v>
      </c>
      <c r="AN190" s="3">
        <f t="shared" si="18"/>
        <v>-1.7793719534285765E-5</v>
      </c>
      <c r="AO190" s="3">
        <f t="shared" si="19"/>
        <v>-1.8919071411421284E-5</v>
      </c>
      <c r="AP190" s="3">
        <f t="shared" si="20"/>
        <v>-2.0111293514809454E-5</v>
      </c>
      <c r="AQ190" s="3">
        <f t="shared" si="21"/>
        <v>-2.1201493130556506E-5</v>
      </c>
      <c r="AR190" s="3">
        <f t="shared" si="22"/>
        <v>-2.2698842624530265E-5</v>
      </c>
      <c r="AS190" s="3">
        <f t="shared" si="23"/>
        <v>-2.3311936575786077E-5</v>
      </c>
      <c r="AT190" s="3">
        <f t="shared" si="24"/>
        <v>-2.3686904138901107E-5</v>
      </c>
      <c r="AU190" s="3">
        <f t="shared" si="25"/>
        <v>-2.3993375302243708E-5</v>
      </c>
      <c r="AV190" s="3">
        <f t="shared" si="26"/>
        <v>-2.4436213813777408E-5</v>
      </c>
      <c r="AW190" s="3">
        <f t="shared" si="27"/>
        <v>-2.4913129947555385E-5</v>
      </c>
      <c r="AX190" s="3">
        <f t="shared" si="28"/>
        <v>-2.4844974703066829E-5</v>
      </c>
      <c r="AY190" s="3">
        <f t="shared" si="7"/>
        <v>-2.440213619153313E-5</v>
      </c>
      <c r="AZ190" s="3">
        <f t="shared" si="8"/>
        <v>-2.4095759793547155E-5</v>
      </c>
      <c r="BA190" s="3">
        <f t="shared" si="9"/>
        <v>-2.3823025097164963E-5</v>
      </c>
      <c r="BB190" s="3">
        <f t="shared" si="10"/>
        <v>-2.3141851713705894E-5</v>
      </c>
      <c r="BC190" s="3">
        <f t="shared" si="11"/>
        <v>-2.1745199887687568E-5</v>
      </c>
      <c r="BD190" s="3">
        <f t="shared" si="12"/>
        <v>-2.1166164605604707E-5</v>
      </c>
      <c r="BE190" s="3">
        <f t="shared" si="13"/>
        <v>-3.4144867741344393E-5</v>
      </c>
      <c r="BF190" s="3">
        <f t="shared" si="14"/>
        <v>-4.391858756277378E-5</v>
      </c>
      <c r="BG190" s="3">
        <f t="shared" si="15"/>
        <v>-4.691552301313777E-5</v>
      </c>
    </row>
    <row r="191" spans="1:59" x14ac:dyDescent="0.25">
      <c r="D191" s="13"/>
      <c r="E191">
        <v>23</v>
      </c>
      <c r="F191">
        <v>0.4</v>
      </c>
      <c r="G191">
        <v>5.8029999999999998E-2</v>
      </c>
      <c r="H191">
        <v>3.2</v>
      </c>
      <c r="I191">
        <v>0.46423999999999999</v>
      </c>
      <c r="J191" t="s">
        <v>52</v>
      </c>
      <c r="K191">
        <v>-1.240253E-3</v>
      </c>
      <c r="L191">
        <v>-7.7335829999999994E-2</v>
      </c>
      <c r="M191">
        <v>-9.006596E-2</v>
      </c>
      <c r="N191">
        <v>-0.10313890000000001</v>
      </c>
      <c r="O191">
        <v>-0.11760710000000001</v>
      </c>
      <c r="P191">
        <v>-0.1296263</v>
      </c>
      <c r="Q191">
        <v>-0.1421771</v>
      </c>
      <c r="R191">
        <v>-0.15298990000000001</v>
      </c>
      <c r="S191">
        <v>-0.1632786</v>
      </c>
      <c r="T191">
        <v>-0.17234179999999999</v>
      </c>
      <c r="U191">
        <v>-0.18140510000000001</v>
      </c>
      <c r="V191">
        <v>-0.19429540000000001</v>
      </c>
      <c r="W191">
        <v>-0.20457890000000001</v>
      </c>
      <c r="X191">
        <v>-0.21347140000000001</v>
      </c>
      <c r="Y191">
        <v>-0.21974469999999999</v>
      </c>
      <c r="Z191">
        <v>-0.22305630000000001</v>
      </c>
      <c r="AA191">
        <v>-0.22828480000000001</v>
      </c>
      <c r="AB191">
        <v>-0.23403599999999999</v>
      </c>
      <c r="AC191">
        <v>-0.23595289999999999</v>
      </c>
      <c r="AD191">
        <v>-0.23106860000000001</v>
      </c>
      <c r="AE191">
        <v>-0.2277575</v>
      </c>
      <c r="AF191">
        <v>-0.18732789999999999</v>
      </c>
      <c r="AG191">
        <v>-0.2124267</v>
      </c>
      <c r="AH191">
        <v>-0.22584580000000001</v>
      </c>
      <c r="AJ191" t="s">
        <v>345</v>
      </c>
      <c r="AK191" s="3">
        <f t="shared" si="6"/>
        <v>-1.4657515020510658E-5</v>
      </c>
      <c r="AL191" s="3">
        <f t="shared" si="16"/>
        <v>-1.7070265639312492E-5</v>
      </c>
      <c r="AM191" s="3">
        <f t="shared" si="17"/>
        <v>-1.9547989281927235E-5</v>
      </c>
      <c r="AN191" s="3">
        <f t="shared" si="18"/>
        <v>-2.2290157547526151E-5</v>
      </c>
      <c r="AO191" s="3">
        <f t="shared" si="19"/>
        <v>-2.4568165096349531E-5</v>
      </c>
      <c r="AP191" s="3">
        <f t="shared" si="20"/>
        <v>-2.6946927172342316E-5</v>
      </c>
      <c r="AQ191" s="3">
        <f t="shared" si="21"/>
        <v>-2.8996284868687953E-5</v>
      </c>
      <c r="AR191" s="3">
        <f t="shared" si="22"/>
        <v>-3.0946309518213636E-5</v>
      </c>
      <c r="AS191" s="3">
        <f t="shared" si="23"/>
        <v>-3.2664064278638291E-5</v>
      </c>
      <c r="AT191" s="3">
        <f t="shared" si="24"/>
        <v>-3.4381837992134283E-5</v>
      </c>
      <c r="AU191" s="3">
        <f t="shared" si="25"/>
        <v>-3.6824945745279086E-5</v>
      </c>
      <c r="AV191" s="3">
        <f t="shared" si="26"/>
        <v>-3.8773984835095815E-5</v>
      </c>
      <c r="AW191" s="3">
        <f t="shared" si="27"/>
        <v>-4.0459386702766868E-5</v>
      </c>
      <c r="AX191" s="3">
        <f t="shared" si="28"/>
        <v>-4.164836972626541E-5</v>
      </c>
      <c r="AY191" s="3">
        <f t="shared" si="7"/>
        <v>-4.2276019636299653E-5</v>
      </c>
      <c r="AZ191" s="3">
        <f t="shared" si="8"/>
        <v>-4.3266980970583385E-5</v>
      </c>
      <c r="BA191" s="3">
        <f t="shared" si="9"/>
        <v>-4.4357010008688501E-5</v>
      </c>
      <c r="BB191" s="3">
        <f t="shared" si="10"/>
        <v>-4.4720321432937998E-5</v>
      </c>
      <c r="BC191" s="3">
        <f t="shared" si="11"/>
        <v>-4.379459657015861E-5</v>
      </c>
      <c r="BD191" s="3">
        <f t="shared" si="12"/>
        <v>-4.3167041425481001E-5</v>
      </c>
      <c r="BE191" s="3">
        <f t="shared" si="13"/>
        <v>-3.5504390500634938E-5</v>
      </c>
      <c r="BF191" s="3">
        <f t="shared" si="14"/>
        <v>-4.0261383966623382E-5</v>
      </c>
      <c r="BG191" s="3">
        <f t="shared" si="15"/>
        <v>-4.2804715560940462E-5</v>
      </c>
    </row>
    <row r="192" spans="1:59" x14ac:dyDescent="0.25">
      <c r="D192" s="13"/>
      <c r="E192">
        <v>24</v>
      </c>
      <c r="F192">
        <v>0.3</v>
      </c>
      <c r="G192">
        <v>6.0019999999999997E-2</v>
      </c>
      <c r="H192">
        <v>2.4</v>
      </c>
      <c r="I192">
        <v>0.48015999999999998</v>
      </c>
      <c r="J192" t="s">
        <v>53</v>
      </c>
      <c r="K192">
        <v>9.9182129999999996E-5</v>
      </c>
      <c r="L192">
        <v>-7.032919E-2</v>
      </c>
      <c r="M192">
        <v>-8.567429E-2</v>
      </c>
      <c r="N192">
        <v>-0.1024914</v>
      </c>
      <c r="O192">
        <v>-0.1198525</v>
      </c>
      <c r="P192">
        <v>-0.13485430000000001</v>
      </c>
      <c r="Q192">
        <v>-0.1509356</v>
      </c>
      <c r="R192">
        <v>-0.16552929999999999</v>
      </c>
      <c r="S192">
        <v>-0.17887069999999999</v>
      </c>
      <c r="T192">
        <v>-0.19147829999999999</v>
      </c>
      <c r="U192">
        <v>-0.20538519999999999</v>
      </c>
      <c r="V192">
        <v>-0.21578549999999999</v>
      </c>
      <c r="W192">
        <v>-0.23515269999999999</v>
      </c>
      <c r="X192">
        <v>-0.24812980000000001</v>
      </c>
      <c r="Y192">
        <v>-0.2578163</v>
      </c>
      <c r="Z192">
        <v>-0.26548959999999999</v>
      </c>
      <c r="AA192">
        <v>-0.27353100000000002</v>
      </c>
      <c r="AB192">
        <v>-0.2833986</v>
      </c>
      <c r="AC192">
        <v>-0.28869679999999998</v>
      </c>
      <c r="AD192">
        <v>-0.28648659999999998</v>
      </c>
      <c r="AE192">
        <v>-0.28904439999999998</v>
      </c>
      <c r="AF192">
        <v>-0.2022591</v>
      </c>
      <c r="AG192">
        <v>-0.20483779999999999</v>
      </c>
      <c r="AH192">
        <v>-0.21653220000000001</v>
      </c>
      <c r="AJ192" t="s">
        <v>346</v>
      </c>
      <c r="AK192" s="3">
        <f t="shared" si="6"/>
        <v>-1.3329541543749489E-5</v>
      </c>
      <c r="AL192" s="3">
        <f t="shared" si="16"/>
        <v>-1.6237909291806737E-5</v>
      </c>
      <c r="AM192" s="3">
        <f t="shared" si="17"/>
        <v>-1.942526814509091E-5</v>
      </c>
      <c r="AN192" s="3">
        <f t="shared" si="18"/>
        <v>-2.2715729811081795E-5</v>
      </c>
      <c r="AO192" s="3">
        <f t="shared" si="19"/>
        <v>-2.5559031665276633E-5</v>
      </c>
      <c r="AP192" s="3">
        <f t="shared" si="20"/>
        <v>-2.8606931924436431E-5</v>
      </c>
      <c r="AQ192" s="3">
        <f t="shared" si="21"/>
        <v>-3.1372886294549562E-5</v>
      </c>
      <c r="AR192" s="3">
        <f t="shared" si="22"/>
        <v>-3.3901491352446285E-5</v>
      </c>
      <c r="AS192" s="3">
        <f t="shared" si="23"/>
        <v>-3.6291018772952277E-5</v>
      </c>
      <c r="AT192" s="3">
        <f t="shared" si="24"/>
        <v>-3.892680344919794E-5</v>
      </c>
      <c r="AU192" s="3">
        <f t="shared" si="25"/>
        <v>-4.0897979726323525E-5</v>
      </c>
      <c r="AV192" s="3">
        <f t="shared" si="26"/>
        <v>-4.456865895618676E-5</v>
      </c>
      <c r="AW192" s="3">
        <f t="shared" si="27"/>
        <v>-4.7028217975242596E-5</v>
      </c>
      <c r="AX192" s="3">
        <f t="shared" si="28"/>
        <v>-4.8864107229242668E-5</v>
      </c>
      <c r="AY192" s="3">
        <f t="shared" si="7"/>
        <v>-5.0318433251306238E-5</v>
      </c>
      <c r="AZ192" s="3">
        <f t="shared" si="8"/>
        <v>-5.184252552892109E-5</v>
      </c>
      <c r="BA192" s="3">
        <f t="shared" si="9"/>
        <v>-5.3712738795092672E-5</v>
      </c>
      <c r="BB192" s="3">
        <f t="shared" si="10"/>
        <v>-5.4716910420090678E-5</v>
      </c>
      <c r="BC192" s="3">
        <f t="shared" si="11"/>
        <v>-5.4298009637641807E-5</v>
      </c>
      <c r="BD192" s="3">
        <f t="shared" si="12"/>
        <v>-5.4782791296020108E-5</v>
      </c>
      <c r="BE192" s="3">
        <f t="shared" si="13"/>
        <v>-3.8334311486473573E-5</v>
      </c>
      <c r="BF192" s="3">
        <f t="shared" si="14"/>
        <v>-3.8823054336759014E-5</v>
      </c>
      <c r="BG192" s="3">
        <f t="shared" si="15"/>
        <v>-4.1039502309915313E-5</v>
      </c>
    </row>
    <row r="193" spans="4:59" x14ac:dyDescent="0.25">
      <c r="D193" s="13"/>
      <c r="E193">
        <v>25</v>
      </c>
      <c r="F193">
        <v>0.25</v>
      </c>
      <c r="G193">
        <v>5.9409999999999998E-2</v>
      </c>
      <c r="H193">
        <v>2</v>
      </c>
      <c r="I193">
        <v>0.47527999999999998</v>
      </c>
      <c r="J193" t="s">
        <v>54</v>
      </c>
      <c r="K193">
        <v>-9.5558169999999997E-4</v>
      </c>
      <c r="L193">
        <v>-6.7307000000000006E-2</v>
      </c>
      <c r="M193">
        <v>-8.4156040000000001E-2</v>
      </c>
      <c r="N193">
        <v>-0.10329960000000001</v>
      </c>
      <c r="O193">
        <v>-0.1229391</v>
      </c>
      <c r="P193">
        <v>-0.14124629999999999</v>
      </c>
      <c r="Q193">
        <v>-0.1596236</v>
      </c>
      <c r="R193">
        <v>-0.1760592</v>
      </c>
      <c r="S193">
        <v>-0.19226550000000001</v>
      </c>
      <c r="T193">
        <v>-0.20667740000000001</v>
      </c>
      <c r="U193">
        <v>-0.22215270000000001</v>
      </c>
      <c r="V193">
        <v>-0.2406993</v>
      </c>
      <c r="W193">
        <v>-0.25781199999999999</v>
      </c>
      <c r="X193">
        <v>-0.27496959999999998</v>
      </c>
      <c r="Y193">
        <v>-0.2873869</v>
      </c>
      <c r="Z193">
        <v>-0.29675289999999999</v>
      </c>
      <c r="AA193">
        <v>-0.30682799999999999</v>
      </c>
      <c r="AB193">
        <v>-0.32014799999999999</v>
      </c>
      <c r="AC193">
        <v>-0.32735199999999998</v>
      </c>
      <c r="AD193">
        <v>-0.32783600000000002</v>
      </c>
      <c r="AE193">
        <v>-0.3330593</v>
      </c>
      <c r="AF193">
        <v>-0.23187830000000001</v>
      </c>
      <c r="AG193">
        <v>-0.20268820000000001</v>
      </c>
      <c r="AH193">
        <v>-0.2131371</v>
      </c>
      <c r="AJ193" t="s">
        <v>347</v>
      </c>
      <c r="AK193" s="3">
        <f t="shared" si="6"/>
        <v>-1.2756743717440041E-5</v>
      </c>
      <c r="AL193" s="3">
        <f t="shared" si="16"/>
        <v>-1.595015428639863E-5</v>
      </c>
      <c r="AM193" s="3">
        <f t="shared" si="17"/>
        <v>-1.9578446867548236E-5</v>
      </c>
      <c r="AN193" s="3">
        <f t="shared" si="18"/>
        <v>-2.3300735310632367E-5</v>
      </c>
      <c r="AO193" s="3">
        <f t="shared" si="19"/>
        <v>-2.6770511984439226E-5</v>
      </c>
      <c r="AP193" s="3">
        <f t="shared" si="20"/>
        <v>-3.0253574761245664E-5</v>
      </c>
      <c r="AQ193" s="3">
        <f t="shared" si="21"/>
        <v>-3.3368625752113737E-5</v>
      </c>
      <c r="AR193" s="3">
        <f t="shared" si="22"/>
        <v>-3.6440217350431127E-5</v>
      </c>
      <c r="AS193" s="3">
        <f t="shared" si="23"/>
        <v>-3.9171715036873463E-5</v>
      </c>
      <c r="AT193" s="3">
        <f t="shared" si="24"/>
        <v>-4.2104759683797255E-5</v>
      </c>
      <c r="AU193" s="3">
        <f t="shared" si="25"/>
        <v>-4.5619910010358733E-5</v>
      </c>
      <c r="AV193" s="3">
        <f t="shared" si="26"/>
        <v>-4.8863292247175647E-5</v>
      </c>
      <c r="AW193" s="3">
        <f t="shared" si="27"/>
        <v>-5.2115184413017969E-5</v>
      </c>
      <c r="AX193" s="3">
        <f t="shared" si="28"/>
        <v>-5.4468644138790451E-5</v>
      </c>
      <c r="AY193" s="3">
        <f t="shared" si="7"/>
        <v>-5.6243788799190459E-5</v>
      </c>
      <c r="AZ193" s="3">
        <f t="shared" si="8"/>
        <v>-5.8153329688363649E-5</v>
      </c>
      <c r="BA193" s="3">
        <f t="shared" si="9"/>
        <v>-6.0677878788996591E-5</v>
      </c>
      <c r="BB193" s="3">
        <f t="shared" si="10"/>
        <v>-6.2043258047326903E-5</v>
      </c>
      <c r="BC193" s="3">
        <f t="shared" si="11"/>
        <v>-6.2134990912545104E-5</v>
      </c>
      <c r="BD193" s="3">
        <f t="shared" si="12"/>
        <v>-6.3124966687119879E-5</v>
      </c>
      <c r="BE193" s="3">
        <f t="shared" si="13"/>
        <v>-4.3948059588685826E-5</v>
      </c>
      <c r="BF193" s="3">
        <f t="shared" si="14"/>
        <v>-3.8415639115533754E-5</v>
      </c>
      <c r="BG193" s="3">
        <f t="shared" si="15"/>
        <v>-4.0396026585323804E-5</v>
      </c>
    </row>
    <row r="194" spans="4:59" x14ac:dyDescent="0.25">
      <c r="D194" s="13"/>
      <c r="E194">
        <v>26</v>
      </c>
      <c r="F194">
        <v>0.2</v>
      </c>
      <c r="G194">
        <v>5.7369999999999997E-2</v>
      </c>
      <c r="H194">
        <v>1.6</v>
      </c>
      <c r="I194">
        <v>0.45895999999999998</v>
      </c>
      <c r="J194" t="s">
        <v>55</v>
      </c>
      <c r="K194">
        <v>3.7574769999999997E-4</v>
      </c>
      <c r="L194">
        <v>-5.6524749999999999E-2</v>
      </c>
      <c r="M194">
        <v>-7.6289179999999998E-2</v>
      </c>
      <c r="N194">
        <v>-9.7345829999999994E-2</v>
      </c>
      <c r="O194">
        <v>-0.11987879999999999</v>
      </c>
      <c r="P194">
        <v>-0.1409416</v>
      </c>
      <c r="Q194">
        <v>-0.1621804</v>
      </c>
      <c r="R194">
        <v>-0.18118999999999999</v>
      </c>
      <c r="S194">
        <v>-0.20039560000000001</v>
      </c>
      <c r="T194">
        <v>-0.21849250000000001</v>
      </c>
      <c r="U194">
        <v>-0.23713590000000001</v>
      </c>
      <c r="V194">
        <v>-0.25744820000000002</v>
      </c>
      <c r="W194">
        <v>-0.2748041</v>
      </c>
      <c r="X194">
        <v>-0.29991770000000001</v>
      </c>
      <c r="Y194">
        <v>-0.31672240000000002</v>
      </c>
      <c r="Z194">
        <v>-0.328907</v>
      </c>
      <c r="AA194">
        <v>-0.34258650000000002</v>
      </c>
      <c r="AB194">
        <v>-0.35937599999999997</v>
      </c>
      <c r="AC194">
        <v>-0.36971470000000001</v>
      </c>
      <c r="AD194">
        <v>-0.37210080000000001</v>
      </c>
      <c r="AE194">
        <v>-0.38243870000000002</v>
      </c>
      <c r="AF194">
        <v>-0.2796187</v>
      </c>
      <c r="AG194">
        <v>-0.19911000000000001</v>
      </c>
      <c r="AH194">
        <v>-0.20945169999999999</v>
      </c>
      <c r="AJ194" t="s">
        <v>348</v>
      </c>
      <c r="AK194" s="3">
        <f t="shared" si="6"/>
        <v>-1.0713176184384519E-5</v>
      </c>
      <c r="AL194" s="3">
        <f t="shared" si="16"/>
        <v>-1.4459142699476315E-5</v>
      </c>
      <c r="AM194" s="3">
        <f t="shared" si="17"/>
        <v>-1.8450024592857889E-5</v>
      </c>
      <c r="AN194" s="3">
        <f t="shared" si="18"/>
        <v>-2.2720714468840548E-5</v>
      </c>
      <c r="AO194" s="3">
        <f t="shared" si="19"/>
        <v>-2.6712761976108682E-5</v>
      </c>
      <c r="AP194" s="3">
        <f t="shared" si="20"/>
        <v>-3.07381668889107E-5</v>
      </c>
      <c r="AQ194" s="3">
        <f t="shared" si="21"/>
        <v>-3.4341069935711894E-5</v>
      </c>
      <c r="AR194" s="3">
        <f t="shared" si="22"/>
        <v>-3.7981121002312202E-5</v>
      </c>
      <c r="AS194" s="3">
        <f t="shared" si="23"/>
        <v>-4.1411039367120329E-5</v>
      </c>
      <c r="AT194" s="3">
        <f t="shared" si="24"/>
        <v>-4.4944536266725445E-5</v>
      </c>
      <c r="AU194" s="3">
        <f t="shared" si="25"/>
        <v>-4.8794340973691401E-5</v>
      </c>
      <c r="AV194" s="3">
        <f t="shared" si="26"/>
        <v>-5.2083817079973318E-5</v>
      </c>
      <c r="AW194" s="3">
        <f t="shared" si="27"/>
        <v>-5.6843615600518021E-5</v>
      </c>
      <c r="AX194" s="3">
        <f t="shared" si="28"/>
        <v>-6.0028622377650632E-5</v>
      </c>
      <c r="AY194" s="3">
        <f t="shared" si="7"/>
        <v>-6.2337978306447337E-5</v>
      </c>
      <c r="AZ194" s="3">
        <f t="shared" si="8"/>
        <v>-6.4930663698497518E-5</v>
      </c>
      <c r="BA194" s="3">
        <f t="shared" si="9"/>
        <v>-6.8112789608788552E-5</v>
      </c>
      <c r="BB194" s="3">
        <f t="shared" si="10"/>
        <v>-7.0072290793977279E-5</v>
      </c>
      <c r="BC194" s="3">
        <f t="shared" si="11"/>
        <v>-7.0524530028888717E-5</v>
      </c>
      <c r="BD194" s="3">
        <f t="shared" si="12"/>
        <v>-7.2483879589506825E-5</v>
      </c>
      <c r="BE194" s="3">
        <f t="shared" si="13"/>
        <v>-5.2996331652038439E-5</v>
      </c>
      <c r="BF194" s="3">
        <f t="shared" si="14"/>
        <v>-3.7737460317344207E-5</v>
      </c>
      <c r="BG194" s="3">
        <f t="shared" si="15"/>
        <v>-3.9697530094672702E-5</v>
      </c>
    </row>
    <row r="195" spans="4:59" x14ac:dyDescent="0.25">
      <c r="D195" s="13"/>
      <c r="E195">
        <v>27</v>
      </c>
      <c r="F195">
        <v>0.15</v>
      </c>
      <c r="G195">
        <v>5.3449999999999998E-2</v>
      </c>
      <c r="H195">
        <v>1.2</v>
      </c>
      <c r="I195">
        <v>0.42759999999999998</v>
      </c>
      <c r="J195" t="s">
        <v>56</v>
      </c>
      <c r="K195">
        <v>2.7942659999999998E-4</v>
      </c>
      <c r="L195">
        <v>-4.4765470000000002E-2</v>
      </c>
      <c r="M195">
        <v>-6.7972179999999993E-2</v>
      </c>
      <c r="N195">
        <v>-9.2451569999999997E-2</v>
      </c>
      <c r="O195">
        <v>-0.11891790000000001</v>
      </c>
      <c r="P195">
        <v>-0.1437831</v>
      </c>
      <c r="Q195">
        <v>-0.16952420000000001</v>
      </c>
      <c r="R195">
        <v>-0.19306329999999999</v>
      </c>
      <c r="S195">
        <v>-0.21679309999999999</v>
      </c>
      <c r="T195">
        <v>-0.23890400000000001</v>
      </c>
      <c r="U195">
        <v>-0.26247219999999999</v>
      </c>
      <c r="V195">
        <v>-0.28585339999999998</v>
      </c>
      <c r="W195">
        <v>-0.31611630000000002</v>
      </c>
      <c r="X195">
        <v>-0.34312680000000001</v>
      </c>
      <c r="Y195">
        <v>-0.36449340000000002</v>
      </c>
      <c r="Z195">
        <v>-0.38170670000000001</v>
      </c>
      <c r="AA195">
        <v>-0.39983269999999999</v>
      </c>
      <c r="AB195">
        <v>-0.42191980000000001</v>
      </c>
      <c r="AC195">
        <v>-0.43786330000000001</v>
      </c>
      <c r="AD195">
        <v>-0.44350669999999998</v>
      </c>
      <c r="AE195">
        <v>-0.45872499999999999</v>
      </c>
      <c r="AF195">
        <v>-0.3590565</v>
      </c>
      <c r="AG195">
        <v>-0.1972265</v>
      </c>
      <c r="AH195">
        <v>-0.20828289999999999</v>
      </c>
      <c r="AJ195" t="s">
        <v>349</v>
      </c>
      <c r="AK195" s="3">
        <f t="shared" si="6"/>
        <v>-8.4844314585518682E-6</v>
      </c>
      <c r="AL195" s="3">
        <f t="shared" si="16"/>
        <v>-1.288281575728681E-5</v>
      </c>
      <c r="AM195" s="3">
        <f t="shared" si="17"/>
        <v>-1.7522412004174425E-5</v>
      </c>
      <c r="AN195" s="3">
        <f t="shared" si="18"/>
        <v>-2.2538594406468314E-5</v>
      </c>
      <c r="AO195" s="3">
        <f t="shared" si="19"/>
        <v>-2.7251313497839048E-5</v>
      </c>
      <c r="AP195" s="3">
        <f t="shared" si="20"/>
        <v>-3.2130042540954862E-5</v>
      </c>
      <c r="AQ195" s="3">
        <f t="shared" si="21"/>
        <v>-3.6591424953470541E-5</v>
      </c>
      <c r="AR195" s="3">
        <f t="shared" si="22"/>
        <v>-4.108895087300504E-5</v>
      </c>
      <c r="AS195" s="3">
        <f t="shared" si="23"/>
        <v>-4.5279645520841741E-5</v>
      </c>
      <c r="AT195" s="3">
        <f t="shared" si="24"/>
        <v>-4.9746543277113307E-5</v>
      </c>
      <c r="AU195" s="3">
        <f t="shared" si="25"/>
        <v>-5.4177998790005116E-5</v>
      </c>
      <c r="AV195" s="3">
        <f t="shared" si="26"/>
        <v>-5.9913747812343306E-5</v>
      </c>
      <c r="AW195" s="3">
        <f t="shared" si="27"/>
        <v>-6.5033067142872289E-5</v>
      </c>
      <c r="AX195" s="3">
        <f t="shared" si="28"/>
        <v>-6.9082694080829026E-5</v>
      </c>
      <c r="AY195" s="3">
        <f t="shared" si="7"/>
        <v>-7.2345143107399967E-5</v>
      </c>
      <c r="AZ195" s="3">
        <f t="shared" si="8"/>
        <v>-7.5780576815963981E-5</v>
      </c>
      <c r="BA195" s="3">
        <f t="shared" si="9"/>
        <v>-7.996676063282509E-5</v>
      </c>
      <c r="BB195" s="3">
        <f t="shared" si="10"/>
        <v>-8.298854355969755E-5</v>
      </c>
      <c r="BC195" s="3">
        <f t="shared" si="11"/>
        <v>-8.4058141186913154E-5</v>
      </c>
      <c r="BD195" s="3">
        <f t="shared" si="12"/>
        <v>-8.6942476440528952E-5</v>
      </c>
      <c r="BE195" s="3">
        <f t="shared" si="13"/>
        <v>-6.8052234545901762E-5</v>
      </c>
      <c r="BF195" s="3">
        <f t="shared" si="14"/>
        <v>-3.7380479218917612E-5</v>
      </c>
      <c r="BG195" s="3">
        <f t="shared" si="15"/>
        <v>-3.9476006597013564E-5</v>
      </c>
    </row>
    <row r="196" spans="4:59" x14ac:dyDescent="0.25">
      <c r="D196" s="13"/>
      <c r="E196">
        <v>28</v>
      </c>
      <c r="F196">
        <v>0.1</v>
      </c>
      <c r="G196">
        <v>4.6829999999999997E-2</v>
      </c>
      <c r="H196">
        <v>0.8</v>
      </c>
      <c r="I196">
        <v>0.37463999999999997</v>
      </c>
      <c r="J196" t="s">
        <v>57</v>
      </c>
      <c r="K196">
        <v>-3.8957599999999998E-4</v>
      </c>
      <c r="L196">
        <v>-1.6530510000000002E-2</v>
      </c>
      <c r="M196">
        <v>-4.319096E-2</v>
      </c>
      <c r="N196">
        <v>-7.2180270000000005E-2</v>
      </c>
      <c r="O196">
        <v>-0.1029925</v>
      </c>
      <c r="P196">
        <v>-0.13400790000000001</v>
      </c>
      <c r="Q196">
        <v>-0.1651812</v>
      </c>
      <c r="R196">
        <v>-0.19506599999999999</v>
      </c>
      <c r="S196">
        <v>-0.2260566</v>
      </c>
      <c r="T196">
        <v>-0.255774</v>
      </c>
      <c r="U196">
        <v>-0.28694770000000003</v>
      </c>
      <c r="V196">
        <v>-0.31846190000000002</v>
      </c>
      <c r="W196">
        <v>-0.3528848</v>
      </c>
      <c r="X196">
        <v>-0.37988810000000001</v>
      </c>
      <c r="Y196">
        <v>-0.41952800000000001</v>
      </c>
      <c r="Z196">
        <v>-0.44506790000000002</v>
      </c>
      <c r="AA196">
        <v>-0.47172639999999999</v>
      </c>
      <c r="AB196">
        <v>-0.50307179999999996</v>
      </c>
      <c r="AC196">
        <v>-0.52625560000000005</v>
      </c>
      <c r="AD196">
        <v>-0.53909589999999996</v>
      </c>
      <c r="AE196">
        <v>-0.56336450000000005</v>
      </c>
      <c r="AF196">
        <v>-0.46484330000000001</v>
      </c>
      <c r="AG196">
        <v>-0.1974158</v>
      </c>
      <c r="AH196">
        <v>-0.20774509999999999</v>
      </c>
      <c r="AI196" s="3"/>
      <c r="AJ196" t="s">
        <v>350</v>
      </c>
      <c r="AK196" s="3">
        <f t="shared" si="6"/>
        <v>-3.133039350863651E-6</v>
      </c>
      <c r="AL196" s="3">
        <f t="shared" si="16"/>
        <v>-8.1860134552157141E-6</v>
      </c>
      <c r="AM196" s="3">
        <f t="shared" si="17"/>
        <v>-1.3680378056452164E-5</v>
      </c>
      <c r="AN196" s="3">
        <f t="shared" si="18"/>
        <v>-1.9520241985505865E-5</v>
      </c>
      <c r="AO196" s="3">
        <f t="shared" si="19"/>
        <v>-2.5398612869572752E-5</v>
      </c>
      <c r="AP196" s="3">
        <f t="shared" si="20"/>
        <v>-3.1306910653263506E-5</v>
      </c>
      <c r="AQ196" s="3">
        <f t="shared" si="21"/>
        <v>-3.6970998112917803E-5</v>
      </c>
      <c r="AR196" s="3">
        <f t="shared" si="22"/>
        <v>-4.2844668635295824E-5</v>
      </c>
      <c r="AS196" s="3">
        <f t="shared" si="23"/>
        <v>-4.847702865355028E-5</v>
      </c>
      <c r="AT196" s="3">
        <f t="shared" si="24"/>
        <v>-5.438540224952634E-5</v>
      </c>
      <c r="AU196" s="3">
        <f t="shared" si="25"/>
        <v>-6.0358311053367675E-5</v>
      </c>
      <c r="AV196" s="3">
        <f t="shared" si="26"/>
        <v>-6.68825078428705E-5</v>
      </c>
      <c r="AW196" s="3">
        <f t="shared" si="27"/>
        <v>-7.2000462552264003E-5</v>
      </c>
      <c r="AX196" s="3">
        <f t="shared" si="28"/>
        <v>-7.9513441072848068E-5</v>
      </c>
      <c r="AY196" s="3">
        <f t="shared" si="7"/>
        <v>-8.4354036536455826E-5</v>
      </c>
      <c r="AZ196" s="3">
        <f t="shared" si="8"/>
        <v>-8.9406641055917013E-5</v>
      </c>
      <c r="BA196" s="3">
        <f t="shared" si="9"/>
        <v>-9.5347557075359943E-5</v>
      </c>
      <c r="BB196" s="3">
        <f t="shared" si="10"/>
        <v>-9.9741599225454093E-5</v>
      </c>
      <c r="BC196" s="3">
        <f t="shared" si="11"/>
        <v>-1.0217523044293586E-4</v>
      </c>
      <c r="BD196" s="3">
        <f t="shared" si="12"/>
        <v>-1.0677487551077525E-4</v>
      </c>
      <c r="BE196" s="3">
        <f t="shared" si="13"/>
        <v>-8.8102082203472088E-5</v>
      </c>
      <c r="BF196" s="3">
        <f t="shared" si="14"/>
        <v>-3.7416357382937875E-5</v>
      </c>
      <c r="BG196" s="3">
        <f t="shared" si="15"/>
        <v>-3.9374076979421941E-5</v>
      </c>
    </row>
    <row r="197" spans="4:59" x14ac:dyDescent="0.25">
      <c r="D197" s="13"/>
      <c r="E197">
        <v>29</v>
      </c>
      <c r="F197">
        <v>7.4999999999999997E-2</v>
      </c>
      <c r="G197">
        <v>4.2000000000000003E-2</v>
      </c>
      <c r="H197">
        <v>0.6</v>
      </c>
      <c r="I197">
        <v>0.33600000000000002</v>
      </c>
      <c r="J197" t="s">
        <v>58</v>
      </c>
      <c r="K197">
        <v>-1.029968E-3</v>
      </c>
      <c r="L197">
        <v>8.9278220000000002E-3</v>
      </c>
      <c r="M197">
        <v>-1.9914149999999999E-2</v>
      </c>
      <c r="N197">
        <v>-5.1578520000000003E-2</v>
      </c>
      <c r="O197">
        <v>-8.4631919999999999E-2</v>
      </c>
      <c r="P197">
        <v>-0.1192284</v>
      </c>
      <c r="Q197">
        <v>-0.154388</v>
      </c>
      <c r="R197">
        <v>-0.1881757</v>
      </c>
      <c r="S197">
        <v>-0.22435050000000001</v>
      </c>
      <c r="T197">
        <v>-0.25967879999999999</v>
      </c>
      <c r="U197">
        <v>-0.29659459999999999</v>
      </c>
      <c r="V197">
        <v>-0.33474350000000003</v>
      </c>
      <c r="W197">
        <v>-0.37515880000000001</v>
      </c>
      <c r="X197">
        <v>-0.42258790000000002</v>
      </c>
      <c r="Y197">
        <v>-0.44313760000000002</v>
      </c>
      <c r="Z197">
        <v>-0.48038429999999999</v>
      </c>
      <c r="AA197">
        <v>-0.51464750000000004</v>
      </c>
      <c r="AB197">
        <v>-0.55452920000000006</v>
      </c>
      <c r="AC197">
        <v>-0.58456609999999998</v>
      </c>
      <c r="AD197">
        <v>-0.60369680000000003</v>
      </c>
      <c r="AE197">
        <v>-0.63636680000000001</v>
      </c>
      <c r="AF197">
        <v>-0.53854849999999999</v>
      </c>
      <c r="AG197">
        <v>-0.1920347</v>
      </c>
      <c r="AH197">
        <v>-0.20346020000000001</v>
      </c>
      <c r="AJ197" t="s">
        <v>351</v>
      </c>
      <c r="AK197" s="3">
        <f t="shared" si="6"/>
        <v>1.6920964715248484E-6</v>
      </c>
      <c r="AL197" s="3">
        <f t="shared" si="16"/>
        <v>-3.7743430534811912E-6</v>
      </c>
      <c r="AM197" s="3">
        <f t="shared" si="17"/>
        <v>-9.7757136845328925E-6</v>
      </c>
      <c r="AN197" s="3">
        <f t="shared" si="18"/>
        <v>-1.6040348162225147E-5</v>
      </c>
      <c r="AO197" s="3">
        <f t="shared" si="19"/>
        <v>-2.2597443692935773E-5</v>
      </c>
      <c r="AP197" s="3">
        <f t="shared" si="20"/>
        <v>-2.9261267758897777E-5</v>
      </c>
      <c r="AQ197" s="3">
        <f t="shared" si="21"/>
        <v>-3.5665074639337386E-5</v>
      </c>
      <c r="AR197" s="3">
        <f t="shared" si="22"/>
        <v>-4.252131028540169E-5</v>
      </c>
      <c r="AS197" s="3">
        <f t="shared" si="23"/>
        <v>-4.9217108182690779E-5</v>
      </c>
      <c r="AT197" s="3">
        <f t="shared" si="24"/>
        <v>-5.6213786087281286E-5</v>
      </c>
      <c r="AU197" s="3">
        <f t="shared" si="25"/>
        <v>-6.3444174314393606E-5</v>
      </c>
      <c r="AV197" s="3">
        <f t="shared" si="26"/>
        <v>-7.1104114950040035E-5</v>
      </c>
      <c r="AW197" s="3">
        <f t="shared" si="27"/>
        <v>-8.0093386102354577E-5</v>
      </c>
      <c r="AX197" s="3">
        <f t="shared" si="28"/>
        <v>-8.3988185400648633E-5</v>
      </c>
      <c r="AY197" s="3">
        <f t="shared" si="7"/>
        <v>-9.1047579018257099E-5</v>
      </c>
      <c r="AZ197" s="3">
        <f t="shared" si="8"/>
        <v>-9.7541507752852194E-5</v>
      </c>
      <c r="BA197" s="3">
        <f t="shared" si="9"/>
        <v>-1.051003147999027E-4</v>
      </c>
      <c r="BB197" s="3">
        <f t="shared" si="10"/>
        <v>-1.1079322988104395E-4</v>
      </c>
      <c r="BC197" s="3">
        <f t="shared" si="11"/>
        <v>-1.1441908509722103E-4</v>
      </c>
      <c r="BD197" s="3">
        <f t="shared" si="12"/>
        <v>-1.2061105349944912E-4</v>
      </c>
      <c r="BE197" s="3">
        <f t="shared" si="13"/>
        <v>-1.0207148133049692E-4</v>
      </c>
      <c r="BF197" s="3">
        <f t="shared" si="14"/>
        <v>-3.6396473661810547E-5</v>
      </c>
      <c r="BG197" s="3">
        <f t="shared" si="15"/>
        <v>-3.8561956826171035E-5</v>
      </c>
    </row>
    <row r="198" spans="4:59" x14ac:dyDescent="0.25">
      <c r="D198" s="13"/>
      <c r="E198">
        <v>30</v>
      </c>
      <c r="F198">
        <v>0.05</v>
      </c>
      <c r="G198">
        <v>3.5549999999999998E-2</v>
      </c>
      <c r="H198">
        <v>0.4</v>
      </c>
      <c r="I198">
        <v>0.28439999999999999</v>
      </c>
      <c r="J198" t="s">
        <v>59</v>
      </c>
      <c r="K198">
        <v>3.9672850000000001E-4</v>
      </c>
      <c r="L198">
        <v>4.4658660000000003E-2</v>
      </c>
      <c r="M198">
        <v>1.2362E-2</v>
      </c>
      <c r="N198">
        <v>-2.3034570000000001E-2</v>
      </c>
      <c r="O198">
        <v>-6.1164860000000001E-2</v>
      </c>
      <c r="P198">
        <v>-0.1014838</v>
      </c>
      <c r="Q198">
        <v>-0.14435200000000001</v>
      </c>
      <c r="R198">
        <v>-0.1859365</v>
      </c>
      <c r="S198">
        <v>-0.2302613</v>
      </c>
      <c r="T198">
        <v>-0.2756729</v>
      </c>
      <c r="U198">
        <v>-0.32327990000000001</v>
      </c>
      <c r="V198">
        <v>-0.37195869999999998</v>
      </c>
      <c r="W198">
        <v>-0.42428779999999999</v>
      </c>
      <c r="X198">
        <v>-0.48373890000000003</v>
      </c>
      <c r="Y198">
        <v>-0.55592200000000003</v>
      </c>
      <c r="Z198">
        <v>-0.51417729999999995</v>
      </c>
      <c r="AA198">
        <v>-0.57084990000000002</v>
      </c>
      <c r="AB198">
        <v>-0.62721780000000005</v>
      </c>
      <c r="AC198">
        <v>-0.67005009999999998</v>
      </c>
      <c r="AD198">
        <v>-0.70429850000000005</v>
      </c>
      <c r="AE198">
        <v>-0.75787780000000005</v>
      </c>
      <c r="AF198">
        <v>-0.64998049999999996</v>
      </c>
      <c r="AG198">
        <v>-0.19744059999999999</v>
      </c>
      <c r="AH198">
        <v>-0.2087493</v>
      </c>
      <c r="AJ198" t="s">
        <v>352</v>
      </c>
      <c r="AK198" s="3">
        <f t="shared" si="6"/>
        <v>8.4641876830684891E-6</v>
      </c>
      <c r="AL198" s="3">
        <f t="shared" si="16"/>
        <v>2.3429786773291599E-6</v>
      </c>
      <c r="AM198" s="3">
        <f t="shared" si="17"/>
        <v>-4.3657584817542424E-6</v>
      </c>
      <c r="AN198" s="3">
        <f t="shared" si="18"/>
        <v>-1.1592619542292772E-5</v>
      </c>
      <c r="AO198" s="3">
        <f t="shared" si="19"/>
        <v>-1.9234296998409399E-5</v>
      </c>
      <c r="AP198" s="3">
        <f t="shared" si="20"/>
        <v>-2.7359137520613082E-5</v>
      </c>
      <c r="AQ198" s="3">
        <f t="shared" si="21"/>
        <v>-3.5240677466203959E-5</v>
      </c>
      <c r="AR198" s="3">
        <f t="shared" si="22"/>
        <v>-4.3641588425343218E-5</v>
      </c>
      <c r="AS198" s="3">
        <f t="shared" si="23"/>
        <v>-5.2248481363654244E-5</v>
      </c>
      <c r="AT198" s="3">
        <f t="shared" si="24"/>
        <v>-6.127147002985788E-5</v>
      </c>
      <c r="AU198" s="3">
        <f t="shared" si="25"/>
        <v>-7.0497597714534361E-5</v>
      </c>
      <c r="AV198" s="3">
        <f t="shared" si="26"/>
        <v>-8.0415569361826493E-5</v>
      </c>
      <c r="AW198" s="3">
        <f t="shared" si="27"/>
        <v>-9.1683378748961565E-5</v>
      </c>
      <c r="AX198" s="3">
        <f t="shared" si="28"/>
        <v>-1.0536429317733225E-4</v>
      </c>
      <c r="AY198" s="3">
        <f t="shared" si="7"/>
        <v>-9.7452390411476993E-5</v>
      </c>
      <c r="AZ198" s="3">
        <f t="shared" si="8"/>
        <v>-1.0819358871181711E-4</v>
      </c>
      <c r="BA198" s="3">
        <f t="shared" si="9"/>
        <v>-1.188770370038267E-4</v>
      </c>
      <c r="BB198" s="3">
        <f t="shared" si="10"/>
        <v>-1.2699507337342431E-4</v>
      </c>
      <c r="BC198" s="3">
        <f t="shared" si="11"/>
        <v>-1.3348619705346314E-4</v>
      </c>
      <c r="BD198" s="3">
        <f t="shared" si="12"/>
        <v>-1.4364111999847385E-4</v>
      </c>
      <c r="BE198" s="3">
        <f t="shared" si="13"/>
        <v>-1.2319126777056674E-4</v>
      </c>
      <c r="BF198" s="3">
        <f t="shared" si="14"/>
        <v>-3.7421057744626734E-5</v>
      </c>
      <c r="BG198" s="3">
        <f t="shared" si="15"/>
        <v>-3.9564403721678371E-5</v>
      </c>
    </row>
    <row r="199" spans="4:59" x14ac:dyDescent="0.25">
      <c r="D199" s="13"/>
      <c r="E199">
        <v>31</v>
      </c>
      <c r="F199">
        <v>2.5000000000000001E-2</v>
      </c>
      <c r="G199">
        <v>2.615E-2</v>
      </c>
      <c r="H199">
        <v>0.2</v>
      </c>
      <c r="I199">
        <v>0.2092</v>
      </c>
      <c r="J199" t="s">
        <v>60</v>
      </c>
      <c r="K199">
        <v>1.037121E-3</v>
      </c>
      <c r="L199">
        <v>0.10062599999999999</v>
      </c>
      <c r="M199">
        <v>6.6316130000000001E-2</v>
      </c>
      <c r="N199">
        <v>2.632236E-2</v>
      </c>
      <c r="O199">
        <v>-1.8620970000000001E-2</v>
      </c>
      <c r="P199">
        <v>-6.833649E-2</v>
      </c>
      <c r="Q199">
        <v>-0.12079429999999999</v>
      </c>
      <c r="R199">
        <v>-0.17488770000000001</v>
      </c>
      <c r="S199">
        <v>-0.23447899999999999</v>
      </c>
      <c r="T199">
        <v>-0.29736849999999998</v>
      </c>
      <c r="U199">
        <v>-0.3630023</v>
      </c>
      <c r="V199">
        <v>-0.43230439999999998</v>
      </c>
      <c r="W199">
        <v>-0.5041561</v>
      </c>
      <c r="X199">
        <v>-0.57746889999999995</v>
      </c>
      <c r="Y199">
        <v>-0.64948130000000004</v>
      </c>
      <c r="Z199">
        <v>-0.73211910000000002</v>
      </c>
      <c r="AA199">
        <v>-0.81731750000000003</v>
      </c>
      <c r="AB199">
        <v>-0.93072699999999997</v>
      </c>
      <c r="AC199">
        <v>-1.049231</v>
      </c>
      <c r="AD199">
        <v>-1.1426320000000001</v>
      </c>
      <c r="AE199">
        <v>-1.2585409999999999</v>
      </c>
      <c r="AF199">
        <v>-1.118957</v>
      </c>
      <c r="AG199">
        <v>-0.19487950000000001</v>
      </c>
      <c r="AH199">
        <v>-0.2060661</v>
      </c>
      <c r="AJ199" t="s">
        <v>353</v>
      </c>
      <c r="AK199" s="3">
        <f t="shared" si="6"/>
        <v>1.9071717552574343E-5</v>
      </c>
      <c r="AL199" s="3">
        <f t="shared" si="16"/>
        <v>1.2568943419591379E-5</v>
      </c>
      <c r="AM199" s="3">
        <f t="shared" si="17"/>
        <v>4.9888956655057418E-6</v>
      </c>
      <c r="AN199" s="3">
        <f t="shared" si="18"/>
        <v>-3.5292457257066794E-6</v>
      </c>
      <c r="AO199" s="3">
        <f t="shared" si="19"/>
        <v>-1.2951863691434829E-5</v>
      </c>
      <c r="AP199" s="3">
        <f t="shared" si="20"/>
        <v>-2.2894229836830748E-5</v>
      </c>
      <c r="AQ199" s="3">
        <f t="shared" si="21"/>
        <v>-3.3146590521528795E-5</v>
      </c>
      <c r="AR199" s="3">
        <f t="shared" si="22"/>
        <v>-4.4440972114663006E-5</v>
      </c>
      <c r="AS199" s="3">
        <f t="shared" si="23"/>
        <v>-5.6360463906273763E-5</v>
      </c>
      <c r="AT199" s="3">
        <f t="shared" si="24"/>
        <v>-6.880008483428595E-5</v>
      </c>
      <c r="AU199" s="3">
        <f t="shared" si="25"/>
        <v>-8.1934961277752472E-5</v>
      </c>
      <c r="AV199" s="3">
        <f t="shared" si="26"/>
        <v>-9.5553065227748561E-5</v>
      </c>
      <c r="AW199" s="3">
        <f t="shared" si="27"/>
        <v>-1.0944809250288988E-4</v>
      </c>
      <c r="AX199" s="3">
        <f t="shared" si="28"/>
        <v>-1.2309665403850698E-4</v>
      </c>
      <c r="AY199" s="3">
        <f t="shared" si="7"/>
        <v>-1.3875905521480464E-4</v>
      </c>
      <c r="AZ199" s="3">
        <f t="shared" si="8"/>
        <v>-1.5490676873547774E-4</v>
      </c>
      <c r="BA199" s="3">
        <f t="shared" si="9"/>
        <v>-1.7640135216102063E-4</v>
      </c>
      <c r="BB199" s="3">
        <f t="shared" si="10"/>
        <v>-1.9886149980527032E-4</v>
      </c>
      <c r="BC199" s="3">
        <f t="shared" si="11"/>
        <v>-2.1656385795453591E-4</v>
      </c>
      <c r="BD199" s="3">
        <f t="shared" si="12"/>
        <v>-2.3853217339787398E-4</v>
      </c>
      <c r="BE199" s="3">
        <f t="shared" si="13"/>
        <v>-2.1207671831808807E-4</v>
      </c>
      <c r="BF199" s="3">
        <f t="shared" si="14"/>
        <v>-3.693565063489468E-5</v>
      </c>
      <c r="BG199" s="3">
        <f t="shared" si="15"/>
        <v>-3.9055854911857172E-5</v>
      </c>
    </row>
    <row r="200" spans="4:59" x14ac:dyDescent="0.25">
      <c r="D200" s="13"/>
      <c r="E200">
        <v>32</v>
      </c>
      <c r="F200">
        <v>1.2500000000000001E-2</v>
      </c>
      <c r="G200">
        <v>1.8939999999999999E-2</v>
      </c>
      <c r="H200">
        <v>0.1</v>
      </c>
      <c r="I200">
        <v>0.15151999999999999</v>
      </c>
      <c r="J200" t="s">
        <v>61</v>
      </c>
      <c r="K200">
        <v>2.0885470000000001E-4</v>
      </c>
      <c r="L200">
        <v>0.15638260000000001</v>
      </c>
      <c r="M200">
        <v>0.12500810000000001</v>
      </c>
      <c r="N200">
        <v>8.4623809999999994E-2</v>
      </c>
      <c r="O200">
        <v>3.7269120000000003E-2</v>
      </c>
      <c r="P200">
        <v>-2.064848E-2</v>
      </c>
      <c r="Q200">
        <v>-8.3415989999999995E-2</v>
      </c>
      <c r="R200">
        <v>-0.15012449999999999</v>
      </c>
      <c r="S200">
        <v>-0.2277489</v>
      </c>
      <c r="T200">
        <v>-0.31074000000000002</v>
      </c>
      <c r="U200">
        <v>-0.40141529999999997</v>
      </c>
      <c r="V200">
        <v>-0.49728159999999999</v>
      </c>
      <c r="W200">
        <v>-0.60136219999999996</v>
      </c>
      <c r="X200">
        <v>-0.7039552</v>
      </c>
      <c r="Y200">
        <v>-0.80336620000000003</v>
      </c>
      <c r="Z200">
        <v>-0.88948249999999995</v>
      </c>
      <c r="AA200">
        <v>-0.97646619999999995</v>
      </c>
      <c r="AB200">
        <v>-1.0743769999999999</v>
      </c>
      <c r="AC200">
        <v>-1.1395150000000001</v>
      </c>
      <c r="AD200">
        <v>-1.1987300000000001</v>
      </c>
      <c r="AE200">
        <v>-1.3112619999999999</v>
      </c>
      <c r="AF200">
        <v>-1.151864</v>
      </c>
      <c r="AG200">
        <v>-0.19315199999999999</v>
      </c>
      <c r="AH200">
        <v>-0.20390800000000001</v>
      </c>
      <c r="AJ200" t="s">
        <v>354</v>
      </c>
      <c r="AK200" s="3">
        <f t="shared" si="6"/>
        <v>2.9639305719567634E-5</v>
      </c>
      <c r="AL200" s="3">
        <f t="shared" si="16"/>
        <v>2.3692874356368821E-5</v>
      </c>
      <c r="AM200" s="3">
        <f t="shared" si="17"/>
        <v>1.6038811068140602E-5</v>
      </c>
      <c r="AN200" s="3">
        <f t="shared" si="18"/>
        <v>7.0636428961997856E-6</v>
      </c>
      <c r="AO200" s="3">
        <f t="shared" si="19"/>
        <v>-3.913521142149944E-6</v>
      </c>
      <c r="AP200" s="3">
        <f t="shared" si="20"/>
        <v>-1.5809892082050026E-5</v>
      </c>
      <c r="AQ200" s="3">
        <f t="shared" si="21"/>
        <v>-2.8453203562910648E-5</v>
      </c>
      <c r="AR200" s="3">
        <f t="shared" si="22"/>
        <v>-4.3165411461346959E-5</v>
      </c>
      <c r="AS200" s="3">
        <f t="shared" si="23"/>
        <v>-5.8894773838639634E-5</v>
      </c>
      <c r="AT200" s="3">
        <f t="shared" si="24"/>
        <v>-7.6080528122770413E-5</v>
      </c>
      <c r="AU200" s="3">
        <f t="shared" si="25"/>
        <v>-9.4250136339437665E-5</v>
      </c>
      <c r="AV200" s="3">
        <f t="shared" si="26"/>
        <v>-1.1397660669404252E-4</v>
      </c>
      <c r="AW200" s="3">
        <f t="shared" si="27"/>
        <v>-1.3342113115960073E-4</v>
      </c>
      <c r="AX200" s="3">
        <f t="shared" si="28"/>
        <v>-1.5226256889556329E-4</v>
      </c>
      <c r="AY200" s="3">
        <f t="shared" si="7"/>
        <v>-1.6858425265793838E-4</v>
      </c>
      <c r="AZ200" s="3">
        <f t="shared" si="8"/>
        <v>-1.8507033536099585E-4</v>
      </c>
      <c r="BA200" s="3">
        <f t="shared" si="9"/>
        <v>-2.0362743912092466E-4</v>
      </c>
      <c r="BB200" s="3">
        <f t="shared" si="10"/>
        <v>-2.1597309072130219E-4</v>
      </c>
      <c r="BC200" s="3">
        <f t="shared" si="11"/>
        <v>-2.2719615190703641E-4</v>
      </c>
      <c r="BD200" s="3">
        <f t="shared" si="12"/>
        <v>-2.4852442213169301E-4</v>
      </c>
      <c r="BE200" s="3">
        <f t="shared" si="13"/>
        <v>-2.1831360549935897E-4</v>
      </c>
      <c r="BF200" s="3">
        <f t="shared" si="14"/>
        <v>-3.6608236327736764E-5</v>
      </c>
      <c r="BG200" s="3">
        <f t="shared" si="15"/>
        <v>-3.8646828679569195E-5</v>
      </c>
    </row>
    <row r="201" spans="4:59" x14ac:dyDescent="0.25">
      <c r="AR201" s="3"/>
      <c r="AX201" s="3"/>
    </row>
    <row r="202" spans="4:59" x14ac:dyDescent="0.25">
      <c r="AX202" s="3"/>
    </row>
    <row r="203" spans="4:59" x14ac:dyDescent="0.25">
      <c r="AX203" s="3"/>
    </row>
    <row r="204" spans="4:59" x14ac:dyDescent="0.25">
      <c r="AX204" s="3"/>
    </row>
    <row r="205" spans="4:59" x14ac:dyDescent="0.25">
      <c r="AX205" s="3"/>
    </row>
    <row r="206" spans="4:59" x14ac:dyDescent="0.25">
      <c r="AX206" s="3"/>
    </row>
    <row r="207" spans="4:59" x14ac:dyDescent="0.25">
      <c r="AX207" s="3"/>
    </row>
    <row r="208" spans="4:59" x14ac:dyDescent="0.25">
      <c r="AX208" s="3"/>
    </row>
    <row r="209" spans="50:50" x14ac:dyDescent="0.25">
      <c r="AX209" s="3"/>
    </row>
    <row r="210" spans="50:50" x14ac:dyDescent="0.25">
      <c r="AX210" s="3"/>
    </row>
    <row r="211" spans="50:50" x14ac:dyDescent="0.25">
      <c r="AX211" s="3"/>
    </row>
    <row r="237" spans="12:35" x14ac:dyDescent="0.25"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</row>
  </sheetData>
  <mergeCells count="8">
    <mergeCell ref="D169:D185"/>
    <mergeCell ref="D186:D200"/>
    <mergeCell ref="J167:AP167"/>
    <mergeCell ref="D166:V166"/>
    <mergeCell ref="A1:T1"/>
    <mergeCell ref="A32:T32"/>
    <mergeCell ref="A57:AG57"/>
    <mergeCell ref="A84:AG84"/>
  </mergeCells>
  <phoneticPr fontId="18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U253"/>
  <sheetViews>
    <sheetView zoomScale="85" zoomScaleNormal="85" workbookViewId="0">
      <selection activeCell="R11" sqref="R11"/>
    </sheetView>
  </sheetViews>
  <sheetFormatPr defaultRowHeight="15" x14ac:dyDescent="0.25"/>
  <cols>
    <col min="11" max="11" width="17.28515625" customWidth="1"/>
    <col min="14" max="14" width="11.42578125" bestFit="1" customWidth="1"/>
    <col min="16" max="16" width="8.5703125" bestFit="1" customWidth="1"/>
    <col min="17" max="17" width="15.42578125" bestFit="1" customWidth="1"/>
    <col min="18" max="18" width="8.5703125" bestFit="1" customWidth="1"/>
    <col min="19" max="19" width="8.5703125" customWidth="1"/>
  </cols>
  <sheetData>
    <row r="2" spans="1:2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64</v>
      </c>
      <c r="L2" t="s">
        <v>10</v>
      </c>
      <c r="M2" t="s">
        <v>11</v>
      </c>
      <c r="N2" t="s">
        <v>63</v>
      </c>
      <c r="O2" t="s">
        <v>12</v>
      </c>
      <c r="P2" t="s">
        <v>12</v>
      </c>
      <c r="Q2" t="s">
        <v>66</v>
      </c>
      <c r="R2" t="s">
        <v>65</v>
      </c>
      <c r="S2" t="s">
        <v>72</v>
      </c>
      <c r="T2" t="s">
        <v>71</v>
      </c>
    </row>
    <row r="4" spans="1:20" x14ac:dyDescent="0.25">
      <c r="A4" s="1">
        <v>43374</v>
      </c>
      <c r="B4" s="2">
        <v>0.69119212962962961</v>
      </c>
      <c r="C4">
        <v>1</v>
      </c>
      <c r="D4">
        <v>1</v>
      </c>
      <c r="E4">
        <v>27</v>
      </c>
      <c r="F4">
        <v>0</v>
      </c>
      <c r="G4">
        <v>0</v>
      </c>
      <c r="H4" s="3">
        <v>0</v>
      </c>
      <c r="I4" s="3">
        <v>0</v>
      </c>
      <c r="J4" s="3">
        <v>14.324904</v>
      </c>
      <c r="K4">
        <f>J4*144</f>
        <v>2062.7861760000001</v>
      </c>
      <c r="L4" s="3">
        <v>98.765917000000002</v>
      </c>
      <c r="M4" s="3">
        <v>26.866586000000002</v>
      </c>
      <c r="N4" s="3">
        <f>CONVERT(M4,"C","Rank")</f>
        <v>540.02985479999995</v>
      </c>
      <c r="O4" s="3">
        <v>0</v>
      </c>
      <c r="P4" s="3">
        <v>0</v>
      </c>
      <c r="Q4" s="3">
        <f>K4/(N4*1716.49)</f>
        <v>2.2253338021335513E-3</v>
      </c>
      <c r="R4" s="3">
        <f>0.5*Q4*H4^2</f>
        <v>0</v>
      </c>
      <c r="S4" s="3">
        <v>3.6199999999999999E-7</v>
      </c>
      <c r="T4">
        <f>Q4*H4*8/12/S4</f>
        <v>0</v>
      </c>
    </row>
    <row r="5" spans="1:20" x14ac:dyDescent="0.25">
      <c r="A5" s="1">
        <v>43374</v>
      </c>
      <c r="B5" s="2">
        <v>0.69230324074074068</v>
      </c>
      <c r="C5">
        <v>1</v>
      </c>
      <c r="D5">
        <v>1</v>
      </c>
      <c r="E5">
        <v>28</v>
      </c>
      <c r="F5">
        <v>-4</v>
      </c>
      <c r="G5">
        <v>-4</v>
      </c>
      <c r="H5" s="3">
        <v>24.086908999999999</v>
      </c>
      <c r="I5" s="3">
        <v>7.3460254999999997</v>
      </c>
      <c r="J5" s="3">
        <v>14.331132</v>
      </c>
      <c r="K5">
        <f t="shared" ref="K5:K68" si="0">J5*144</f>
        <v>2063.683008</v>
      </c>
      <c r="L5" s="3">
        <v>98.808852999999999</v>
      </c>
      <c r="M5" s="3">
        <v>27.003413999999999</v>
      </c>
      <c r="N5" s="3">
        <f t="shared" ref="N5:N68" si="1">CONVERT(M5,"C","Rank")</f>
        <v>540.27614519999997</v>
      </c>
      <c r="O5" s="3">
        <v>2.1142217000000001E-2</v>
      </c>
      <c r="P5" s="3">
        <v>8.1289910000000007E-2</v>
      </c>
      <c r="Q5" s="3">
        <f t="shared" ref="Q5:Q68" si="2">K5/(N5*1716.49)</f>
        <v>2.22528642233543E-3</v>
      </c>
      <c r="R5" s="3">
        <f t="shared" ref="R5:R68" si="3">0.5*Q5*H5^2</f>
        <v>0.64553243164498031</v>
      </c>
      <c r="S5" s="3">
        <v>3.6199999999999999E-7</v>
      </c>
      <c r="T5">
        <f t="shared" ref="T5:T68" si="4">Q5*H5*8/12/S5</f>
        <v>98711.365660642841</v>
      </c>
    </row>
    <row r="6" spans="1:20" x14ac:dyDescent="0.25">
      <c r="A6" s="1">
        <v>43374</v>
      </c>
      <c r="B6" s="2">
        <v>0.69241898148148151</v>
      </c>
      <c r="C6">
        <v>1</v>
      </c>
      <c r="D6">
        <v>1</v>
      </c>
      <c r="E6">
        <v>29</v>
      </c>
      <c r="F6">
        <v>-3</v>
      </c>
      <c r="G6">
        <v>-3</v>
      </c>
      <c r="H6" s="3">
        <v>24.073025999999999</v>
      </c>
      <c r="I6" s="3">
        <v>7.3417915999999996</v>
      </c>
      <c r="J6" s="3">
        <v>14.331115</v>
      </c>
      <c r="K6">
        <f t="shared" si="0"/>
        <v>2063.6805600000002</v>
      </c>
      <c r="L6" s="3">
        <v>98.80874</v>
      </c>
      <c r="M6" s="3">
        <v>27.013779</v>
      </c>
      <c r="N6" s="3">
        <f t="shared" si="1"/>
        <v>540.29480219999994</v>
      </c>
      <c r="O6" s="3">
        <v>2.1129665999999998E-2</v>
      </c>
      <c r="P6" s="3">
        <v>8.1208972000000004E-2</v>
      </c>
      <c r="Q6" s="3">
        <f t="shared" si="2"/>
        <v>2.2252069410322703E-3</v>
      </c>
      <c r="R6" s="3">
        <f t="shared" si="3"/>
        <v>0.6447654833952029</v>
      </c>
      <c r="S6" s="3">
        <v>3.6199999999999999E-7</v>
      </c>
      <c r="T6">
        <f t="shared" si="4"/>
        <v>98650.947600092652</v>
      </c>
    </row>
    <row r="7" spans="1:20" x14ac:dyDescent="0.25">
      <c r="A7" s="1">
        <v>43374</v>
      </c>
      <c r="B7" s="2">
        <v>0.69252314814814808</v>
      </c>
      <c r="C7">
        <v>1</v>
      </c>
      <c r="D7">
        <v>1</v>
      </c>
      <c r="E7">
        <v>30</v>
      </c>
      <c r="F7">
        <v>-2</v>
      </c>
      <c r="G7">
        <v>-2</v>
      </c>
      <c r="H7" s="3">
        <v>24.390466</v>
      </c>
      <c r="I7" s="3">
        <v>7.4386044</v>
      </c>
      <c r="J7" s="3">
        <v>14.331235</v>
      </c>
      <c r="K7">
        <f t="shared" si="0"/>
        <v>2063.6978399999998</v>
      </c>
      <c r="L7" s="3">
        <v>98.809567999999999</v>
      </c>
      <c r="M7" s="3">
        <v>27.027813999999999</v>
      </c>
      <c r="N7" s="3">
        <f t="shared" si="1"/>
        <v>540.32006519999993</v>
      </c>
      <c r="O7" s="3">
        <v>2.1407793000000001E-2</v>
      </c>
      <c r="P7" s="3">
        <v>8.1505656999999995E-2</v>
      </c>
      <c r="Q7" s="3">
        <f t="shared" si="2"/>
        <v>2.2251215317526988E-3</v>
      </c>
      <c r="R7" s="3">
        <f t="shared" si="3"/>
        <v>0.6618566495688698</v>
      </c>
      <c r="S7" s="3">
        <v>3.6199999999999999E-7</v>
      </c>
      <c r="T7">
        <f t="shared" si="4"/>
        <v>99947.976180630052</v>
      </c>
    </row>
    <row r="8" spans="1:20" x14ac:dyDescent="0.25">
      <c r="A8" s="1">
        <v>43374</v>
      </c>
      <c r="B8" s="2">
        <v>0.69263888888888892</v>
      </c>
      <c r="C8">
        <v>1</v>
      </c>
      <c r="D8">
        <v>1</v>
      </c>
      <c r="E8">
        <v>31</v>
      </c>
      <c r="F8">
        <v>-1</v>
      </c>
      <c r="G8">
        <v>-1</v>
      </c>
      <c r="H8" s="3">
        <v>24.653995999999999</v>
      </c>
      <c r="I8" s="3">
        <v>7.5189757000000004</v>
      </c>
      <c r="J8" s="3">
        <v>14.331301</v>
      </c>
      <c r="K8">
        <f t="shared" si="0"/>
        <v>2063.7073439999999</v>
      </c>
      <c r="L8" s="3">
        <v>98.810023000000001</v>
      </c>
      <c r="M8" s="3">
        <v>27.041214</v>
      </c>
      <c r="N8" s="3">
        <f t="shared" si="1"/>
        <v>540.34418519999997</v>
      </c>
      <c r="O8" s="3">
        <v>2.1638613000000001E-2</v>
      </c>
      <c r="P8" s="3">
        <v>8.2185045999999998E-2</v>
      </c>
      <c r="Q8" s="3">
        <f t="shared" si="2"/>
        <v>2.2250324532502E-3</v>
      </c>
      <c r="R8" s="3">
        <f t="shared" si="3"/>
        <v>0.67620907748887726</v>
      </c>
      <c r="S8" s="3">
        <v>3.6199999999999999E-7</v>
      </c>
      <c r="T8">
        <f t="shared" si="4"/>
        <v>101023.83278508401</v>
      </c>
    </row>
    <row r="9" spans="1:20" x14ac:dyDescent="0.25">
      <c r="A9" s="1">
        <v>43374</v>
      </c>
      <c r="B9" s="2">
        <v>0.69274305555555549</v>
      </c>
      <c r="C9">
        <v>1</v>
      </c>
      <c r="D9">
        <v>1</v>
      </c>
      <c r="E9">
        <v>32</v>
      </c>
      <c r="F9">
        <v>0</v>
      </c>
      <c r="G9">
        <v>0</v>
      </c>
      <c r="H9" s="3">
        <v>24.835826999999998</v>
      </c>
      <c r="I9" s="3">
        <v>7.5744305000000001</v>
      </c>
      <c r="J9" s="3">
        <v>14.331184</v>
      </c>
      <c r="K9">
        <f t="shared" si="0"/>
        <v>2063.6904960000002</v>
      </c>
      <c r="L9" s="3">
        <v>98.809211000000005</v>
      </c>
      <c r="M9" s="3">
        <v>27.056757000000001</v>
      </c>
      <c r="N9" s="3">
        <f t="shared" si="1"/>
        <v>540.37216260000002</v>
      </c>
      <c r="O9" s="3">
        <v>2.179764E-2</v>
      </c>
      <c r="P9" s="3">
        <v>8.2779306999999996E-2</v>
      </c>
      <c r="Q9" s="3">
        <f t="shared" si="2"/>
        <v>2.2248990896038025E-3</v>
      </c>
      <c r="R9" s="3">
        <f t="shared" si="3"/>
        <v>0.68617924014633858</v>
      </c>
      <c r="S9" s="3">
        <v>3.6199999999999999E-7</v>
      </c>
      <c r="T9">
        <f t="shared" si="4"/>
        <v>101762.81562036379</v>
      </c>
    </row>
    <row r="10" spans="1:20" x14ac:dyDescent="0.25">
      <c r="A10" s="1">
        <v>43374</v>
      </c>
      <c r="B10" s="2">
        <v>0.69285879629629632</v>
      </c>
      <c r="C10">
        <v>1</v>
      </c>
      <c r="D10">
        <v>1</v>
      </c>
      <c r="E10">
        <v>33</v>
      </c>
      <c r="F10">
        <v>1</v>
      </c>
      <c r="G10">
        <v>1</v>
      </c>
      <c r="H10" s="3">
        <v>25.220286000000002</v>
      </c>
      <c r="I10" s="3">
        <v>7.6916827999999997</v>
      </c>
      <c r="J10" s="3">
        <v>14.330938</v>
      </c>
      <c r="K10">
        <f t="shared" si="0"/>
        <v>2063.655072</v>
      </c>
      <c r="L10" s="3">
        <v>98.807520999999994</v>
      </c>
      <c r="M10" s="3">
        <v>27.070163999999998</v>
      </c>
      <c r="N10" s="3">
        <f t="shared" si="1"/>
        <v>540.39629519999994</v>
      </c>
      <c r="O10" s="3">
        <v>2.2134574000000001E-2</v>
      </c>
      <c r="P10" s="3">
        <v>8.3184170000000002E-2</v>
      </c>
      <c r="Q10" s="3">
        <f t="shared" si="2"/>
        <v>2.2247615422814186E-3</v>
      </c>
      <c r="R10" s="3">
        <f t="shared" si="3"/>
        <v>0.70754405679282617</v>
      </c>
      <c r="S10" s="3">
        <v>3.6199999999999999E-7</v>
      </c>
      <c r="T10">
        <f t="shared" si="4"/>
        <v>103331.71708681119</v>
      </c>
    </row>
    <row r="11" spans="1:20" x14ac:dyDescent="0.25">
      <c r="A11" s="1">
        <v>43374</v>
      </c>
      <c r="B11" s="2">
        <v>0.69296296296296289</v>
      </c>
      <c r="C11">
        <v>1</v>
      </c>
      <c r="D11">
        <v>1</v>
      </c>
      <c r="E11">
        <v>34</v>
      </c>
      <c r="F11">
        <v>2</v>
      </c>
      <c r="G11">
        <v>2</v>
      </c>
      <c r="H11" s="3">
        <v>25.477443999999998</v>
      </c>
      <c r="I11" s="3">
        <v>7.7701108000000003</v>
      </c>
      <c r="J11" s="3">
        <v>14.330773000000001</v>
      </c>
      <c r="K11">
        <f t="shared" si="0"/>
        <v>2063.631312</v>
      </c>
      <c r="L11" s="3">
        <v>98.806382999999997</v>
      </c>
      <c r="M11" s="3">
        <v>27.083271</v>
      </c>
      <c r="N11" s="3">
        <f t="shared" si="1"/>
        <v>540.41988779999997</v>
      </c>
      <c r="O11" s="3">
        <v>2.2359779999999999E-2</v>
      </c>
      <c r="P11" s="3">
        <v>8.3324420999999996E-2</v>
      </c>
      <c r="Q11" s="3">
        <f t="shared" si="2"/>
        <v>2.2246388041811077E-3</v>
      </c>
      <c r="R11" s="3">
        <f t="shared" si="3"/>
        <v>0.72200669382950178</v>
      </c>
      <c r="S11" s="3">
        <v>3.6199999999999999E-7</v>
      </c>
      <c r="T11">
        <f t="shared" si="4"/>
        <v>104379.57744705549</v>
      </c>
    </row>
    <row r="12" spans="1:20" x14ac:dyDescent="0.25">
      <c r="A12" s="1">
        <v>43374</v>
      </c>
      <c r="B12" s="2">
        <v>0.69307870370370372</v>
      </c>
      <c r="C12">
        <v>1</v>
      </c>
      <c r="D12">
        <v>1</v>
      </c>
      <c r="E12">
        <v>35</v>
      </c>
      <c r="F12">
        <v>3</v>
      </c>
      <c r="G12">
        <v>3</v>
      </c>
      <c r="H12" s="3">
        <v>25.495477000000001</v>
      </c>
      <c r="I12" s="3">
        <v>7.7756106000000003</v>
      </c>
      <c r="J12" s="3">
        <v>14.330780000000001</v>
      </c>
      <c r="K12">
        <f t="shared" si="0"/>
        <v>2063.6323200000002</v>
      </c>
      <c r="L12" s="3">
        <v>98.806432000000001</v>
      </c>
      <c r="M12" s="3">
        <v>27.098521000000002</v>
      </c>
      <c r="N12" s="3">
        <f t="shared" si="1"/>
        <v>540.44733780000001</v>
      </c>
      <c r="O12" s="3">
        <v>2.2375038999999999E-2</v>
      </c>
      <c r="P12" s="3">
        <v>8.3119963000000005E-2</v>
      </c>
      <c r="Q12" s="3">
        <f t="shared" si="2"/>
        <v>2.2245268985687681E-3</v>
      </c>
      <c r="R12" s="3">
        <f t="shared" si="3"/>
        <v>0.72299276150469582</v>
      </c>
      <c r="S12" s="3">
        <v>3.6199999999999999E-7</v>
      </c>
      <c r="T12">
        <f t="shared" si="4"/>
        <v>104448.20327503014</v>
      </c>
    </row>
    <row r="13" spans="1:20" x14ac:dyDescent="0.25">
      <c r="A13" s="1">
        <v>43374</v>
      </c>
      <c r="B13" s="2">
        <v>0.6931828703703703</v>
      </c>
      <c r="C13">
        <v>1</v>
      </c>
      <c r="D13">
        <v>1</v>
      </c>
      <c r="E13">
        <v>36</v>
      </c>
      <c r="F13">
        <v>4</v>
      </c>
      <c r="G13">
        <v>4</v>
      </c>
      <c r="H13" s="3">
        <v>25.333172999999999</v>
      </c>
      <c r="I13" s="3">
        <v>7.7261110999999998</v>
      </c>
      <c r="J13" s="3">
        <v>14.330806000000001</v>
      </c>
      <c r="K13">
        <f t="shared" si="0"/>
        <v>2063.6360640000003</v>
      </c>
      <c r="L13" s="3">
        <v>98.806611000000004</v>
      </c>
      <c r="M13" s="3">
        <v>27.110707000000001</v>
      </c>
      <c r="N13" s="3">
        <f t="shared" si="1"/>
        <v>540.46927259999995</v>
      </c>
      <c r="O13" s="3">
        <v>2.2232148E-2</v>
      </c>
      <c r="P13" s="3">
        <v>8.2739542999999999E-2</v>
      </c>
      <c r="Q13" s="3">
        <f t="shared" si="2"/>
        <v>2.2244406524866479E-3</v>
      </c>
      <c r="R13" s="3">
        <f t="shared" si="3"/>
        <v>0.71378925422069672</v>
      </c>
      <c r="S13" s="3">
        <v>3.6199999999999999E-7</v>
      </c>
      <c r="T13">
        <f t="shared" si="4"/>
        <v>103779.26312647721</v>
      </c>
    </row>
    <row r="14" spans="1:20" x14ac:dyDescent="0.25">
      <c r="A14" s="1">
        <v>43374</v>
      </c>
      <c r="B14" s="2">
        <v>0.69329861111111113</v>
      </c>
      <c r="C14">
        <v>1</v>
      </c>
      <c r="D14">
        <v>1</v>
      </c>
      <c r="E14">
        <v>37</v>
      </c>
      <c r="F14">
        <v>5</v>
      </c>
      <c r="G14">
        <v>5</v>
      </c>
      <c r="H14" s="3">
        <v>24.973490999999999</v>
      </c>
      <c r="I14" s="3">
        <v>7.6164154000000002</v>
      </c>
      <c r="J14" s="3">
        <v>14.330812999999999</v>
      </c>
      <c r="K14">
        <f t="shared" si="0"/>
        <v>2063.637072</v>
      </c>
      <c r="L14" s="3">
        <v>98.806658999999996</v>
      </c>
      <c r="M14" s="3">
        <v>27.125942999999999</v>
      </c>
      <c r="N14" s="3">
        <f t="shared" si="1"/>
        <v>540.49669740000002</v>
      </c>
      <c r="O14" s="3">
        <v>2.1915938999999999E-2</v>
      </c>
      <c r="P14" s="3">
        <v>8.2196290000000005E-2</v>
      </c>
      <c r="Q14" s="3">
        <f t="shared" si="2"/>
        <v>2.2243288708691166E-3</v>
      </c>
      <c r="R14" s="3">
        <f t="shared" si="3"/>
        <v>0.69362943534371946</v>
      </c>
      <c r="S14" s="3">
        <v>3.6199999999999999E-7</v>
      </c>
      <c r="T14">
        <f t="shared" si="4"/>
        <v>102300.65752797431</v>
      </c>
    </row>
    <row r="15" spans="1:20" x14ac:dyDescent="0.25">
      <c r="A15" s="1">
        <v>43374</v>
      </c>
      <c r="B15" s="2">
        <v>0.6934027777777777</v>
      </c>
      <c r="C15">
        <v>1</v>
      </c>
      <c r="D15">
        <v>1</v>
      </c>
      <c r="E15">
        <v>38</v>
      </c>
      <c r="F15">
        <v>6</v>
      </c>
      <c r="G15">
        <v>6</v>
      </c>
      <c r="H15" s="3">
        <v>24.791910000000001</v>
      </c>
      <c r="I15" s="3">
        <v>7.5610366000000004</v>
      </c>
      <c r="J15" s="3">
        <v>14.330714</v>
      </c>
      <c r="K15">
        <f t="shared" si="0"/>
        <v>2063.6228160000001</v>
      </c>
      <c r="L15" s="3">
        <v>98.805976999999999</v>
      </c>
      <c r="M15" s="3">
        <v>27.136914000000001</v>
      </c>
      <c r="N15" s="3">
        <f t="shared" si="1"/>
        <v>540.51644519999991</v>
      </c>
      <c r="O15" s="3">
        <v>2.1756191000000001E-2</v>
      </c>
      <c r="P15" s="3">
        <v>8.1525733000000003E-2</v>
      </c>
      <c r="Q15" s="3">
        <f t="shared" si="2"/>
        <v>2.2242322393551607E-3</v>
      </c>
      <c r="R15" s="3">
        <f t="shared" si="3"/>
        <v>0.68354971886973981</v>
      </c>
      <c r="S15" s="3">
        <v>3.6199999999999999E-7</v>
      </c>
      <c r="T15">
        <f t="shared" si="4"/>
        <v>101552.4226467617</v>
      </c>
    </row>
    <row r="16" spans="1:20" x14ac:dyDescent="0.25">
      <c r="A16" s="1">
        <v>43374</v>
      </c>
      <c r="B16" s="2">
        <v>0.69351851851851853</v>
      </c>
      <c r="C16">
        <v>1</v>
      </c>
      <c r="D16">
        <v>1</v>
      </c>
      <c r="E16">
        <v>39</v>
      </c>
      <c r="F16">
        <v>7</v>
      </c>
      <c r="G16">
        <v>7</v>
      </c>
      <c r="H16" s="3">
        <v>24.594950999999998</v>
      </c>
      <c r="I16" s="3">
        <v>7.5009680999999997</v>
      </c>
      <c r="J16" s="3">
        <v>14.330726</v>
      </c>
      <c r="K16">
        <f t="shared" si="0"/>
        <v>2063.6245440000002</v>
      </c>
      <c r="L16" s="3">
        <v>98.806057999999993</v>
      </c>
      <c r="M16" s="3">
        <v>27.150029</v>
      </c>
      <c r="N16" s="3">
        <f t="shared" si="1"/>
        <v>540.54005219999999</v>
      </c>
      <c r="O16" s="3">
        <v>2.1582878E-2</v>
      </c>
      <c r="P16" s="3">
        <v>8.0634915000000001E-2</v>
      </c>
      <c r="Q16" s="3">
        <f t="shared" si="2"/>
        <v>2.2241369628909647E-3</v>
      </c>
      <c r="R16" s="3">
        <f t="shared" si="3"/>
        <v>0.67270314075971305</v>
      </c>
      <c r="S16" s="3">
        <v>3.6199999999999999E-7</v>
      </c>
      <c r="T16">
        <f t="shared" si="4"/>
        <v>100741.32526628379</v>
      </c>
    </row>
    <row r="17" spans="1:21" x14ac:dyDescent="0.25">
      <c r="A17" s="1">
        <v>43374</v>
      </c>
      <c r="B17" s="2">
        <v>0.69362268518518511</v>
      </c>
      <c r="C17">
        <v>1</v>
      </c>
      <c r="D17">
        <v>1</v>
      </c>
      <c r="E17">
        <v>40</v>
      </c>
      <c r="F17">
        <v>8</v>
      </c>
      <c r="G17">
        <v>8</v>
      </c>
      <c r="H17" s="3">
        <v>24.412500999999999</v>
      </c>
      <c r="I17" s="3">
        <v>7.4453246000000002</v>
      </c>
      <c r="J17" s="3">
        <v>14.330806000000001</v>
      </c>
      <c r="K17">
        <f t="shared" si="0"/>
        <v>2063.6360640000003</v>
      </c>
      <c r="L17" s="3">
        <v>98.806611000000004</v>
      </c>
      <c r="M17" s="3">
        <v>27.163736</v>
      </c>
      <c r="N17" s="3">
        <f t="shared" si="1"/>
        <v>540.56472479999991</v>
      </c>
      <c r="O17" s="3">
        <v>2.1422284E-2</v>
      </c>
      <c r="P17" s="3">
        <v>8.0568119999999993E-2</v>
      </c>
      <c r="Q17" s="3">
        <f t="shared" si="2"/>
        <v>2.2240478637153721E-3</v>
      </c>
      <c r="R17" s="3">
        <f t="shared" si="3"/>
        <v>0.66273313071753404</v>
      </c>
      <c r="S17" s="3">
        <v>3.6199999999999999E-7</v>
      </c>
      <c r="T17">
        <f t="shared" si="4"/>
        <v>99990.00128360845</v>
      </c>
    </row>
    <row r="18" spans="1:21" x14ac:dyDescent="0.25">
      <c r="A18" s="1">
        <v>43374</v>
      </c>
      <c r="B18" s="2">
        <v>0.69373842592592594</v>
      </c>
      <c r="C18">
        <v>1</v>
      </c>
      <c r="D18">
        <v>1</v>
      </c>
      <c r="E18">
        <v>41</v>
      </c>
      <c r="F18">
        <v>9</v>
      </c>
      <c r="G18">
        <v>9</v>
      </c>
      <c r="H18" s="3">
        <v>24.21039</v>
      </c>
      <c r="I18" s="3">
        <v>7.3836845999999996</v>
      </c>
      <c r="J18" s="3">
        <v>14.330792000000001</v>
      </c>
      <c r="K18">
        <f t="shared" si="0"/>
        <v>2063.6340479999999</v>
      </c>
      <c r="L18" s="3">
        <v>98.806512999999995</v>
      </c>
      <c r="M18" s="3">
        <v>27.176235999999999</v>
      </c>
      <c r="N18" s="3">
        <f t="shared" si="1"/>
        <v>540.58722480000006</v>
      </c>
      <c r="O18" s="3">
        <v>2.1244486E-2</v>
      </c>
      <c r="P18" s="3">
        <v>8.0109794999999998E-2</v>
      </c>
      <c r="Q18" s="3">
        <f t="shared" si="2"/>
        <v>2.2239531230992672E-3</v>
      </c>
      <c r="R18" s="3">
        <f t="shared" si="3"/>
        <v>0.65177725987149826</v>
      </c>
      <c r="S18" s="3">
        <v>3.6199999999999999E-7</v>
      </c>
      <c r="T18">
        <f t="shared" si="4"/>
        <v>99157.960316669007</v>
      </c>
    </row>
    <row r="19" spans="1:21" x14ac:dyDescent="0.25">
      <c r="A19" s="1">
        <v>43374</v>
      </c>
      <c r="B19" s="2">
        <v>0.69384259259259251</v>
      </c>
      <c r="C19">
        <v>1</v>
      </c>
      <c r="D19">
        <v>1</v>
      </c>
      <c r="E19">
        <v>42</v>
      </c>
      <c r="F19">
        <v>10</v>
      </c>
      <c r="G19">
        <v>10</v>
      </c>
      <c r="H19" s="3">
        <v>24.004401999999999</v>
      </c>
      <c r="I19" s="3">
        <v>7.3208627000000002</v>
      </c>
      <c r="J19" s="3">
        <v>14.330845999999999</v>
      </c>
      <c r="K19">
        <f t="shared" si="0"/>
        <v>2063.6418239999998</v>
      </c>
      <c r="L19" s="3">
        <v>98.806887000000003</v>
      </c>
      <c r="M19" s="3">
        <v>27.187507</v>
      </c>
      <c r="N19" s="3">
        <f t="shared" si="1"/>
        <v>540.60751259999995</v>
      </c>
      <c r="O19" s="3">
        <v>2.1063338000000001E-2</v>
      </c>
      <c r="P19" s="3">
        <v>7.9384394999999996E-2</v>
      </c>
      <c r="Q19" s="3">
        <f t="shared" si="2"/>
        <v>2.2238780428603241E-3</v>
      </c>
      <c r="R19" s="3">
        <f t="shared" si="3"/>
        <v>0.6407118461579594</v>
      </c>
      <c r="S19" s="3">
        <v>3.6199999999999999E-7</v>
      </c>
      <c r="T19">
        <f t="shared" si="4"/>
        <v>98310.980736266021</v>
      </c>
    </row>
    <row r="20" spans="1:21" x14ac:dyDescent="0.25">
      <c r="A20" s="1">
        <v>43374</v>
      </c>
      <c r="B20" s="2">
        <v>0.69395833333333334</v>
      </c>
      <c r="C20">
        <v>1</v>
      </c>
      <c r="D20">
        <v>1</v>
      </c>
      <c r="E20">
        <v>43</v>
      </c>
      <c r="F20">
        <v>11</v>
      </c>
      <c r="G20">
        <v>11</v>
      </c>
      <c r="H20" s="3">
        <v>23.655540999999999</v>
      </c>
      <c r="I20" s="3">
        <v>7.214467</v>
      </c>
      <c r="J20" s="3">
        <v>14.330845999999999</v>
      </c>
      <c r="K20">
        <f t="shared" si="0"/>
        <v>2063.6418239999998</v>
      </c>
      <c r="L20" s="3">
        <v>98.806887000000003</v>
      </c>
      <c r="M20" s="3">
        <v>27.200614000000002</v>
      </c>
      <c r="N20" s="3">
        <f t="shared" si="1"/>
        <v>540.63110519999998</v>
      </c>
      <c r="O20" s="3">
        <v>2.0756766999999999E-2</v>
      </c>
      <c r="P20" s="3">
        <v>7.9028477E-2</v>
      </c>
      <c r="Q20" s="3">
        <f t="shared" si="2"/>
        <v>2.2237809950497013E-3</v>
      </c>
      <c r="R20" s="3">
        <f t="shared" si="3"/>
        <v>0.62219682154203537</v>
      </c>
      <c r="S20" s="3">
        <v>3.6199999999999999E-7</v>
      </c>
      <c r="T20">
        <f t="shared" si="4"/>
        <v>96877.978827659303</v>
      </c>
    </row>
    <row r="21" spans="1:21" x14ac:dyDescent="0.25">
      <c r="A21" s="1">
        <v>43374</v>
      </c>
      <c r="B21" s="2">
        <v>0.69406249999999992</v>
      </c>
      <c r="C21">
        <v>1</v>
      </c>
      <c r="D21">
        <v>1</v>
      </c>
      <c r="E21">
        <v>44</v>
      </c>
      <c r="F21">
        <v>12</v>
      </c>
      <c r="G21">
        <v>12</v>
      </c>
      <c r="H21" s="3">
        <v>23.509701</v>
      </c>
      <c r="I21" s="3">
        <v>7.1699885999999999</v>
      </c>
      <c r="J21" s="3">
        <v>14.330875000000001</v>
      </c>
      <c r="K21">
        <f t="shared" si="0"/>
        <v>2063.6460000000002</v>
      </c>
      <c r="L21" s="3">
        <v>98.807081999999994</v>
      </c>
      <c r="M21" s="3">
        <v>27.211279000000001</v>
      </c>
      <c r="N21" s="3">
        <f t="shared" si="1"/>
        <v>540.65030219999994</v>
      </c>
      <c r="O21" s="3">
        <v>2.0628431999999999E-2</v>
      </c>
      <c r="P21" s="3">
        <v>7.8527752000000006E-2</v>
      </c>
      <c r="Q21" s="3">
        <f t="shared" si="2"/>
        <v>2.2237065346233124E-3</v>
      </c>
      <c r="R21" s="3">
        <f t="shared" si="3"/>
        <v>0.61452801767037801</v>
      </c>
      <c r="S21" s="3">
        <v>3.6199999999999999E-7</v>
      </c>
      <c r="T21">
        <f t="shared" si="4"/>
        <v>96277.487552007777</v>
      </c>
    </row>
    <row r="22" spans="1:21" x14ac:dyDescent="0.25">
      <c r="A22" s="1">
        <v>43374</v>
      </c>
      <c r="B22" s="2">
        <v>0.69417824074074075</v>
      </c>
      <c r="C22">
        <v>1</v>
      </c>
      <c r="D22">
        <v>1</v>
      </c>
      <c r="E22">
        <v>45</v>
      </c>
      <c r="F22">
        <v>13</v>
      </c>
      <c r="G22">
        <v>13</v>
      </c>
      <c r="H22" s="3">
        <v>23.244427999999999</v>
      </c>
      <c r="I22" s="3">
        <v>7.0890855999999998</v>
      </c>
      <c r="J22" s="3">
        <v>14.330992999999999</v>
      </c>
      <c r="K22">
        <f t="shared" si="0"/>
        <v>2063.662992</v>
      </c>
      <c r="L22" s="3">
        <v>98.807895000000002</v>
      </c>
      <c r="M22" s="3">
        <v>27.220707000000001</v>
      </c>
      <c r="N22" s="3">
        <f t="shared" si="1"/>
        <v>540.66727259999993</v>
      </c>
      <c r="O22" s="3">
        <v>2.039535E-2</v>
      </c>
      <c r="P22" s="3">
        <v>7.7909421000000006E-2</v>
      </c>
      <c r="Q22" s="3">
        <f t="shared" si="2"/>
        <v>2.2236550465462657E-3</v>
      </c>
      <c r="R22" s="3">
        <f t="shared" si="3"/>
        <v>0.60072422778082146</v>
      </c>
      <c r="S22" s="3">
        <v>3.6199999999999999E-7</v>
      </c>
      <c r="T22">
        <f t="shared" si="4"/>
        <v>95188.93117178879</v>
      </c>
    </row>
    <row r="23" spans="1:21" x14ac:dyDescent="0.25">
      <c r="A23" s="1">
        <v>43374</v>
      </c>
      <c r="B23" s="2">
        <v>0.69428240740740732</v>
      </c>
      <c r="C23">
        <v>1</v>
      </c>
      <c r="D23">
        <v>1</v>
      </c>
      <c r="E23">
        <v>46</v>
      </c>
      <c r="F23">
        <v>14</v>
      </c>
      <c r="G23">
        <v>14</v>
      </c>
      <c r="H23" s="3">
        <v>22.969871999999999</v>
      </c>
      <c r="I23" s="3">
        <v>7.0053514999999997</v>
      </c>
      <c r="J23" s="3">
        <v>14.330981</v>
      </c>
      <c r="K23">
        <f t="shared" si="0"/>
        <v>2063.6612639999998</v>
      </c>
      <c r="L23" s="3">
        <v>98.807812999999996</v>
      </c>
      <c r="M23" s="3">
        <v>27.233221</v>
      </c>
      <c r="N23" s="3">
        <f t="shared" si="1"/>
        <v>540.68979779999995</v>
      </c>
      <c r="O23" s="3">
        <v>2.0154025999999998E-2</v>
      </c>
      <c r="P23" s="3">
        <v>7.7018912999999994E-2</v>
      </c>
      <c r="Q23" s="3">
        <f t="shared" si="2"/>
        <v>2.223560546926693E-3</v>
      </c>
      <c r="R23" s="3">
        <f t="shared" si="3"/>
        <v>0.58659197088141468</v>
      </c>
      <c r="S23" s="3">
        <v>3.6199999999999999E-7</v>
      </c>
      <c r="T23">
        <f t="shared" si="4"/>
        <v>94060.591431226756</v>
      </c>
    </row>
    <row r="24" spans="1:21" x14ac:dyDescent="0.25">
      <c r="A24" s="1">
        <v>43374</v>
      </c>
      <c r="B24" s="2">
        <v>0.69439814814814815</v>
      </c>
      <c r="C24">
        <v>1</v>
      </c>
      <c r="D24">
        <v>1</v>
      </c>
      <c r="E24">
        <v>47</v>
      </c>
      <c r="F24">
        <v>15</v>
      </c>
      <c r="G24">
        <v>15</v>
      </c>
      <c r="H24" s="3">
        <v>22.787268999999998</v>
      </c>
      <c r="I24" s="3">
        <v>6.9496614000000001</v>
      </c>
      <c r="J24" s="3">
        <v>14.330959999999999</v>
      </c>
      <c r="K24">
        <f t="shared" si="0"/>
        <v>2063.6582399999998</v>
      </c>
      <c r="L24" s="3">
        <v>98.807666999999995</v>
      </c>
      <c r="M24" s="3">
        <v>27.244499999999999</v>
      </c>
      <c r="N24" s="3">
        <f t="shared" si="1"/>
        <v>540.71010000000001</v>
      </c>
      <c r="O24" s="3">
        <v>1.9993434000000001E-2</v>
      </c>
      <c r="P24" s="3">
        <v>7.7268805999999995E-2</v>
      </c>
      <c r="Q24" s="3">
        <f t="shared" si="2"/>
        <v>2.2234738000624513E-3</v>
      </c>
      <c r="R24" s="3">
        <f t="shared" si="3"/>
        <v>0.57728008967589894</v>
      </c>
      <c r="S24" s="3">
        <v>3.6199999999999999E-7</v>
      </c>
      <c r="T24">
        <f t="shared" si="4"/>
        <v>93309.199993508824</v>
      </c>
    </row>
    <row r="25" spans="1:21" x14ac:dyDescent="0.25">
      <c r="A25" s="1">
        <v>43374</v>
      </c>
      <c r="B25" s="2">
        <v>0.69450231481481473</v>
      </c>
      <c r="C25">
        <v>1</v>
      </c>
      <c r="D25">
        <v>1</v>
      </c>
      <c r="E25">
        <v>48</v>
      </c>
      <c r="F25">
        <v>16</v>
      </c>
      <c r="G25">
        <v>16</v>
      </c>
      <c r="H25" s="3">
        <v>22.537690000000001</v>
      </c>
      <c r="I25" s="3">
        <v>6.8735447000000001</v>
      </c>
      <c r="J25" s="3">
        <v>14.330733</v>
      </c>
      <c r="K25">
        <f t="shared" si="0"/>
        <v>2063.625552</v>
      </c>
      <c r="L25" s="3">
        <v>98.806106999999997</v>
      </c>
      <c r="M25" s="3">
        <v>27.251507</v>
      </c>
      <c r="N25" s="3">
        <f t="shared" si="1"/>
        <v>540.72271260000002</v>
      </c>
      <c r="O25" s="3">
        <v>1.9774223E-2</v>
      </c>
      <c r="P25" s="3">
        <v>7.7442417999999999E-2</v>
      </c>
      <c r="Q25" s="3">
        <f t="shared" si="2"/>
        <v>2.2233867179078286E-3</v>
      </c>
      <c r="R25" s="3">
        <f t="shared" si="3"/>
        <v>0.56468182969242153</v>
      </c>
      <c r="S25" s="3">
        <v>3.6199999999999999E-7</v>
      </c>
      <c r="T25">
        <f t="shared" si="4"/>
        <v>92283.610678313242</v>
      </c>
    </row>
    <row r="26" spans="1:21" x14ac:dyDescent="0.25">
      <c r="A26" s="1">
        <v>43374</v>
      </c>
      <c r="B26" s="2">
        <v>0.69461805555555556</v>
      </c>
      <c r="C26">
        <v>1</v>
      </c>
      <c r="D26">
        <v>1</v>
      </c>
      <c r="E26">
        <v>49</v>
      </c>
      <c r="F26">
        <v>17</v>
      </c>
      <c r="G26">
        <v>17</v>
      </c>
      <c r="H26" s="3">
        <v>22.531369999999999</v>
      </c>
      <c r="I26" s="3">
        <v>6.8716170999999999</v>
      </c>
      <c r="J26" s="3">
        <v>14.330662999999999</v>
      </c>
      <c r="K26">
        <f t="shared" si="0"/>
        <v>2063.615472</v>
      </c>
      <c r="L26" s="3">
        <v>98.805618999999993</v>
      </c>
      <c r="M26" s="3">
        <v>27.256399999999999</v>
      </c>
      <c r="N26" s="3">
        <f t="shared" si="1"/>
        <v>540.73151999999993</v>
      </c>
      <c r="O26" s="3">
        <v>1.9768516999999999E-2</v>
      </c>
      <c r="P26" s="3">
        <v>7.7558500000000002E-2</v>
      </c>
      <c r="Q26" s="3">
        <f t="shared" si="2"/>
        <v>2.2233396433352414E-3</v>
      </c>
      <c r="R26" s="3">
        <f t="shared" si="3"/>
        <v>0.56435322989158199</v>
      </c>
      <c r="S26" s="3">
        <v>3.6199999999999999E-7</v>
      </c>
      <c r="T26">
        <f t="shared" si="4"/>
        <v>92255.779262715208</v>
      </c>
    </row>
    <row r="27" spans="1:21" x14ac:dyDescent="0.25">
      <c r="A27" s="1">
        <v>43374</v>
      </c>
      <c r="B27" s="2">
        <v>0.69472222222222213</v>
      </c>
      <c r="C27">
        <v>1</v>
      </c>
      <c r="D27">
        <v>1</v>
      </c>
      <c r="E27">
        <v>50</v>
      </c>
      <c r="F27">
        <v>18</v>
      </c>
      <c r="G27">
        <v>18</v>
      </c>
      <c r="H27" s="3">
        <v>22.291924999999999</v>
      </c>
      <c r="I27" s="3">
        <v>6.7985914000000003</v>
      </c>
      <c r="J27" s="3">
        <v>14.330557000000001</v>
      </c>
      <c r="K27">
        <f t="shared" si="0"/>
        <v>2063.6002080000003</v>
      </c>
      <c r="L27" s="3">
        <v>98.804888000000005</v>
      </c>
      <c r="M27" s="3">
        <v>27.259399999999999</v>
      </c>
      <c r="N27" s="3">
        <f t="shared" si="1"/>
        <v>540.73692000000005</v>
      </c>
      <c r="O27" s="3">
        <v>1.9558335999999999E-2</v>
      </c>
      <c r="P27" s="3">
        <v>7.7588364000000007E-2</v>
      </c>
      <c r="Q27" s="3">
        <f t="shared" si="2"/>
        <v>2.2233009949667948E-3</v>
      </c>
      <c r="R27" s="3">
        <f t="shared" si="3"/>
        <v>0.55241239301096801</v>
      </c>
      <c r="S27" s="3">
        <v>3.6199999999999999E-7</v>
      </c>
      <c r="T27">
        <f t="shared" si="4"/>
        <v>91273.773540009526</v>
      </c>
      <c r="U27">
        <f>AVERAGE(T5:T27)</f>
        <v>98678.973870303496</v>
      </c>
    </row>
    <row r="28" spans="1:21" x14ac:dyDescent="0.25">
      <c r="A28" s="1">
        <v>43374</v>
      </c>
      <c r="B28" s="2">
        <v>0.6950925925925926</v>
      </c>
      <c r="C28">
        <v>1</v>
      </c>
      <c r="D28">
        <v>1</v>
      </c>
      <c r="E28">
        <v>51</v>
      </c>
      <c r="F28">
        <v>18</v>
      </c>
      <c r="G28">
        <v>18</v>
      </c>
      <c r="H28" s="3">
        <v>0</v>
      </c>
      <c r="I28" s="3">
        <v>0</v>
      </c>
      <c r="J28" s="3">
        <v>14.323808</v>
      </c>
      <c r="K28">
        <f t="shared" si="0"/>
        <v>2062.6283519999997</v>
      </c>
      <c r="L28" s="3">
        <v>98.758360999999994</v>
      </c>
      <c r="M28" s="3">
        <v>27.285629</v>
      </c>
      <c r="N28" s="3">
        <f t="shared" si="1"/>
        <v>540.78413219999993</v>
      </c>
      <c r="O28" s="3">
        <v>0</v>
      </c>
      <c r="P28" s="3">
        <v>0</v>
      </c>
      <c r="Q28" s="3">
        <f t="shared" si="2"/>
        <v>2.2220599176719954E-3</v>
      </c>
      <c r="R28" s="3">
        <f t="shared" si="3"/>
        <v>0</v>
      </c>
      <c r="S28" s="3">
        <v>3.6199999999999999E-7</v>
      </c>
      <c r="T28">
        <f t="shared" si="4"/>
        <v>0</v>
      </c>
    </row>
    <row r="29" spans="1:21" x14ac:dyDescent="0.25">
      <c r="A29" s="1">
        <v>43374</v>
      </c>
      <c r="B29" s="2">
        <v>0.69813657407407403</v>
      </c>
      <c r="C29">
        <v>1</v>
      </c>
      <c r="D29">
        <v>2</v>
      </c>
      <c r="E29">
        <v>52</v>
      </c>
      <c r="F29">
        <v>0</v>
      </c>
      <c r="G29">
        <v>0</v>
      </c>
      <c r="H29" s="3">
        <v>50.177833999999997</v>
      </c>
      <c r="I29" s="3">
        <v>15.303236</v>
      </c>
      <c r="J29" s="3">
        <v>14.342724</v>
      </c>
      <c r="K29">
        <f t="shared" si="0"/>
        <v>2065.3522560000001</v>
      </c>
      <c r="L29" s="3">
        <v>98.888777000000005</v>
      </c>
      <c r="M29" s="3">
        <v>27.300864000000001</v>
      </c>
      <c r="N29" s="3">
        <f t="shared" si="1"/>
        <v>540.81155519999993</v>
      </c>
      <c r="O29" s="3">
        <v>4.4021644999999998E-2</v>
      </c>
      <c r="P29" s="3">
        <v>0</v>
      </c>
      <c r="Q29" s="3">
        <f t="shared" si="2"/>
        <v>2.2248815436945535E-3</v>
      </c>
      <c r="R29" s="3">
        <f t="shared" si="3"/>
        <v>2.8009200897035305</v>
      </c>
      <c r="S29" s="3">
        <v>3.6199999999999999E-7</v>
      </c>
      <c r="T29">
        <f t="shared" si="4"/>
        <v>205598.04193217139</v>
      </c>
    </row>
    <row r="30" spans="1:21" x14ac:dyDescent="0.25">
      <c r="A30" s="1">
        <v>43374</v>
      </c>
      <c r="B30" s="2">
        <v>0.69846064814814823</v>
      </c>
      <c r="C30">
        <v>1</v>
      </c>
      <c r="D30">
        <v>2</v>
      </c>
      <c r="E30">
        <v>53</v>
      </c>
      <c r="F30">
        <v>-4</v>
      </c>
      <c r="G30">
        <v>-4</v>
      </c>
      <c r="H30" s="3">
        <v>48.798876</v>
      </c>
      <c r="I30" s="3">
        <v>14.882681</v>
      </c>
      <c r="J30" s="3">
        <v>14.341811999999999</v>
      </c>
      <c r="K30">
        <f t="shared" si="0"/>
        <v>2065.2209279999997</v>
      </c>
      <c r="L30" s="3">
        <v>98.882487999999995</v>
      </c>
      <c r="M30" s="3">
        <v>27.318249999999999</v>
      </c>
      <c r="N30" s="3">
        <f t="shared" si="1"/>
        <v>540.84284999999988</v>
      </c>
      <c r="O30" s="3">
        <v>4.2810629000000003E-2</v>
      </c>
      <c r="P30" s="3">
        <v>9.9646725000000005E-2</v>
      </c>
      <c r="Q30" s="3">
        <f t="shared" si="2"/>
        <v>2.2246113416491491E-3</v>
      </c>
      <c r="R30" s="3">
        <f t="shared" si="3"/>
        <v>2.6487671955321122</v>
      </c>
      <c r="S30" s="3">
        <v>3.6199999999999999E-7</v>
      </c>
      <c r="T30">
        <f t="shared" si="4"/>
        <v>199923.63353467861</v>
      </c>
    </row>
    <row r="31" spans="1:21" x14ac:dyDescent="0.25">
      <c r="A31" s="1">
        <v>43374</v>
      </c>
      <c r="B31" s="2">
        <v>0.69856481481481481</v>
      </c>
      <c r="C31">
        <v>1</v>
      </c>
      <c r="D31">
        <v>2</v>
      </c>
      <c r="E31">
        <v>54</v>
      </c>
      <c r="F31">
        <v>-3</v>
      </c>
      <c r="G31">
        <v>-3</v>
      </c>
      <c r="H31" s="3">
        <v>48.698622</v>
      </c>
      <c r="I31" s="3">
        <v>14.852105999999999</v>
      </c>
      <c r="J31" s="3">
        <v>14.341794999999999</v>
      </c>
      <c r="K31">
        <f t="shared" si="0"/>
        <v>2065.21848</v>
      </c>
      <c r="L31" s="3">
        <v>98.882373999999999</v>
      </c>
      <c r="M31" s="3">
        <v>27.329836</v>
      </c>
      <c r="N31" s="3">
        <f t="shared" si="1"/>
        <v>540.86370479999994</v>
      </c>
      <c r="O31" s="3">
        <v>4.2721853999999997E-2</v>
      </c>
      <c r="P31" s="3">
        <v>9.9335547999999996E-2</v>
      </c>
      <c r="Q31" s="3">
        <f t="shared" si="2"/>
        <v>2.2245229275249041E-3</v>
      </c>
      <c r="R31" s="3">
        <f t="shared" si="3"/>
        <v>2.6377901084834914</v>
      </c>
      <c r="S31" s="3">
        <v>3.6199999999999999E-7</v>
      </c>
      <c r="T31">
        <f t="shared" si="4"/>
        <v>199504.97454487791</v>
      </c>
    </row>
    <row r="32" spans="1:21" x14ac:dyDescent="0.25">
      <c r="A32" s="1">
        <v>43374</v>
      </c>
      <c r="B32" s="2">
        <v>0.69868055555555564</v>
      </c>
      <c r="C32">
        <v>1</v>
      </c>
      <c r="D32">
        <v>2</v>
      </c>
      <c r="E32">
        <v>55</v>
      </c>
      <c r="F32">
        <v>-2</v>
      </c>
      <c r="G32">
        <v>-2</v>
      </c>
      <c r="H32" s="3">
        <v>48.993923000000002</v>
      </c>
      <c r="I32" s="3">
        <v>14.942167</v>
      </c>
      <c r="J32" s="3">
        <v>14.342518999999999</v>
      </c>
      <c r="K32">
        <f t="shared" si="0"/>
        <v>2065.3227360000001</v>
      </c>
      <c r="L32" s="3">
        <v>98.887362999999993</v>
      </c>
      <c r="M32" s="3">
        <v>27.336507000000001</v>
      </c>
      <c r="N32" s="3">
        <f t="shared" si="1"/>
        <v>540.87571259999993</v>
      </c>
      <c r="O32" s="3">
        <v>4.2980435999999997E-2</v>
      </c>
      <c r="P32" s="3">
        <v>0.10036966</v>
      </c>
      <c r="Q32" s="3">
        <f t="shared" si="2"/>
        <v>2.2245858371249851E-3</v>
      </c>
      <c r="R32" s="3">
        <f t="shared" si="3"/>
        <v>2.6699529169469649</v>
      </c>
      <c r="S32" s="3">
        <v>3.6199999999999999E-7</v>
      </c>
      <c r="T32">
        <f t="shared" si="4"/>
        <v>200720.41843644949</v>
      </c>
    </row>
    <row r="33" spans="1:20" x14ac:dyDescent="0.25">
      <c r="A33" s="1">
        <v>43374</v>
      </c>
      <c r="B33" s="2">
        <v>0.69878472222222221</v>
      </c>
      <c r="C33">
        <v>1</v>
      </c>
      <c r="D33">
        <v>2</v>
      </c>
      <c r="E33">
        <v>56</v>
      </c>
      <c r="F33">
        <v>-1</v>
      </c>
      <c r="G33">
        <v>-1</v>
      </c>
      <c r="H33" s="3">
        <v>49.257465000000003</v>
      </c>
      <c r="I33" s="3">
        <v>15.022542</v>
      </c>
      <c r="J33" s="3">
        <v>14.342686</v>
      </c>
      <c r="K33">
        <f t="shared" si="0"/>
        <v>2065.3467840000003</v>
      </c>
      <c r="L33" s="3">
        <v>98.888516999999993</v>
      </c>
      <c r="M33" s="3">
        <v>27.344486</v>
      </c>
      <c r="N33" s="3">
        <f t="shared" si="1"/>
        <v>540.89007479999998</v>
      </c>
      <c r="O33" s="3">
        <v>4.3211056999999997E-2</v>
      </c>
      <c r="P33" s="3">
        <v>0.10100207</v>
      </c>
      <c r="Q33" s="3">
        <f t="shared" si="2"/>
        <v>2.2245526696441009E-3</v>
      </c>
      <c r="R33" s="3">
        <f t="shared" si="3"/>
        <v>2.6987136889344567</v>
      </c>
      <c r="S33" s="3">
        <v>3.6199999999999999E-7</v>
      </c>
      <c r="T33">
        <f t="shared" si="4"/>
        <v>201797.09993674193</v>
      </c>
    </row>
    <row r="34" spans="1:20" x14ac:dyDescent="0.25">
      <c r="A34" s="1">
        <v>43374</v>
      </c>
      <c r="B34" s="2">
        <v>0.69890046296296304</v>
      </c>
      <c r="C34">
        <v>1</v>
      </c>
      <c r="D34">
        <v>2</v>
      </c>
      <c r="E34">
        <v>57</v>
      </c>
      <c r="F34">
        <v>0</v>
      </c>
      <c r="G34">
        <v>0</v>
      </c>
      <c r="H34" s="3">
        <v>49.851728999999999</v>
      </c>
      <c r="I34" s="3">
        <v>15.20378</v>
      </c>
      <c r="J34" s="3">
        <v>14.342568</v>
      </c>
      <c r="K34">
        <f t="shared" si="0"/>
        <v>2065.329792</v>
      </c>
      <c r="L34" s="3">
        <v>98.887704999999997</v>
      </c>
      <c r="M34" s="3">
        <v>27.350850000000001</v>
      </c>
      <c r="N34" s="3">
        <f t="shared" si="1"/>
        <v>540.90152999999998</v>
      </c>
      <c r="O34" s="3">
        <v>4.3731910999999998E-2</v>
      </c>
      <c r="P34" s="3">
        <v>0.10175568</v>
      </c>
      <c r="Q34" s="3">
        <f t="shared" si="2"/>
        <v>2.2244872566900488E-3</v>
      </c>
      <c r="R34" s="3">
        <f t="shared" si="3"/>
        <v>2.7641421752465809</v>
      </c>
      <c r="S34" s="3">
        <v>3.6199999999999999E-7</v>
      </c>
      <c r="T34">
        <f t="shared" si="4"/>
        <v>204225.66461227581</v>
      </c>
    </row>
    <row r="35" spans="1:20" x14ac:dyDescent="0.25">
      <c r="A35" s="1">
        <v>43374</v>
      </c>
      <c r="B35" s="2">
        <v>0.69900462962962961</v>
      </c>
      <c r="C35">
        <v>1</v>
      </c>
      <c r="D35">
        <v>2</v>
      </c>
      <c r="E35">
        <v>58</v>
      </c>
      <c r="F35">
        <v>1</v>
      </c>
      <c r="G35">
        <v>1</v>
      </c>
      <c r="H35" s="3">
        <v>50.264476999999999</v>
      </c>
      <c r="I35" s="3">
        <v>15.329660000000001</v>
      </c>
      <c r="J35" s="3">
        <v>14.342787</v>
      </c>
      <c r="K35">
        <f t="shared" si="0"/>
        <v>2065.361328</v>
      </c>
      <c r="L35" s="3">
        <v>98.889216000000005</v>
      </c>
      <c r="M35" s="3">
        <v>27.363021</v>
      </c>
      <c r="N35" s="3">
        <f t="shared" si="1"/>
        <v>540.92343779999999</v>
      </c>
      <c r="O35" s="3">
        <v>4.4093096999999998E-2</v>
      </c>
      <c r="P35" s="3">
        <v>0.1021555</v>
      </c>
      <c r="Q35" s="3">
        <f t="shared" si="2"/>
        <v>2.2244311281446501E-3</v>
      </c>
      <c r="R35" s="3">
        <f t="shared" si="3"/>
        <v>2.810032251101906</v>
      </c>
      <c r="S35" s="3">
        <v>3.6199999999999999E-7</v>
      </c>
      <c r="T35">
        <f t="shared" si="4"/>
        <v>205911.35778768105</v>
      </c>
    </row>
    <row r="36" spans="1:20" x14ac:dyDescent="0.25">
      <c r="A36" s="1">
        <v>43374</v>
      </c>
      <c r="B36" s="2">
        <v>0.69912037037037045</v>
      </c>
      <c r="C36">
        <v>1</v>
      </c>
      <c r="D36">
        <v>2</v>
      </c>
      <c r="E36">
        <v>59</v>
      </c>
      <c r="F36">
        <v>2</v>
      </c>
      <c r="G36">
        <v>2</v>
      </c>
      <c r="H36" s="3">
        <v>50.527909000000001</v>
      </c>
      <c r="I36" s="3">
        <v>15.410002</v>
      </c>
      <c r="J36" s="3">
        <v>14.34319</v>
      </c>
      <c r="K36">
        <f t="shared" si="0"/>
        <v>2065.4193599999999</v>
      </c>
      <c r="L36" s="3">
        <v>98.891994999999994</v>
      </c>
      <c r="M36" s="3">
        <v>27.371286000000001</v>
      </c>
      <c r="N36" s="3">
        <f t="shared" si="1"/>
        <v>540.93831479999994</v>
      </c>
      <c r="O36" s="3">
        <v>4.4323576000000003E-2</v>
      </c>
      <c r="P36" s="3">
        <v>0.1023661</v>
      </c>
      <c r="Q36" s="3">
        <f t="shared" si="2"/>
        <v>2.2244324511531241E-3</v>
      </c>
      <c r="R36" s="3">
        <f t="shared" si="3"/>
        <v>2.8395654207021059</v>
      </c>
      <c r="S36" s="3">
        <v>3.6199999999999999E-7</v>
      </c>
      <c r="T36">
        <f t="shared" si="4"/>
        <v>206990.64543004055</v>
      </c>
    </row>
    <row r="37" spans="1:20" x14ac:dyDescent="0.25">
      <c r="A37" s="1">
        <v>43374</v>
      </c>
      <c r="B37" s="2">
        <v>0.69922453703703702</v>
      </c>
      <c r="C37">
        <v>1</v>
      </c>
      <c r="D37">
        <v>2</v>
      </c>
      <c r="E37">
        <v>60</v>
      </c>
      <c r="F37">
        <v>3</v>
      </c>
      <c r="G37">
        <v>3</v>
      </c>
      <c r="H37" s="3">
        <v>50.377276999999999</v>
      </c>
      <c r="I37" s="3">
        <v>15.364062000000001</v>
      </c>
      <c r="J37" s="3">
        <v>14.34357</v>
      </c>
      <c r="K37">
        <f t="shared" si="0"/>
        <v>2065.47408</v>
      </c>
      <c r="L37" s="3">
        <v>98.894610999999998</v>
      </c>
      <c r="M37" s="3">
        <v>27.379507</v>
      </c>
      <c r="N37" s="3">
        <f t="shared" si="1"/>
        <v>540.95311259999994</v>
      </c>
      <c r="O37" s="3">
        <v>4.4190835999999997E-2</v>
      </c>
      <c r="P37" s="3">
        <v>0.10212196</v>
      </c>
      <c r="Q37" s="3">
        <f t="shared" si="2"/>
        <v>2.2244305328766715E-3</v>
      </c>
      <c r="R37" s="3">
        <f t="shared" si="3"/>
        <v>2.8226578004274434</v>
      </c>
      <c r="S37" s="3">
        <v>3.6199999999999999E-7</v>
      </c>
      <c r="T37">
        <f t="shared" si="4"/>
        <v>206373.39433146536</v>
      </c>
    </row>
    <row r="38" spans="1:20" x14ac:dyDescent="0.25">
      <c r="A38" s="1">
        <v>43374</v>
      </c>
      <c r="B38" s="2">
        <v>0.69934027777777785</v>
      </c>
      <c r="C38">
        <v>1</v>
      </c>
      <c r="D38">
        <v>2</v>
      </c>
      <c r="E38">
        <v>61</v>
      </c>
      <c r="F38">
        <v>4</v>
      </c>
      <c r="G38">
        <v>4</v>
      </c>
      <c r="H38" s="3">
        <v>50.279001999999998</v>
      </c>
      <c r="I38" s="3">
        <v>15.33409</v>
      </c>
      <c r="J38" s="3">
        <v>14.342962</v>
      </c>
      <c r="K38">
        <f t="shared" si="0"/>
        <v>2065.386528</v>
      </c>
      <c r="L38" s="3">
        <v>98.890418999999994</v>
      </c>
      <c r="M38" s="3">
        <v>27.387743</v>
      </c>
      <c r="N38" s="3">
        <f t="shared" si="1"/>
        <v>540.96793739999998</v>
      </c>
      <c r="O38" s="3">
        <v>4.4104024999999998E-2</v>
      </c>
      <c r="P38" s="3">
        <v>0.10174516</v>
      </c>
      <c r="Q38" s="3">
        <f t="shared" si="2"/>
        <v>2.224275286796063E-3</v>
      </c>
      <c r="R38" s="3">
        <f t="shared" si="3"/>
        <v>2.8114595423208621</v>
      </c>
      <c r="S38" s="3">
        <v>3.6199999999999999E-7</v>
      </c>
      <c r="T38">
        <f t="shared" si="4"/>
        <v>205956.430190368</v>
      </c>
    </row>
    <row r="39" spans="1:20" x14ac:dyDescent="0.25">
      <c r="A39" s="1">
        <v>43374</v>
      </c>
      <c r="B39" s="2">
        <v>0.69944444444444442</v>
      </c>
      <c r="C39">
        <v>1</v>
      </c>
      <c r="D39">
        <v>2</v>
      </c>
      <c r="E39">
        <v>62</v>
      </c>
      <c r="F39">
        <v>5</v>
      </c>
      <c r="G39">
        <v>5</v>
      </c>
      <c r="H39" s="3">
        <v>50.034269999999999</v>
      </c>
      <c r="I39" s="3">
        <v>15.259452</v>
      </c>
      <c r="J39" s="3">
        <v>14.342686</v>
      </c>
      <c r="K39">
        <f t="shared" si="0"/>
        <v>2065.3467840000003</v>
      </c>
      <c r="L39" s="3">
        <v>98.888516999999993</v>
      </c>
      <c r="M39" s="3">
        <v>27.397479000000001</v>
      </c>
      <c r="N39" s="3">
        <f t="shared" si="1"/>
        <v>540.98546219999992</v>
      </c>
      <c r="O39" s="3">
        <v>4.3888639E-2</v>
      </c>
      <c r="P39" s="3">
        <v>0.10095356</v>
      </c>
      <c r="Q39" s="3">
        <f t="shared" si="2"/>
        <v>2.2241604330496879E-3</v>
      </c>
      <c r="R39" s="3">
        <f t="shared" si="3"/>
        <v>2.7840129462777341</v>
      </c>
      <c r="S39" s="3">
        <v>3.6199999999999999E-7</v>
      </c>
      <c r="T39">
        <f t="shared" si="4"/>
        <v>204943.35843558935</v>
      </c>
    </row>
    <row r="40" spans="1:20" x14ac:dyDescent="0.25">
      <c r="A40" s="1">
        <v>43374</v>
      </c>
      <c r="B40" s="2">
        <v>0.69956018518518526</v>
      </c>
      <c r="C40">
        <v>1</v>
      </c>
      <c r="D40">
        <v>2</v>
      </c>
      <c r="E40">
        <v>63</v>
      </c>
      <c r="F40">
        <v>6</v>
      </c>
      <c r="G40">
        <v>6</v>
      </c>
      <c r="H40" s="3">
        <v>49.500543999999998</v>
      </c>
      <c r="I40" s="3">
        <v>15.096676</v>
      </c>
      <c r="J40" s="3">
        <v>14.342688000000001</v>
      </c>
      <c r="K40">
        <f t="shared" si="0"/>
        <v>2065.347072</v>
      </c>
      <c r="L40" s="3">
        <v>98.888532999999995</v>
      </c>
      <c r="M40" s="3">
        <v>27.407871</v>
      </c>
      <c r="N40" s="3">
        <f t="shared" si="1"/>
        <v>541.0041678</v>
      </c>
      <c r="O40" s="3">
        <v>4.3419719000000002E-2</v>
      </c>
      <c r="P40" s="3">
        <v>0.1000413</v>
      </c>
      <c r="Q40" s="3">
        <f t="shared" si="2"/>
        <v>2.2240838412716469E-3</v>
      </c>
      <c r="R40" s="3">
        <f t="shared" si="3"/>
        <v>2.7248406064966972</v>
      </c>
      <c r="S40" s="3">
        <v>3.6199999999999999E-7</v>
      </c>
      <c r="T40">
        <f t="shared" si="4"/>
        <v>202750.20266032443</v>
      </c>
    </row>
    <row r="41" spans="1:20" x14ac:dyDescent="0.25">
      <c r="A41" s="1">
        <v>43374</v>
      </c>
      <c r="B41" s="2">
        <v>0.69966435185185183</v>
      </c>
      <c r="C41">
        <v>1</v>
      </c>
      <c r="D41">
        <v>2</v>
      </c>
      <c r="E41">
        <v>64</v>
      </c>
      <c r="F41">
        <v>7</v>
      </c>
      <c r="G41">
        <v>7</v>
      </c>
      <c r="H41" s="3">
        <v>49.186205999999999</v>
      </c>
      <c r="I41" s="3">
        <v>15.000809</v>
      </c>
      <c r="J41" s="3">
        <v>14.342943</v>
      </c>
      <c r="K41">
        <f t="shared" si="0"/>
        <v>2065.3837920000001</v>
      </c>
      <c r="L41" s="3">
        <v>98.890288999999996</v>
      </c>
      <c r="M41" s="3">
        <v>27.422485999999999</v>
      </c>
      <c r="N41" s="3">
        <f t="shared" si="1"/>
        <v>541.03047479999998</v>
      </c>
      <c r="O41" s="3">
        <v>4.3142946000000001E-2</v>
      </c>
      <c r="P41" s="3">
        <v>9.9221570999999995E-2</v>
      </c>
      <c r="Q41" s="3">
        <f t="shared" si="2"/>
        <v>2.2240152379627365E-3</v>
      </c>
      <c r="R41" s="3">
        <f t="shared" si="3"/>
        <v>2.690260973541013</v>
      </c>
      <c r="S41" s="3">
        <v>3.6199999999999999E-7</v>
      </c>
      <c r="T41">
        <f t="shared" si="4"/>
        <v>201456.4855277609</v>
      </c>
    </row>
    <row r="42" spans="1:20" x14ac:dyDescent="0.25">
      <c r="A42" s="1">
        <v>43374</v>
      </c>
      <c r="B42" s="2">
        <v>0.69978009259259266</v>
      </c>
      <c r="C42">
        <v>1</v>
      </c>
      <c r="D42">
        <v>2</v>
      </c>
      <c r="E42">
        <v>65</v>
      </c>
      <c r="F42">
        <v>8</v>
      </c>
      <c r="G42">
        <v>8</v>
      </c>
      <c r="H42" s="3">
        <v>48.959567</v>
      </c>
      <c r="I42" s="3">
        <v>14.931689</v>
      </c>
      <c r="J42" s="3">
        <v>14.343223</v>
      </c>
      <c r="K42">
        <f t="shared" si="0"/>
        <v>2065.4241120000002</v>
      </c>
      <c r="L42" s="3">
        <v>98.892222000000004</v>
      </c>
      <c r="M42" s="3">
        <v>27.424306999999999</v>
      </c>
      <c r="N42" s="3">
        <f t="shared" si="1"/>
        <v>541.03375259999996</v>
      </c>
      <c r="O42" s="3">
        <v>4.2944022999999998E-2</v>
      </c>
      <c r="P42" s="3">
        <v>9.8977714999999994E-2</v>
      </c>
      <c r="Q42" s="3">
        <f t="shared" si="2"/>
        <v>2.2240451804918532E-3</v>
      </c>
      <c r="R42" s="3">
        <f t="shared" si="3"/>
        <v>2.6655617410252099</v>
      </c>
      <c r="S42" s="3">
        <v>3.6199999999999999E-7</v>
      </c>
      <c r="T42">
        <f t="shared" si="4"/>
        <v>200530.91901531856</v>
      </c>
    </row>
    <row r="43" spans="1:20" x14ac:dyDescent="0.25">
      <c r="A43" s="1">
        <v>43374</v>
      </c>
      <c r="B43" s="2">
        <v>0.69988425925925923</v>
      </c>
      <c r="C43">
        <v>1</v>
      </c>
      <c r="D43">
        <v>2</v>
      </c>
      <c r="E43">
        <v>66</v>
      </c>
      <c r="F43">
        <v>9</v>
      </c>
      <c r="G43">
        <v>9</v>
      </c>
      <c r="H43" s="3">
        <v>48.621338000000002</v>
      </c>
      <c r="I43" s="3">
        <v>14.828536</v>
      </c>
      <c r="J43" s="3">
        <v>14.342995</v>
      </c>
      <c r="K43">
        <f t="shared" si="0"/>
        <v>2065.3912799999998</v>
      </c>
      <c r="L43" s="3">
        <v>98.890646000000004</v>
      </c>
      <c r="M43" s="3">
        <v>27.427636</v>
      </c>
      <c r="N43" s="3">
        <f t="shared" si="1"/>
        <v>541.03974479999999</v>
      </c>
      <c r="O43" s="3">
        <v>4.2647114999999999E-2</v>
      </c>
      <c r="P43" s="3">
        <v>9.8182552000000006E-2</v>
      </c>
      <c r="Q43" s="3">
        <f t="shared" si="2"/>
        <v>2.2239851953813556E-3</v>
      </c>
      <c r="R43" s="3">
        <f t="shared" si="3"/>
        <v>2.6287888745935084</v>
      </c>
      <c r="S43" s="3">
        <v>3.6199999999999999E-7</v>
      </c>
      <c r="T43">
        <f t="shared" si="4"/>
        <v>199140.21342842159</v>
      </c>
    </row>
    <row r="44" spans="1:20" x14ac:dyDescent="0.25">
      <c r="A44" s="1">
        <v>43374</v>
      </c>
      <c r="B44" s="2">
        <v>0.70000000000000007</v>
      </c>
      <c r="C44">
        <v>1</v>
      </c>
      <c r="D44">
        <v>2</v>
      </c>
      <c r="E44">
        <v>67</v>
      </c>
      <c r="F44">
        <v>10</v>
      </c>
      <c r="G44">
        <v>10</v>
      </c>
      <c r="H44" s="3">
        <v>48.429141000000001</v>
      </c>
      <c r="I44" s="3">
        <v>14.769919</v>
      </c>
      <c r="J44" s="3">
        <v>14.34266</v>
      </c>
      <c r="K44">
        <f t="shared" si="0"/>
        <v>2065.3430400000002</v>
      </c>
      <c r="L44" s="3">
        <v>98.888338000000005</v>
      </c>
      <c r="M44" s="3">
        <v>27.433757</v>
      </c>
      <c r="N44" s="3">
        <f t="shared" si="1"/>
        <v>541.05076259999998</v>
      </c>
      <c r="O44" s="3">
        <v>4.2478101999999997E-2</v>
      </c>
      <c r="P44" s="3">
        <v>9.7553800999999996E-2</v>
      </c>
      <c r="Q44" s="3">
        <f t="shared" si="2"/>
        <v>2.2238879636780886E-3</v>
      </c>
      <c r="R44" s="3">
        <f t="shared" si="3"/>
        <v>2.6079330642041829</v>
      </c>
      <c r="S44" s="3">
        <v>3.6199999999999999E-7</v>
      </c>
      <c r="T44">
        <f t="shared" si="4"/>
        <v>198344.35315132418</v>
      </c>
    </row>
    <row r="45" spans="1:20" x14ac:dyDescent="0.25">
      <c r="A45" s="1">
        <v>43374</v>
      </c>
      <c r="B45" s="2">
        <v>0.70010416666666664</v>
      </c>
      <c r="C45">
        <v>1</v>
      </c>
      <c r="D45">
        <v>2</v>
      </c>
      <c r="E45">
        <v>68</v>
      </c>
      <c r="F45">
        <v>11</v>
      </c>
      <c r="G45">
        <v>11</v>
      </c>
      <c r="H45" s="3">
        <v>48.091011999999999</v>
      </c>
      <c r="I45" s="3">
        <v>14.666797000000001</v>
      </c>
      <c r="J45" s="3">
        <v>14.342219</v>
      </c>
      <c r="K45">
        <f t="shared" si="0"/>
        <v>2065.279536</v>
      </c>
      <c r="L45" s="3">
        <v>98.885299000000003</v>
      </c>
      <c r="M45" s="3">
        <v>27.442278999999999</v>
      </c>
      <c r="N45" s="3">
        <f t="shared" si="1"/>
        <v>541.06610219999993</v>
      </c>
      <c r="O45" s="3">
        <v>4.2180925000000001E-2</v>
      </c>
      <c r="P45" s="3">
        <v>9.7280442999999994E-2</v>
      </c>
      <c r="Q45" s="3">
        <f t="shared" si="2"/>
        <v>2.2237565379977938E-3</v>
      </c>
      <c r="R45" s="3">
        <f t="shared" si="3"/>
        <v>2.5714913911076462</v>
      </c>
      <c r="S45" s="3">
        <v>3.6199999999999999E-7</v>
      </c>
      <c r="T45">
        <f t="shared" si="4"/>
        <v>196947.88647132664</v>
      </c>
    </row>
    <row r="46" spans="1:20" x14ac:dyDescent="0.25">
      <c r="A46" s="1">
        <v>43374</v>
      </c>
      <c r="B46" s="2">
        <v>0.70021990740740747</v>
      </c>
      <c r="C46">
        <v>1</v>
      </c>
      <c r="D46">
        <v>2</v>
      </c>
      <c r="E46">
        <v>69</v>
      </c>
      <c r="F46">
        <v>12</v>
      </c>
      <c r="G46">
        <v>12</v>
      </c>
      <c r="H46" s="3">
        <v>48.127191000000003</v>
      </c>
      <c r="I46" s="3">
        <v>14.677830999999999</v>
      </c>
      <c r="J46" s="3">
        <v>14.341913</v>
      </c>
      <c r="K46">
        <f t="shared" si="0"/>
        <v>2065.2354719999998</v>
      </c>
      <c r="L46" s="3">
        <v>98.883187000000007</v>
      </c>
      <c r="M46" s="3">
        <v>27.452020999999998</v>
      </c>
      <c r="N46" s="3">
        <f t="shared" si="1"/>
        <v>541.08363780000002</v>
      </c>
      <c r="O46" s="3">
        <v>4.2211973E-2</v>
      </c>
      <c r="P46" s="3">
        <v>9.6477276000000001E-2</v>
      </c>
      <c r="Q46" s="3">
        <f t="shared" si="2"/>
        <v>2.223637026166324E-3</v>
      </c>
      <c r="R46" s="3">
        <f t="shared" si="3"/>
        <v>2.5752235182594925</v>
      </c>
      <c r="S46" s="3">
        <v>3.6199999999999999E-7</v>
      </c>
      <c r="T46">
        <f t="shared" si="4"/>
        <v>197085.45832961082</v>
      </c>
    </row>
    <row r="47" spans="1:20" x14ac:dyDescent="0.25">
      <c r="A47" s="1">
        <v>43374</v>
      </c>
      <c r="B47" s="2">
        <v>0.70032407407407404</v>
      </c>
      <c r="C47">
        <v>1</v>
      </c>
      <c r="D47">
        <v>2</v>
      </c>
      <c r="E47">
        <v>70</v>
      </c>
      <c r="F47">
        <v>13</v>
      </c>
      <c r="G47">
        <v>13</v>
      </c>
      <c r="H47" s="3">
        <v>47.910545999999997</v>
      </c>
      <c r="I47" s="3">
        <v>14.611758</v>
      </c>
      <c r="J47" s="3">
        <v>14.34151</v>
      </c>
      <c r="K47">
        <f t="shared" si="0"/>
        <v>2065.1774399999999</v>
      </c>
      <c r="L47" s="3">
        <v>98.880408000000003</v>
      </c>
      <c r="M47" s="3">
        <v>27.459679000000001</v>
      </c>
      <c r="N47" s="3">
        <f t="shared" si="1"/>
        <v>541.09742219999998</v>
      </c>
      <c r="O47" s="3">
        <v>4.2021419999999997E-2</v>
      </c>
      <c r="P47" s="3">
        <v>9.5582417000000003E-2</v>
      </c>
      <c r="Q47" s="3">
        <f t="shared" si="2"/>
        <v>2.223517897840358E-3</v>
      </c>
      <c r="R47" s="3">
        <f t="shared" si="3"/>
        <v>2.5519541912657377</v>
      </c>
      <c r="S47" s="3">
        <v>3.6199999999999999E-7</v>
      </c>
      <c r="T47">
        <f t="shared" si="4"/>
        <v>196187.76524181172</v>
      </c>
    </row>
    <row r="48" spans="1:20" x14ac:dyDescent="0.25">
      <c r="A48" s="1">
        <v>43374</v>
      </c>
      <c r="B48" s="2">
        <v>0.70043981481481488</v>
      </c>
      <c r="C48">
        <v>1</v>
      </c>
      <c r="D48">
        <v>2</v>
      </c>
      <c r="E48">
        <v>71</v>
      </c>
      <c r="F48">
        <v>14</v>
      </c>
      <c r="G48">
        <v>14</v>
      </c>
      <c r="H48" s="3">
        <v>47.151335000000003</v>
      </c>
      <c r="I48" s="3">
        <v>14.380214</v>
      </c>
      <c r="J48" s="3">
        <v>14.341418000000001</v>
      </c>
      <c r="K48">
        <f t="shared" si="0"/>
        <v>2065.1641920000002</v>
      </c>
      <c r="L48" s="3">
        <v>98.879773999999998</v>
      </c>
      <c r="M48" s="3">
        <v>27.470336</v>
      </c>
      <c r="N48" s="3">
        <f t="shared" si="1"/>
        <v>541.11660479999989</v>
      </c>
      <c r="O48" s="3">
        <v>4.1354797999999998E-2</v>
      </c>
      <c r="P48" s="3">
        <v>9.5220665999999995E-2</v>
      </c>
      <c r="Q48" s="3">
        <f t="shared" si="2"/>
        <v>2.2234248108239539E-3</v>
      </c>
      <c r="R48" s="3">
        <f t="shared" si="3"/>
        <v>2.4716128180123831</v>
      </c>
      <c r="S48" s="3">
        <v>3.6199999999999999E-7</v>
      </c>
      <c r="T48">
        <f t="shared" si="4"/>
        <v>193070.80681854859</v>
      </c>
    </row>
    <row r="49" spans="1:21" x14ac:dyDescent="0.25">
      <c r="A49" s="1">
        <v>43374</v>
      </c>
      <c r="B49" s="2">
        <v>0.70054398148148145</v>
      </c>
      <c r="C49">
        <v>1</v>
      </c>
      <c r="D49">
        <v>2</v>
      </c>
      <c r="E49">
        <v>72</v>
      </c>
      <c r="F49">
        <v>15</v>
      </c>
      <c r="G49">
        <v>15</v>
      </c>
      <c r="H49" s="3">
        <v>46.901710999999999</v>
      </c>
      <c r="I49" s="3">
        <v>14.304084</v>
      </c>
      <c r="J49" s="3">
        <v>14.341576</v>
      </c>
      <c r="K49">
        <f t="shared" si="0"/>
        <v>2065.186944</v>
      </c>
      <c r="L49" s="3">
        <v>98.880863000000005</v>
      </c>
      <c r="M49" s="3">
        <v>27.476099999999999</v>
      </c>
      <c r="N49" s="3">
        <f t="shared" si="1"/>
        <v>541.12697999999989</v>
      </c>
      <c r="O49" s="3">
        <v>4.1135467000000002E-2</v>
      </c>
      <c r="P49" s="3">
        <v>9.4617291000000006E-2</v>
      </c>
      <c r="Q49" s="3">
        <f t="shared" si="2"/>
        <v>2.2234066754858082E-3</v>
      </c>
      <c r="R49" s="3">
        <f t="shared" si="3"/>
        <v>2.4454922012569447</v>
      </c>
      <c r="S49" s="3">
        <v>3.6199999999999999E-7</v>
      </c>
      <c r="T49">
        <f t="shared" si="4"/>
        <v>192047.10373684377</v>
      </c>
    </row>
    <row r="50" spans="1:21" x14ac:dyDescent="0.25">
      <c r="A50" s="1">
        <v>43374</v>
      </c>
      <c r="B50" s="2">
        <v>0.70064814814814813</v>
      </c>
      <c r="C50">
        <v>1</v>
      </c>
      <c r="D50">
        <v>2</v>
      </c>
      <c r="E50">
        <v>73</v>
      </c>
      <c r="F50">
        <v>16</v>
      </c>
      <c r="G50">
        <v>16</v>
      </c>
      <c r="H50" s="3">
        <v>46.721443999999998</v>
      </c>
      <c r="I50" s="3">
        <v>14.249105999999999</v>
      </c>
      <c r="J50" s="3">
        <v>14.341885</v>
      </c>
      <c r="K50">
        <f t="shared" si="0"/>
        <v>2065.23144</v>
      </c>
      <c r="L50" s="3">
        <v>98.882992000000002</v>
      </c>
      <c r="M50" s="3">
        <v>27.483135999999998</v>
      </c>
      <c r="N50" s="3">
        <f t="shared" si="1"/>
        <v>541.13964479999993</v>
      </c>
      <c r="O50" s="3">
        <v>4.0976882999999999E-2</v>
      </c>
      <c r="P50" s="3">
        <v>9.5171515999999998E-2</v>
      </c>
      <c r="Q50" s="3">
        <f t="shared" si="2"/>
        <v>2.2234025428499618E-3</v>
      </c>
      <c r="R50" s="3">
        <f t="shared" si="3"/>
        <v>2.426725289729267</v>
      </c>
      <c r="S50" s="3">
        <v>3.6199999999999999E-7</v>
      </c>
      <c r="T50">
        <f t="shared" si="4"/>
        <v>191308.61398751766</v>
      </c>
    </row>
    <row r="51" spans="1:21" x14ac:dyDescent="0.25">
      <c r="A51" s="1">
        <v>43374</v>
      </c>
      <c r="B51" s="2">
        <v>0.70076388888888896</v>
      </c>
      <c r="C51">
        <v>1</v>
      </c>
      <c r="D51">
        <v>2</v>
      </c>
      <c r="E51">
        <v>74</v>
      </c>
      <c r="F51">
        <v>17</v>
      </c>
      <c r="G51">
        <v>17</v>
      </c>
      <c r="H51" s="3">
        <v>46.692653999999997</v>
      </c>
      <c r="I51" s="3">
        <v>14.240326</v>
      </c>
      <c r="J51" s="3">
        <v>14.341713</v>
      </c>
      <c r="K51">
        <f t="shared" si="0"/>
        <v>2065.2066720000003</v>
      </c>
      <c r="L51" s="3">
        <v>98.881805</v>
      </c>
      <c r="M51" s="3">
        <v>27.489836</v>
      </c>
      <c r="N51" s="3">
        <f t="shared" si="1"/>
        <v>541.15170480000006</v>
      </c>
      <c r="O51" s="3">
        <v>4.0951176999999998E-2</v>
      </c>
      <c r="P51" s="3">
        <v>9.4808326999999998E-2</v>
      </c>
      <c r="Q51" s="3">
        <f t="shared" si="2"/>
        <v>2.2233263282128491E-3</v>
      </c>
      <c r="R51" s="3">
        <f t="shared" si="3"/>
        <v>2.423652407629366</v>
      </c>
      <c r="S51" s="3">
        <v>3.6199999999999999E-7</v>
      </c>
      <c r="T51">
        <f t="shared" si="4"/>
        <v>191184.17490300734</v>
      </c>
    </row>
    <row r="52" spans="1:21" x14ac:dyDescent="0.25">
      <c r="A52" s="1">
        <v>43374</v>
      </c>
      <c r="B52" s="2">
        <v>0.70086805555555554</v>
      </c>
      <c r="C52">
        <v>1</v>
      </c>
      <c r="D52">
        <v>2</v>
      </c>
      <c r="E52">
        <v>75</v>
      </c>
      <c r="F52">
        <v>18</v>
      </c>
      <c r="G52">
        <v>18</v>
      </c>
      <c r="H52" s="3">
        <v>46.699475999999997</v>
      </c>
      <c r="I52" s="3">
        <v>14.242406000000001</v>
      </c>
      <c r="J52" s="3">
        <v>14.341998</v>
      </c>
      <c r="K52">
        <f t="shared" si="0"/>
        <v>2065.2477119999999</v>
      </c>
      <c r="L52" s="3">
        <v>98.883771999999993</v>
      </c>
      <c r="M52" s="3">
        <v>27.501999999999999</v>
      </c>
      <c r="N52" s="3">
        <f t="shared" si="1"/>
        <v>541.17359999999996</v>
      </c>
      <c r="O52" s="3">
        <v>4.0956331999999998E-2</v>
      </c>
      <c r="P52" s="3">
        <v>9.4916399999999998E-2</v>
      </c>
      <c r="Q52" s="3">
        <f t="shared" si="2"/>
        <v>2.2232805556216869E-3</v>
      </c>
      <c r="R52" s="3">
        <f t="shared" si="3"/>
        <v>2.4243107603262994</v>
      </c>
      <c r="S52" s="3">
        <v>3.6199999999999999E-7</v>
      </c>
      <c r="T52">
        <f t="shared" si="4"/>
        <v>191208.17117591461</v>
      </c>
      <c r="U52">
        <f>AVERAGE(T30:T52)</f>
        <v>199461.26659512604</v>
      </c>
    </row>
    <row r="53" spans="1:21" x14ac:dyDescent="0.25">
      <c r="A53" s="1">
        <v>43374</v>
      </c>
      <c r="B53" s="2">
        <v>0.70100694444444445</v>
      </c>
      <c r="C53">
        <v>1</v>
      </c>
      <c r="D53">
        <v>2</v>
      </c>
      <c r="E53">
        <v>76</v>
      </c>
      <c r="F53">
        <v>18</v>
      </c>
      <c r="G53">
        <v>18</v>
      </c>
      <c r="H53" s="3">
        <v>46.633319</v>
      </c>
      <c r="I53" s="3">
        <v>14.22223</v>
      </c>
      <c r="J53" s="3">
        <v>14.342139</v>
      </c>
      <c r="K53">
        <f t="shared" si="0"/>
        <v>2065.268016</v>
      </c>
      <c r="L53" s="3">
        <v>98.884747000000004</v>
      </c>
      <c r="M53" s="3">
        <v>27.511185999999999</v>
      </c>
      <c r="N53" s="3">
        <f t="shared" si="1"/>
        <v>541.19013480000001</v>
      </c>
      <c r="O53" s="3">
        <v>4.0897685000000003E-2</v>
      </c>
      <c r="P53" s="3">
        <v>0</v>
      </c>
      <c r="Q53" s="3">
        <f t="shared" si="2"/>
        <v>2.2232344854744676E-3</v>
      </c>
      <c r="R53" s="3">
        <f t="shared" si="3"/>
        <v>2.4173967129684368</v>
      </c>
      <c r="S53" s="3">
        <v>3.6199999999999999E-7</v>
      </c>
      <c r="T53">
        <f t="shared" si="4"/>
        <v>190933.3388083457</v>
      </c>
    </row>
    <row r="54" spans="1:21" x14ac:dyDescent="0.25">
      <c r="A54" s="1">
        <v>43374</v>
      </c>
      <c r="B54" s="2">
        <v>0.70300925925925928</v>
      </c>
      <c r="C54">
        <v>1</v>
      </c>
      <c r="D54">
        <v>3</v>
      </c>
      <c r="E54">
        <v>77</v>
      </c>
      <c r="F54">
        <v>0</v>
      </c>
      <c r="G54">
        <v>0</v>
      </c>
      <c r="H54" s="3">
        <v>0</v>
      </c>
      <c r="I54" s="3">
        <v>0</v>
      </c>
      <c r="J54" s="3">
        <v>14.324439999999999</v>
      </c>
      <c r="K54">
        <f t="shared" si="0"/>
        <v>2062.7193600000001</v>
      </c>
      <c r="L54" s="3">
        <v>98.762715999999998</v>
      </c>
      <c r="M54" s="3">
        <v>27.505970999999999</v>
      </c>
      <c r="N54" s="3">
        <f t="shared" si="1"/>
        <v>541.18074779999995</v>
      </c>
      <c r="O54" s="3">
        <v>0</v>
      </c>
      <c r="P54" s="3">
        <v>0</v>
      </c>
      <c r="Q54" s="3">
        <f t="shared" si="2"/>
        <v>2.2205294053514648E-3</v>
      </c>
      <c r="R54" s="3">
        <f t="shared" si="3"/>
        <v>0</v>
      </c>
      <c r="S54" s="3">
        <v>3.6199999999999999E-7</v>
      </c>
      <c r="T54">
        <f t="shared" si="4"/>
        <v>0</v>
      </c>
    </row>
    <row r="55" spans="1:21" x14ac:dyDescent="0.25">
      <c r="A55" s="1">
        <v>43374</v>
      </c>
      <c r="B55" s="2">
        <v>0.70541666666666669</v>
      </c>
      <c r="C55">
        <v>1</v>
      </c>
      <c r="D55">
        <v>3</v>
      </c>
      <c r="E55">
        <v>78</v>
      </c>
      <c r="F55">
        <v>-4</v>
      </c>
      <c r="G55">
        <v>-4</v>
      </c>
      <c r="H55" s="3">
        <v>73.546244000000002</v>
      </c>
      <c r="I55" s="3">
        <v>22.430133999999999</v>
      </c>
      <c r="J55" s="3">
        <v>14.362686</v>
      </c>
      <c r="K55">
        <f t="shared" si="0"/>
        <v>2068.226784</v>
      </c>
      <c r="L55" s="3">
        <v>99.026409000000001</v>
      </c>
      <c r="M55" s="3">
        <v>27.531279000000001</v>
      </c>
      <c r="N55" s="3">
        <f t="shared" si="1"/>
        <v>541.22630219999996</v>
      </c>
      <c r="O55" s="3">
        <v>6.4498318999999998E-2</v>
      </c>
      <c r="P55" s="3">
        <v>0.11505158</v>
      </c>
      <c r="Q55" s="3">
        <f t="shared" si="2"/>
        <v>2.2262707809221978E-3</v>
      </c>
      <c r="R55" s="3">
        <f t="shared" si="3"/>
        <v>6.0210049910173762</v>
      </c>
      <c r="S55" s="3">
        <v>3.6199999999999999E-7</v>
      </c>
      <c r="T55">
        <f t="shared" si="4"/>
        <v>301535.64284304698</v>
      </c>
    </row>
    <row r="56" spans="1:21" x14ac:dyDescent="0.25">
      <c r="A56" s="1">
        <v>43374</v>
      </c>
      <c r="B56" s="2">
        <v>0.7055324074074073</v>
      </c>
      <c r="C56">
        <v>1</v>
      </c>
      <c r="D56">
        <v>3</v>
      </c>
      <c r="E56">
        <v>79</v>
      </c>
      <c r="F56">
        <v>-3</v>
      </c>
      <c r="G56">
        <v>-3</v>
      </c>
      <c r="H56" s="3">
        <v>73.723026000000004</v>
      </c>
      <c r="I56" s="3">
        <v>22.484048999999999</v>
      </c>
      <c r="J56" s="3">
        <v>14.362721000000001</v>
      </c>
      <c r="K56">
        <f t="shared" si="0"/>
        <v>2068.231824</v>
      </c>
      <c r="L56" s="3">
        <v>99.026652999999996</v>
      </c>
      <c r="M56" s="3">
        <v>27.543756999999999</v>
      </c>
      <c r="N56" s="3">
        <f t="shared" si="1"/>
        <v>541.24876260000008</v>
      </c>
      <c r="O56" s="3">
        <v>6.4652010999999995E-2</v>
      </c>
      <c r="P56" s="3">
        <v>0.11513685999999999</v>
      </c>
      <c r="Q56" s="3">
        <f t="shared" si="2"/>
        <v>2.2261838214481153E-3</v>
      </c>
      <c r="R56" s="3">
        <f t="shared" si="3"/>
        <v>6.0497486607275643</v>
      </c>
      <c r="S56" s="3">
        <v>3.6199999999999999E-7</v>
      </c>
      <c r="T56">
        <f t="shared" si="4"/>
        <v>302248.63305598305</v>
      </c>
    </row>
    <row r="57" spans="1:21" x14ac:dyDescent="0.25">
      <c r="A57" s="1">
        <v>43374</v>
      </c>
      <c r="B57" s="2">
        <v>0.7056365740740741</v>
      </c>
      <c r="C57">
        <v>1</v>
      </c>
      <c r="D57">
        <v>3</v>
      </c>
      <c r="E57">
        <v>80</v>
      </c>
      <c r="F57">
        <v>-2</v>
      </c>
      <c r="G57">
        <v>-2</v>
      </c>
      <c r="H57" s="3">
        <v>74.113418999999993</v>
      </c>
      <c r="I57" s="3">
        <v>22.603110999999998</v>
      </c>
      <c r="J57" s="3">
        <v>14.363452000000001</v>
      </c>
      <c r="K57">
        <f t="shared" si="0"/>
        <v>2068.3370880000002</v>
      </c>
      <c r="L57" s="3">
        <v>99.031690999999995</v>
      </c>
      <c r="M57" s="3">
        <v>27.549886000000001</v>
      </c>
      <c r="N57" s="3">
        <f t="shared" si="1"/>
        <v>541.25979480000001</v>
      </c>
      <c r="O57" s="3">
        <v>6.4993706999999998E-2</v>
      </c>
      <c r="P57" s="3">
        <v>0.11588023</v>
      </c>
      <c r="Q57" s="3">
        <f t="shared" si="2"/>
        <v>2.2262517471305357E-3</v>
      </c>
      <c r="R57" s="3">
        <f t="shared" si="3"/>
        <v>6.1141765470206249</v>
      </c>
      <c r="S57" s="3">
        <v>3.6199999999999999E-7</v>
      </c>
      <c r="T57">
        <f t="shared" si="4"/>
        <v>303858.43192369689</v>
      </c>
    </row>
    <row r="58" spans="1:21" x14ac:dyDescent="0.25">
      <c r="A58" s="1">
        <v>43374</v>
      </c>
      <c r="B58" s="2">
        <v>0.70575231481481471</v>
      </c>
      <c r="C58">
        <v>1</v>
      </c>
      <c r="D58">
        <v>3</v>
      </c>
      <c r="E58">
        <v>81</v>
      </c>
      <c r="F58">
        <v>-1</v>
      </c>
      <c r="G58">
        <v>-1</v>
      </c>
      <c r="H58" s="3">
        <v>74.638272999999998</v>
      </c>
      <c r="I58" s="3">
        <v>22.763180999999999</v>
      </c>
      <c r="J58" s="3">
        <v>14.364272</v>
      </c>
      <c r="K58">
        <f t="shared" si="0"/>
        <v>2068.455168</v>
      </c>
      <c r="L58" s="3">
        <v>99.037345999999999</v>
      </c>
      <c r="M58" s="3">
        <v>27.567236000000001</v>
      </c>
      <c r="N58" s="3">
        <f t="shared" si="1"/>
        <v>541.29102479999995</v>
      </c>
      <c r="O58" s="3">
        <v>6.5452089000000005E-2</v>
      </c>
      <c r="P58" s="3">
        <v>0.11702539000000001</v>
      </c>
      <c r="Q58" s="3">
        <f t="shared" si="2"/>
        <v>2.2262503905654133E-3</v>
      </c>
      <c r="R58" s="3">
        <f t="shared" si="3"/>
        <v>6.2010777562877504</v>
      </c>
      <c r="S58" s="3">
        <v>3.6199999999999999E-7</v>
      </c>
      <c r="T58">
        <f t="shared" si="4"/>
        <v>306010.10021616565</v>
      </c>
    </row>
    <row r="59" spans="1:21" x14ac:dyDescent="0.25">
      <c r="A59" s="1">
        <v>43374</v>
      </c>
      <c r="B59" s="2">
        <v>0.7058564814814815</v>
      </c>
      <c r="C59">
        <v>1</v>
      </c>
      <c r="D59">
        <v>3</v>
      </c>
      <c r="E59">
        <v>82</v>
      </c>
      <c r="F59">
        <v>0</v>
      </c>
      <c r="G59">
        <v>0</v>
      </c>
      <c r="H59" s="3">
        <v>75.290306000000001</v>
      </c>
      <c r="I59" s="3">
        <v>22.962036999999999</v>
      </c>
      <c r="J59" s="3">
        <v>14.364779</v>
      </c>
      <c r="K59">
        <f t="shared" si="0"/>
        <v>2068.5281760000003</v>
      </c>
      <c r="L59" s="3">
        <v>99.040840000000003</v>
      </c>
      <c r="M59" s="3">
        <v>27.582471000000002</v>
      </c>
      <c r="N59" s="3">
        <f t="shared" si="1"/>
        <v>541.31844779999994</v>
      </c>
      <c r="O59" s="3">
        <v>6.6022199000000004E-2</v>
      </c>
      <c r="P59" s="3">
        <v>0.11772834</v>
      </c>
      <c r="Q59" s="3">
        <f t="shared" si="2"/>
        <v>2.2262161830572777E-3</v>
      </c>
      <c r="R59" s="3">
        <f t="shared" si="3"/>
        <v>6.3097981185406393</v>
      </c>
      <c r="S59" s="3">
        <v>3.6199999999999999E-7</v>
      </c>
      <c r="T59">
        <f t="shared" si="4"/>
        <v>308678.63286286272</v>
      </c>
    </row>
    <row r="60" spans="1:21" x14ac:dyDescent="0.25">
      <c r="A60" s="1">
        <v>43374</v>
      </c>
      <c r="B60" s="2">
        <v>0.70597222222222233</v>
      </c>
      <c r="C60">
        <v>1</v>
      </c>
      <c r="D60">
        <v>3</v>
      </c>
      <c r="E60">
        <v>83</v>
      </c>
      <c r="F60">
        <v>1</v>
      </c>
      <c r="G60">
        <v>1</v>
      </c>
      <c r="H60" s="3">
        <v>75.808587000000003</v>
      </c>
      <c r="I60" s="3">
        <v>23.120103</v>
      </c>
      <c r="J60" s="3">
        <v>14.364972</v>
      </c>
      <c r="K60">
        <f t="shared" si="0"/>
        <v>2068.5559680000001</v>
      </c>
      <c r="L60" s="3">
        <v>99.042173000000005</v>
      </c>
      <c r="M60" s="3">
        <v>27.593136000000001</v>
      </c>
      <c r="N60" s="3">
        <f t="shared" si="1"/>
        <v>541.33764480000002</v>
      </c>
      <c r="O60" s="3">
        <v>6.6475502000000006E-2</v>
      </c>
      <c r="P60" s="3">
        <v>0.11812572</v>
      </c>
      <c r="Q60" s="3">
        <f t="shared" si="2"/>
        <v>2.2261671462103457E-3</v>
      </c>
      <c r="R60" s="3">
        <f t="shared" si="3"/>
        <v>6.3968265832251348</v>
      </c>
      <c r="S60" s="3">
        <v>3.6199999999999999E-7</v>
      </c>
      <c r="T60">
        <f t="shared" si="4"/>
        <v>310796.65889508056</v>
      </c>
    </row>
    <row r="61" spans="1:21" x14ac:dyDescent="0.25">
      <c r="A61" s="1">
        <v>43374</v>
      </c>
      <c r="B61" s="2">
        <v>0.70607638888888891</v>
      </c>
      <c r="C61">
        <v>1</v>
      </c>
      <c r="D61">
        <v>3</v>
      </c>
      <c r="E61">
        <v>84</v>
      </c>
      <c r="F61">
        <v>2</v>
      </c>
      <c r="G61">
        <v>2</v>
      </c>
      <c r="H61" s="3">
        <v>75.882679999999993</v>
      </c>
      <c r="I61" s="3">
        <v>23.142700000000001</v>
      </c>
      <c r="J61" s="3">
        <v>14.364852000000001</v>
      </c>
      <c r="K61">
        <f t="shared" si="0"/>
        <v>2068.5386880000001</v>
      </c>
      <c r="L61" s="3">
        <v>99.041343999999995</v>
      </c>
      <c r="M61" s="3">
        <v>27.608993000000002</v>
      </c>
      <c r="N61" s="3">
        <f t="shared" si="1"/>
        <v>541.36618739999994</v>
      </c>
      <c r="O61" s="3">
        <v>6.6538718999999996E-2</v>
      </c>
      <c r="P61" s="3">
        <v>0.11780466000000001</v>
      </c>
      <c r="Q61" s="3">
        <f t="shared" si="2"/>
        <v>2.226031179732304E-3</v>
      </c>
      <c r="R61" s="3">
        <f t="shared" si="3"/>
        <v>6.4089453602654123</v>
      </c>
      <c r="S61" s="3">
        <v>3.6199999999999999E-7</v>
      </c>
      <c r="T61">
        <f t="shared" si="4"/>
        <v>311081.42114484141</v>
      </c>
    </row>
    <row r="62" spans="1:21" x14ac:dyDescent="0.25">
      <c r="A62" s="1">
        <v>43374</v>
      </c>
      <c r="B62" s="2">
        <v>0.70619212962962974</v>
      </c>
      <c r="C62">
        <v>1</v>
      </c>
      <c r="D62">
        <v>3</v>
      </c>
      <c r="E62">
        <v>85</v>
      </c>
      <c r="F62">
        <v>3</v>
      </c>
      <c r="G62">
        <v>3</v>
      </c>
      <c r="H62" s="3">
        <v>75.842624999999998</v>
      </c>
      <c r="I62" s="3">
        <v>23.130483999999999</v>
      </c>
      <c r="J62" s="3">
        <v>14.364647</v>
      </c>
      <c r="K62">
        <f t="shared" si="0"/>
        <v>2068.509168</v>
      </c>
      <c r="L62" s="3">
        <v>99.039929999999998</v>
      </c>
      <c r="M62" s="3">
        <v>27.623321000000001</v>
      </c>
      <c r="N62" s="3">
        <f t="shared" si="1"/>
        <v>541.39197779999995</v>
      </c>
      <c r="O62" s="3">
        <v>6.6502011999999999E-2</v>
      </c>
      <c r="P62" s="3">
        <v>0.11737612</v>
      </c>
      <c r="Q62" s="3">
        <f t="shared" si="2"/>
        <v>2.2258933717780277E-3</v>
      </c>
      <c r="R62" s="3">
        <f t="shared" si="3"/>
        <v>6.4017848242506332</v>
      </c>
      <c r="S62" s="3">
        <v>3.6199999999999999E-7</v>
      </c>
      <c r="T62">
        <f t="shared" si="4"/>
        <v>310897.96737706545</v>
      </c>
    </row>
    <row r="63" spans="1:21" x14ac:dyDescent="0.25">
      <c r="A63" s="1">
        <v>43374</v>
      </c>
      <c r="B63" s="2">
        <v>0.70629629629629631</v>
      </c>
      <c r="C63">
        <v>1</v>
      </c>
      <c r="D63">
        <v>3</v>
      </c>
      <c r="E63">
        <v>86</v>
      </c>
      <c r="F63">
        <v>4</v>
      </c>
      <c r="G63">
        <v>4</v>
      </c>
      <c r="H63" s="3">
        <v>75.628224000000003</v>
      </c>
      <c r="I63" s="3">
        <v>23.065096</v>
      </c>
      <c r="J63" s="3">
        <v>14.364269999999999</v>
      </c>
      <c r="K63">
        <f t="shared" si="0"/>
        <v>2068.4548799999998</v>
      </c>
      <c r="L63" s="3">
        <v>99.037329999999997</v>
      </c>
      <c r="M63" s="3">
        <v>27.641006999999998</v>
      </c>
      <c r="N63" s="3">
        <f t="shared" si="1"/>
        <v>541.42381260000002</v>
      </c>
      <c r="O63" s="3">
        <v>6.6312067000000002E-2</v>
      </c>
      <c r="P63" s="3">
        <v>0.11684899</v>
      </c>
      <c r="Q63" s="3">
        <f t="shared" si="2"/>
        <v>2.2257040779190417E-3</v>
      </c>
      <c r="R63" s="3">
        <f t="shared" si="3"/>
        <v>6.3650999772344159</v>
      </c>
      <c r="S63" s="3">
        <v>3.6199999999999999E-7</v>
      </c>
      <c r="T63">
        <f t="shared" si="4"/>
        <v>309992.71926809347</v>
      </c>
    </row>
    <row r="64" spans="1:21" x14ac:dyDescent="0.25">
      <c r="A64" s="1">
        <v>43374</v>
      </c>
      <c r="B64" s="2">
        <v>0.70641203703703714</v>
      </c>
      <c r="C64">
        <v>1</v>
      </c>
      <c r="D64">
        <v>3</v>
      </c>
      <c r="E64">
        <v>87</v>
      </c>
      <c r="F64">
        <v>5</v>
      </c>
      <c r="G64">
        <v>5</v>
      </c>
      <c r="H64" s="3">
        <v>75.056526000000005</v>
      </c>
      <c r="I64" s="3">
        <v>22.890739</v>
      </c>
      <c r="J64" s="3">
        <v>14.364171000000001</v>
      </c>
      <c r="K64">
        <f t="shared" si="0"/>
        <v>2068.4406240000003</v>
      </c>
      <c r="L64" s="3">
        <v>99.036648</v>
      </c>
      <c r="M64" s="3">
        <v>27.658670999999998</v>
      </c>
      <c r="N64" s="3">
        <f t="shared" si="1"/>
        <v>541.45560780000005</v>
      </c>
      <c r="O64" s="3">
        <v>6.5808860999999996E-2</v>
      </c>
      <c r="P64" s="3">
        <v>0.11640251</v>
      </c>
      <c r="Q64" s="3">
        <f t="shared" si="2"/>
        <v>2.2255580418896782E-3</v>
      </c>
      <c r="R64" s="3">
        <f t="shared" si="3"/>
        <v>6.2688206903943371</v>
      </c>
      <c r="S64" s="3">
        <v>3.6199999999999999E-7</v>
      </c>
      <c r="T64">
        <f t="shared" si="4"/>
        <v>307629.1989605925</v>
      </c>
    </row>
    <row r="65" spans="1:21" x14ac:dyDescent="0.25">
      <c r="A65" s="1">
        <v>43374</v>
      </c>
      <c r="B65" s="2">
        <v>0.70651620370370372</v>
      </c>
      <c r="C65">
        <v>1</v>
      </c>
      <c r="D65">
        <v>3</v>
      </c>
      <c r="E65">
        <v>88</v>
      </c>
      <c r="F65">
        <v>6</v>
      </c>
      <c r="G65">
        <v>6</v>
      </c>
      <c r="H65" s="3">
        <v>74.258488</v>
      </c>
      <c r="I65" s="3">
        <v>22.647354</v>
      </c>
      <c r="J65" s="3">
        <v>14.363441999999999</v>
      </c>
      <c r="K65">
        <f t="shared" si="0"/>
        <v>2068.3356479999998</v>
      </c>
      <c r="L65" s="3">
        <v>99.031626000000003</v>
      </c>
      <c r="M65" s="3">
        <v>27.682129</v>
      </c>
      <c r="N65" s="3">
        <f t="shared" si="1"/>
        <v>541.49783219999995</v>
      </c>
      <c r="O65" s="3">
        <v>6.5106609999999995E-2</v>
      </c>
      <c r="P65" s="3">
        <v>0.11534955</v>
      </c>
      <c r="Q65" s="3">
        <f t="shared" si="2"/>
        <v>2.2252715583516384E-3</v>
      </c>
      <c r="R65" s="3">
        <f t="shared" si="3"/>
        <v>6.1354331122889141</v>
      </c>
      <c r="S65" s="3">
        <v>3.6199999999999999E-7</v>
      </c>
      <c r="T65">
        <f t="shared" si="4"/>
        <v>304319.15527181665</v>
      </c>
    </row>
    <row r="66" spans="1:21" x14ac:dyDescent="0.25">
      <c r="A66" s="1">
        <v>43374</v>
      </c>
      <c r="B66" s="2">
        <v>0.70663194444444455</v>
      </c>
      <c r="C66">
        <v>1</v>
      </c>
      <c r="D66">
        <v>3</v>
      </c>
      <c r="E66">
        <v>89</v>
      </c>
      <c r="F66">
        <v>7</v>
      </c>
      <c r="G66">
        <v>7</v>
      </c>
      <c r="H66" s="3">
        <v>73.708933999999999</v>
      </c>
      <c r="I66" s="3">
        <v>22.479751</v>
      </c>
      <c r="J66" s="3">
        <v>14.362818000000001</v>
      </c>
      <c r="K66">
        <f t="shared" si="0"/>
        <v>2068.2457920000002</v>
      </c>
      <c r="L66" s="3">
        <v>99.027319000000006</v>
      </c>
      <c r="M66" s="3">
        <v>27.699200000000001</v>
      </c>
      <c r="N66" s="3">
        <f t="shared" si="1"/>
        <v>541.52855999999997</v>
      </c>
      <c r="O66" s="3">
        <v>6.4622950999999998E-2</v>
      </c>
      <c r="P66" s="3">
        <v>0.11427366</v>
      </c>
      <c r="Q66" s="3">
        <f t="shared" si="2"/>
        <v>2.2250486220254319E-3</v>
      </c>
      <c r="R66" s="3">
        <f t="shared" si="3"/>
        <v>6.0443523153517775</v>
      </c>
      <c r="S66" s="3">
        <v>3.6199999999999999E-7</v>
      </c>
      <c r="T66">
        <f t="shared" si="4"/>
        <v>302036.76248188491</v>
      </c>
    </row>
    <row r="67" spans="1:21" x14ac:dyDescent="0.25">
      <c r="A67" s="1">
        <v>43374</v>
      </c>
      <c r="B67" s="2">
        <v>0.70673611111111112</v>
      </c>
      <c r="C67">
        <v>1</v>
      </c>
      <c r="D67">
        <v>3</v>
      </c>
      <c r="E67">
        <v>90</v>
      </c>
      <c r="F67">
        <v>8</v>
      </c>
      <c r="G67">
        <v>8</v>
      </c>
      <c r="H67" s="3">
        <v>73.562224999999998</v>
      </c>
      <c r="I67" s="3">
        <v>22.435006999999999</v>
      </c>
      <c r="J67" s="3">
        <v>14.362507000000001</v>
      </c>
      <c r="K67">
        <f t="shared" si="0"/>
        <v>2068.201008</v>
      </c>
      <c r="L67" s="3">
        <v>99.025174000000007</v>
      </c>
      <c r="M67" s="3">
        <v>27.713228999999998</v>
      </c>
      <c r="N67" s="3">
        <f t="shared" si="1"/>
        <v>541.55381220000004</v>
      </c>
      <c r="O67" s="3">
        <v>6.4492823000000005E-2</v>
      </c>
      <c r="P67" s="3">
        <v>0.11368419</v>
      </c>
      <c r="Q67" s="3">
        <f t="shared" si="2"/>
        <v>2.224896692848706E-3</v>
      </c>
      <c r="R67" s="3">
        <f t="shared" si="3"/>
        <v>6.0199040352744007</v>
      </c>
      <c r="S67" s="3">
        <v>3.6199999999999999E-7</v>
      </c>
      <c r="T67">
        <f t="shared" si="4"/>
        <v>301415.01127273007</v>
      </c>
    </row>
    <row r="68" spans="1:21" x14ac:dyDescent="0.25">
      <c r="A68" s="1">
        <v>43374</v>
      </c>
      <c r="B68" s="2">
        <v>0.70685185185185195</v>
      </c>
      <c r="C68">
        <v>1</v>
      </c>
      <c r="D68">
        <v>3</v>
      </c>
      <c r="E68">
        <v>91</v>
      </c>
      <c r="F68">
        <v>9</v>
      </c>
      <c r="G68">
        <v>9</v>
      </c>
      <c r="H68" s="3">
        <v>73.253360999999998</v>
      </c>
      <c r="I68" s="3">
        <v>22.340810000000001</v>
      </c>
      <c r="J68" s="3">
        <v>14.362005</v>
      </c>
      <c r="K68">
        <f t="shared" si="0"/>
        <v>2068.1287200000002</v>
      </c>
      <c r="L68" s="3">
        <v>99.021713000000005</v>
      </c>
      <c r="M68" s="3">
        <v>27.724492999999999</v>
      </c>
      <c r="N68" s="3">
        <f t="shared" si="1"/>
        <v>541.57408739999994</v>
      </c>
      <c r="O68" s="3">
        <v>6.4220837000000003E-2</v>
      </c>
      <c r="P68" s="3">
        <v>0.11314252</v>
      </c>
      <c r="Q68" s="3">
        <f t="shared" si="2"/>
        <v>2.2247356362618685E-3</v>
      </c>
      <c r="R68" s="3">
        <f t="shared" si="3"/>
        <v>5.9690267786325064</v>
      </c>
      <c r="S68" s="3">
        <v>3.6199999999999999E-7</v>
      </c>
      <c r="T68">
        <f t="shared" si="4"/>
        <v>300127.73976547946</v>
      </c>
    </row>
    <row r="69" spans="1:21" x14ac:dyDescent="0.25">
      <c r="A69" s="1">
        <v>43374</v>
      </c>
      <c r="B69" s="2">
        <v>0.70695601851851853</v>
      </c>
      <c r="C69">
        <v>1</v>
      </c>
      <c r="D69">
        <v>3</v>
      </c>
      <c r="E69">
        <v>92</v>
      </c>
      <c r="F69">
        <v>10</v>
      </c>
      <c r="G69">
        <v>10</v>
      </c>
      <c r="H69" s="3">
        <v>72.898281999999995</v>
      </c>
      <c r="I69" s="3">
        <v>22.232517999999999</v>
      </c>
      <c r="J69" s="3">
        <v>14.36196</v>
      </c>
      <c r="K69">
        <f t="shared" ref="K69:K132" si="5">J69*144</f>
        <v>2068.1222400000001</v>
      </c>
      <c r="L69" s="3">
        <v>99.021404000000004</v>
      </c>
      <c r="M69" s="3">
        <v>27.739135999999998</v>
      </c>
      <c r="N69" s="3">
        <f t="shared" ref="N69:N132" si="6">CONVERT(M69,"C","Rank")</f>
        <v>541.60044479999988</v>
      </c>
      <c r="O69" s="3">
        <v>6.3907986E-2</v>
      </c>
      <c r="P69" s="3">
        <v>0.11223643</v>
      </c>
      <c r="Q69" s="3">
        <f t="shared" ref="Q69:Q132" si="7">K69/(N69*1716.49)</f>
        <v>2.2246203974479973E-3</v>
      </c>
      <c r="R69" s="3">
        <f t="shared" ref="R69:R132" si="8">0.5*Q69*H69^2</f>
        <v>5.9109938301310745</v>
      </c>
      <c r="S69" s="3">
        <v>3.6199999999999999E-7</v>
      </c>
      <c r="T69">
        <f t="shared" ref="T69:T132" si="9">Q69*H69*8/12/S69</f>
        <v>298657.4679118162</v>
      </c>
    </row>
    <row r="70" spans="1:21" x14ac:dyDescent="0.25">
      <c r="A70" s="1">
        <v>43374</v>
      </c>
      <c r="B70" s="2">
        <v>0.70707175925925936</v>
      </c>
      <c r="C70">
        <v>1</v>
      </c>
      <c r="D70">
        <v>3</v>
      </c>
      <c r="E70">
        <v>93</v>
      </c>
      <c r="F70">
        <v>11</v>
      </c>
      <c r="G70">
        <v>11</v>
      </c>
      <c r="H70" s="3">
        <v>72.364694</v>
      </c>
      <c r="I70" s="3">
        <v>22.069783999999999</v>
      </c>
      <c r="J70" s="3">
        <v>14.361762000000001</v>
      </c>
      <c r="K70">
        <f t="shared" si="5"/>
        <v>2068.0937280000003</v>
      </c>
      <c r="L70" s="3">
        <v>99.020038999999997</v>
      </c>
      <c r="M70" s="3">
        <v>27.746435999999999</v>
      </c>
      <c r="N70" s="3">
        <f t="shared" si="6"/>
        <v>541.61358480000001</v>
      </c>
      <c r="O70" s="3">
        <v>6.3439433000000003E-2</v>
      </c>
      <c r="P70" s="3">
        <v>0.11189154</v>
      </c>
      <c r="Q70" s="3">
        <f t="shared" si="7"/>
        <v>2.2245357574854989E-3</v>
      </c>
      <c r="R70" s="3">
        <f t="shared" si="8"/>
        <v>5.8245564056712178</v>
      </c>
      <c r="S70" s="3">
        <v>3.6199999999999999E-7</v>
      </c>
      <c r="T70">
        <f t="shared" si="9"/>
        <v>296460.12777623639</v>
      </c>
    </row>
    <row r="71" spans="1:21" x14ac:dyDescent="0.25">
      <c r="A71" s="1">
        <v>43374</v>
      </c>
      <c r="B71" s="2">
        <v>0.70717592592592593</v>
      </c>
      <c r="C71">
        <v>1</v>
      </c>
      <c r="D71">
        <v>3</v>
      </c>
      <c r="E71">
        <v>94</v>
      </c>
      <c r="F71">
        <v>12</v>
      </c>
      <c r="G71">
        <v>12</v>
      </c>
      <c r="H71" s="3">
        <v>71.962200999999993</v>
      </c>
      <c r="I71" s="3">
        <v>21.947032</v>
      </c>
      <c r="J71" s="3">
        <v>14.361848999999999</v>
      </c>
      <c r="K71">
        <f t="shared" si="5"/>
        <v>2068.106256</v>
      </c>
      <c r="L71" s="3">
        <v>99.02064</v>
      </c>
      <c r="M71" s="3">
        <v>27.760743000000002</v>
      </c>
      <c r="N71" s="3">
        <f t="shared" si="6"/>
        <v>541.63933739999993</v>
      </c>
      <c r="O71" s="3">
        <v>6.3085083E-2</v>
      </c>
      <c r="P71" s="3">
        <v>0.11096949</v>
      </c>
      <c r="Q71" s="3">
        <f t="shared" si="7"/>
        <v>2.2244434655101951E-3</v>
      </c>
      <c r="R71" s="3">
        <f t="shared" si="8"/>
        <v>5.7597051665294394</v>
      </c>
      <c r="S71" s="3">
        <v>3.6199999999999999E-7</v>
      </c>
      <c r="T71">
        <f t="shared" si="9"/>
        <v>294798.98301690829</v>
      </c>
    </row>
    <row r="72" spans="1:21" x14ac:dyDescent="0.25">
      <c r="A72" s="1">
        <v>43374</v>
      </c>
      <c r="B72" s="2">
        <v>0.70729166666666676</v>
      </c>
      <c r="C72">
        <v>1</v>
      </c>
      <c r="D72">
        <v>3</v>
      </c>
      <c r="E72">
        <v>95</v>
      </c>
      <c r="F72">
        <v>13</v>
      </c>
      <c r="G72">
        <v>13</v>
      </c>
      <c r="H72" s="3">
        <v>71.746602999999993</v>
      </c>
      <c r="I72" s="3">
        <v>21.881278999999999</v>
      </c>
      <c r="J72" s="3">
        <v>14.361545</v>
      </c>
      <c r="K72">
        <f t="shared" si="5"/>
        <v>2068.0624800000001</v>
      </c>
      <c r="L72" s="3">
        <v>99.018544000000006</v>
      </c>
      <c r="M72" s="3">
        <v>27.771743000000001</v>
      </c>
      <c r="N72" s="3">
        <f t="shared" si="6"/>
        <v>541.65913739999996</v>
      </c>
      <c r="O72" s="3">
        <v>6.2894931000000001E-2</v>
      </c>
      <c r="P72" s="3">
        <v>0.11032269</v>
      </c>
      <c r="Q72" s="3">
        <f t="shared" si="7"/>
        <v>2.2243150689173173E-3</v>
      </c>
      <c r="R72" s="3">
        <f t="shared" si="8"/>
        <v>5.724914367195697</v>
      </c>
      <c r="S72" s="3">
        <v>3.6199999999999999E-7</v>
      </c>
      <c r="T72">
        <f t="shared" si="9"/>
        <v>293898.80330852373</v>
      </c>
    </row>
    <row r="73" spans="1:21" x14ac:dyDescent="0.25">
      <c r="A73" s="1">
        <v>43374</v>
      </c>
      <c r="B73" s="2">
        <v>0.70739583333333333</v>
      </c>
      <c r="C73">
        <v>1</v>
      </c>
      <c r="D73">
        <v>3</v>
      </c>
      <c r="E73">
        <v>96</v>
      </c>
      <c r="F73">
        <v>14</v>
      </c>
      <c r="G73">
        <v>14</v>
      </c>
      <c r="H73" s="3">
        <v>70.966745000000003</v>
      </c>
      <c r="I73" s="3">
        <v>21.643438</v>
      </c>
      <c r="J73" s="3">
        <v>14.361109000000001</v>
      </c>
      <c r="K73">
        <f t="shared" si="5"/>
        <v>2067.9996960000003</v>
      </c>
      <c r="L73" s="3">
        <v>99.015536999999995</v>
      </c>
      <c r="M73" s="3">
        <v>27.784213999999999</v>
      </c>
      <c r="N73" s="3">
        <f t="shared" si="6"/>
        <v>541.68158519999997</v>
      </c>
      <c r="O73" s="3">
        <v>6.2209998000000002E-2</v>
      </c>
      <c r="P73" s="3">
        <v>0.1097785</v>
      </c>
      <c r="Q73" s="3">
        <f t="shared" si="7"/>
        <v>2.2241553663350576E-3</v>
      </c>
      <c r="R73" s="3">
        <f t="shared" si="8"/>
        <v>5.6007333663324594</v>
      </c>
      <c r="S73" s="3">
        <v>3.6199999999999999E-7</v>
      </c>
      <c r="T73">
        <f t="shared" si="9"/>
        <v>290683.36413090542</v>
      </c>
    </row>
    <row r="74" spans="1:21" x14ac:dyDescent="0.25">
      <c r="A74" s="1">
        <v>43374</v>
      </c>
      <c r="B74" s="2">
        <v>0.70751157407407417</v>
      </c>
      <c r="C74">
        <v>1</v>
      </c>
      <c r="D74">
        <v>3</v>
      </c>
      <c r="E74">
        <v>97</v>
      </c>
      <c r="F74">
        <v>15</v>
      </c>
      <c r="G74">
        <v>15</v>
      </c>
      <c r="H74" s="3">
        <v>70.707515000000001</v>
      </c>
      <c r="I74" s="3">
        <v>21.564378000000001</v>
      </c>
      <c r="J74" s="3">
        <v>14.360946</v>
      </c>
      <c r="K74">
        <f t="shared" si="5"/>
        <v>2067.976224</v>
      </c>
      <c r="L74" s="3">
        <v>99.014415999999997</v>
      </c>
      <c r="M74" s="3">
        <v>27.798549999999999</v>
      </c>
      <c r="N74" s="3">
        <f t="shared" si="6"/>
        <v>541.70738999999992</v>
      </c>
      <c r="O74" s="3">
        <v>6.1981279E-2</v>
      </c>
      <c r="P74" s="3">
        <v>0.10995724</v>
      </c>
      <c r="Q74" s="3">
        <f t="shared" si="7"/>
        <v>2.2240241731804355E-3</v>
      </c>
      <c r="R74" s="3">
        <f t="shared" si="8"/>
        <v>5.5595630048969351</v>
      </c>
      <c r="S74" s="3">
        <v>3.6199999999999999E-7</v>
      </c>
      <c r="T74">
        <f t="shared" si="9"/>
        <v>289604.46148345899</v>
      </c>
    </row>
    <row r="75" spans="1:21" x14ac:dyDescent="0.25">
      <c r="A75" s="1">
        <v>43374</v>
      </c>
      <c r="B75" s="2">
        <v>0.70761574074074074</v>
      </c>
      <c r="C75">
        <v>1</v>
      </c>
      <c r="D75">
        <v>3</v>
      </c>
      <c r="E75">
        <v>98</v>
      </c>
      <c r="F75">
        <v>16</v>
      </c>
      <c r="G75">
        <v>16</v>
      </c>
      <c r="H75" s="3">
        <v>70.522923000000006</v>
      </c>
      <c r="I75" s="3">
        <v>21.508081000000001</v>
      </c>
      <c r="J75" s="3">
        <v>14.36117</v>
      </c>
      <c r="K75">
        <f t="shared" si="5"/>
        <v>2068.00848</v>
      </c>
      <c r="L75" s="3">
        <v>99.015960000000007</v>
      </c>
      <c r="M75" s="3">
        <v>27.807086000000002</v>
      </c>
      <c r="N75" s="3">
        <f t="shared" si="6"/>
        <v>541.72275480000008</v>
      </c>
      <c r="O75" s="3">
        <v>6.1818591999999999E-2</v>
      </c>
      <c r="P75" s="3">
        <v>0.10907197</v>
      </c>
      <c r="Q75" s="3">
        <f t="shared" si="7"/>
        <v>2.2239957825513721E-3</v>
      </c>
      <c r="R75" s="3">
        <f t="shared" si="8"/>
        <v>5.5305022396280625</v>
      </c>
      <c r="S75" s="3">
        <v>3.6199999999999999E-7</v>
      </c>
      <c r="T75">
        <f t="shared" si="9"/>
        <v>288844.72067255096</v>
      </c>
    </row>
    <row r="76" spans="1:21" x14ac:dyDescent="0.25">
      <c r="A76" s="1">
        <v>43374</v>
      </c>
      <c r="B76" s="2">
        <v>0.70773148148148157</v>
      </c>
      <c r="C76">
        <v>1</v>
      </c>
      <c r="D76">
        <v>3</v>
      </c>
      <c r="E76">
        <v>99</v>
      </c>
      <c r="F76">
        <v>17</v>
      </c>
      <c r="G76">
        <v>17</v>
      </c>
      <c r="H76" s="3">
        <v>70.548595000000006</v>
      </c>
      <c r="I76" s="3">
        <v>21.515910999999999</v>
      </c>
      <c r="J76" s="3">
        <v>14.361613</v>
      </c>
      <c r="K76">
        <f t="shared" si="5"/>
        <v>2068.0722719999999</v>
      </c>
      <c r="L76" s="3">
        <v>99.019014999999996</v>
      </c>
      <c r="M76" s="3">
        <v>27.819900000000001</v>
      </c>
      <c r="N76" s="3">
        <f t="shared" si="6"/>
        <v>541.74581999999998</v>
      </c>
      <c r="O76" s="3">
        <v>6.1839778999999997E-2</v>
      </c>
      <c r="P76" s="3">
        <v>0.1094774</v>
      </c>
      <c r="Q76" s="3">
        <f t="shared" si="7"/>
        <v>2.2239696952351703E-3</v>
      </c>
      <c r="R76" s="3">
        <f t="shared" si="8"/>
        <v>5.5344645182121042</v>
      </c>
      <c r="S76" s="3">
        <v>3.6199999999999999E-7</v>
      </c>
      <c r="T76">
        <f t="shared" si="9"/>
        <v>288946.47757167486</v>
      </c>
    </row>
    <row r="77" spans="1:21" x14ac:dyDescent="0.25">
      <c r="A77" s="1">
        <v>43374</v>
      </c>
      <c r="B77" s="2">
        <v>0.70783564814814814</v>
      </c>
      <c r="C77">
        <v>1</v>
      </c>
      <c r="D77">
        <v>3</v>
      </c>
      <c r="E77">
        <v>100</v>
      </c>
      <c r="F77">
        <v>18</v>
      </c>
      <c r="G77">
        <v>18</v>
      </c>
      <c r="H77" s="3">
        <v>70.279341000000002</v>
      </c>
      <c r="I77" s="3">
        <v>21.433793999999999</v>
      </c>
      <c r="J77" s="3">
        <v>14.361922</v>
      </c>
      <c r="K77">
        <f t="shared" si="5"/>
        <v>2068.1167679999999</v>
      </c>
      <c r="L77" s="3">
        <v>99.021144000000007</v>
      </c>
      <c r="M77" s="3">
        <v>27.832070999999999</v>
      </c>
      <c r="N77" s="3">
        <f t="shared" si="6"/>
        <v>541.76772779999999</v>
      </c>
      <c r="O77" s="3">
        <v>6.1602517000000002E-2</v>
      </c>
      <c r="P77" s="3">
        <v>0.10973147</v>
      </c>
      <c r="Q77" s="3">
        <f t="shared" si="7"/>
        <v>2.2239276114890375E-3</v>
      </c>
      <c r="R77" s="3">
        <f t="shared" si="8"/>
        <v>5.4921958076387609</v>
      </c>
      <c r="S77" s="3">
        <v>3.6199999999999999E-7</v>
      </c>
      <c r="T77">
        <f t="shared" si="9"/>
        <v>287838.24487505265</v>
      </c>
      <c r="U77">
        <f>AVERAGE(T55:T77)</f>
        <v>300450.46635158546</v>
      </c>
    </row>
    <row r="78" spans="1:21" x14ac:dyDescent="0.25">
      <c r="A78" s="1">
        <v>43374</v>
      </c>
      <c r="B78" s="2">
        <v>0.70829861111111114</v>
      </c>
      <c r="C78">
        <v>1</v>
      </c>
      <c r="D78">
        <v>3</v>
      </c>
      <c r="E78">
        <v>101</v>
      </c>
      <c r="F78">
        <v>18</v>
      </c>
      <c r="G78">
        <v>18</v>
      </c>
      <c r="H78" s="3">
        <v>70.433507000000006</v>
      </c>
      <c r="I78" s="3">
        <v>21.480810999999999</v>
      </c>
      <c r="J78" s="3">
        <v>14.36121</v>
      </c>
      <c r="K78">
        <f t="shared" si="5"/>
        <v>2068.01424</v>
      </c>
      <c r="L78" s="3">
        <v>99.016236000000006</v>
      </c>
      <c r="M78" s="3">
        <v>27.896079</v>
      </c>
      <c r="N78" s="3">
        <f t="shared" si="6"/>
        <v>541.8829422</v>
      </c>
      <c r="O78" s="3">
        <v>6.1731085999999998E-2</v>
      </c>
      <c r="P78" s="3">
        <v>0</v>
      </c>
      <c r="Q78" s="3">
        <f t="shared" si="7"/>
        <v>2.2233445341185709E-3</v>
      </c>
      <c r="R78" s="3">
        <f t="shared" si="8"/>
        <v>5.5148715026176305</v>
      </c>
      <c r="S78" s="3">
        <v>3.6199999999999999E-7</v>
      </c>
      <c r="T78">
        <f t="shared" si="9"/>
        <v>288394.01990285842</v>
      </c>
    </row>
    <row r="79" spans="1:21" x14ac:dyDescent="0.25">
      <c r="A79" s="1">
        <v>43374</v>
      </c>
      <c r="B79" s="2">
        <v>0.71103009259259264</v>
      </c>
      <c r="C79">
        <v>1</v>
      </c>
      <c r="D79">
        <v>4</v>
      </c>
      <c r="E79">
        <v>102</v>
      </c>
      <c r="F79">
        <v>0</v>
      </c>
      <c r="G79">
        <v>0</v>
      </c>
      <c r="H79" s="3">
        <v>0</v>
      </c>
      <c r="I79" s="3">
        <v>0</v>
      </c>
      <c r="J79" s="3">
        <v>14.323650000000001</v>
      </c>
      <c r="K79">
        <f t="shared" si="5"/>
        <v>2062.6055999999999</v>
      </c>
      <c r="L79" s="3">
        <v>98.757272</v>
      </c>
      <c r="M79" s="3">
        <v>27.882379</v>
      </c>
      <c r="N79" s="3">
        <f t="shared" si="6"/>
        <v>541.85828219999996</v>
      </c>
      <c r="O79" s="3">
        <v>0</v>
      </c>
      <c r="P79" s="3">
        <v>0</v>
      </c>
      <c r="Q79" s="3">
        <f t="shared" si="7"/>
        <v>2.2176305665007664E-3</v>
      </c>
      <c r="R79" s="3">
        <f t="shared" si="8"/>
        <v>0</v>
      </c>
      <c r="S79" s="3">
        <v>3.6199999999999999E-7</v>
      </c>
      <c r="T79">
        <f t="shared" si="9"/>
        <v>0</v>
      </c>
    </row>
    <row r="80" spans="1:21" x14ac:dyDescent="0.25">
      <c r="A80" s="1">
        <v>43374</v>
      </c>
      <c r="B80" s="2">
        <v>0.71221064814814816</v>
      </c>
      <c r="C80">
        <v>1</v>
      </c>
      <c r="D80">
        <v>4</v>
      </c>
      <c r="E80">
        <v>103</v>
      </c>
      <c r="F80">
        <v>-4</v>
      </c>
      <c r="G80">
        <v>-4</v>
      </c>
      <c r="H80" s="3">
        <v>97.723883999999998</v>
      </c>
      <c r="I80" s="3">
        <v>29.803830000000001</v>
      </c>
      <c r="J80" s="3">
        <v>14.388116</v>
      </c>
      <c r="K80">
        <f t="shared" si="5"/>
        <v>2071.888704</v>
      </c>
      <c r="L80" s="3">
        <v>99.201744000000005</v>
      </c>
      <c r="M80" s="3">
        <v>27.988113999999999</v>
      </c>
      <c r="N80" s="3">
        <f t="shared" si="6"/>
        <v>542.0486052</v>
      </c>
      <c r="O80" s="3">
        <v>8.5636507000000001E-2</v>
      </c>
      <c r="P80" s="3">
        <v>0.12852664</v>
      </c>
      <c r="Q80" s="3">
        <f t="shared" si="7"/>
        <v>2.2268292321165868E-3</v>
      </c>
      <c r="R80" s="3">
        <f t="shared" si="8"/>
        <v>10.63306226773979</v>
      </c>
      <c r="S80" s="3">
        <v>3.6199999999999999E-7</v>
      </c>
      <c r="T80">
        <f t="shared" si="9"/>
        <v>400763.17047361034</v>
      </c>
    </row>
    <row r="81" spans="1:20" x14ac:dyDescent="0.25">
      <c r="A81" s="1">
        <v>43374</v>
      </c>
      <c r="B81" s="2">
        <v>0.71232638888888899</v>
      </c>
      <c r="C81">
        <v>1</v>
      </c>
      <c r="D81">
        <v>4</v>
      </c>
      <c r="E81">
        <v>104</v>
      </c>
      <c r="F81">
        <v>-3</v>
      </c>
      <c r="G81">
        <v>-3</v>
      </c>
      <c r="H81" s="3">
        <v>97.816059999999993</v>
      </c>
      <c r="I81" s="3">
        <v>29.831942000000002</v>
      </c>
      <c r="J81" s="3">
        <v>14.388354</v>
      </c>
      <c r="K81">
        <f t="shared" si="5"/>
        <v>2071.9229759999998</v>
      </c>
      <c r="L81" s="3">
        <v>99.203385999999995</v>
      </c>
      <c r="M81" s="3">
        <v>27.997564000000001</v>
      </c>
      <c r="N81" s="3">
        <f t="shared" si="6"/>
        <v>542.06561520000002</v>
      </c>
      <c r="O81" s="3">
        <v>8.5715936000000006E-2</v>
      </c>
      <c r="P81" s="3">
        <v>0.12876256</v>
      </c>
      <c r="Q81" s="3">
        <f t="shared" si="7"/>
        <v>2.2267961880752299E-3</v>
      </c>
      <c r="R81" s="3">
        <f t="shared" si="8"/>
        <v>10.652972470461515</v>
      </c>
      <c r="S81" s="3">
        <v>3.6199999999999999E-7</v>
      </c>
      <c r="T81">
        <f t="shared" si="9"/>
        <v>401135.22935642349</v>
      </c>
    </row>
    <row r="82" spans="1:20" x14ac:dyDescent="0.25">
      <c r="A82" s="1">
        <v>43374</v>
      </c>
      <c r="B82" s="2">
        <v>0.71243055555555557</v>
      </c>
      <c r="C82">
        <v>1</v>
      </c>
      <c r="D82">
        <v>4</v>
      </c>
      <c r="E82">
        <v>105</v>
      </c>
      <c r="F82">
        <v>-2</v>
      </c>
      <c r="G82">
        <v>-2</v>
      </c>
      <c r="H82" s="3">
        <v>98.391993999999997</v>
      </c>
      <c r="I82" s="3">
        <v>30.00759</v>
      </c>
      <c r="J82" s="3">
        <v>14.389400999999999</v>
      </c>
      <c r="K82">
        <f t="shared" si="5"/>
        <v>2072.0737439999998</v>
      </c>
      <c r="L82" s="3">
        <v>99.210600999999997</v>
      </c>
      <c r="M82" s="3">
        <v>28.008236</v>
      </c>
      <c r="N82" s="3">
        <f t="shared" si="6"/>
        <v>542.08482479999998</v>
      </c>
      <c r="O82" s="3">
        <v>8.6219097999999994E-2</v>
      </c>
      <c r="P82" s="3">
        <v>0.12987008</v>
      </c>
      <c r="Q82" s="3">
        <f t="shared" si="7"/>
        <v>2.2268793101119259E-3</v>
      </c>
      <c r="R82" s="3">
        <f t="shared" si="8"/>
        <v>10.779192023683267</v>
      </c>
      <c r="S82" s="3">
        <v>3.6199999999999999E-7</v>
      </c>
      <c r="T82">
        <f t="shared" si="9"/>
        <v>403512.1468126275</v>
      </c>
    </row>
    <row r="83" spans="1:20" x14ac:dyDescent="0.25">
      <c r="A83" s="1">
        <v>43374</v>
      </c>
      <c r="B83" s="2">
        <v>0.7125462962962964</v>
      </c>
      <c r="C83">
        <v>1</v>
      </c>
      <c r="D83">
        <v>4</v>
      </c>
      <c r="E83">
        <v>106</v>
      </c>
      <c r="F83">
        <v>-1</v>
      </c>
      <c r="G83">
        <v>-1</v>
      </c>
      <c r="H83" s="3">
        <v>99.159991000000005</v>
      </c>
      <c r="I83" s="3">
        <v>30.241814000000002</v>
      </c>
      <c r="J83" s="3">
        <v>14.390409999999999</v>
      </c>
      <c r="K83">
        <f t="shared" si="5"/>
        <v>2072.2190399999999</v>
      </c>
      <c r="L83" s="3">
        <v>99.217556999999999</v>
      </c>
      <c r="M83" s="3">
        <v>28.022870999999999</v>
      </c>
      <c r="N83" s="3">
        <f t="shared" si="6"/>
        <v>542.11116779999998</v>
      </c>
      <c r="O83" s="3">
        <v>8.6889968999999997E-2</v>
      </c>
      <c r="P83" s="3">
        <v>0.13117359000000001</v>
      </c>
      <c r="Q83" s="3">
        <f t="shared" si="7"/>
        <v>2.2269272421187539E-3</v>
      </c>
      <c r="R83" s="3">
        <f t="shared" si="8"/>
        <v>10.948357994787957</v>
      </c>
      <c r="S83" s="3">
        <v>3.6199999999999999E-7</v>
      </c>
      <c r="T83">
        <f t="shared" si="9"/>
        <v>406670.5069726528</v>
      </c>
    </row>
    <row r="84" spans="1:20" x14ac:dyDescent="0.25">
      <c r="A84" s="1">
        <v>43374</v>
      </c>
      <c r="B84" s="2">
        <v>0.71265046296296297</v>
      </c>
      <c r="C84">
        <v>1</v>
      </c>
      <c r="D84">
        <v>4</v>
      </c>
      <c r="E84">
        <v>107</v>
      </c>
      <c r="F84">
        <v>0</v>
      </c>
      <c r="G84">
        <v>0</v>
      </c>
      <c r="H84" s="3">
        <v>100.01349999999999</v>
      </c>
      <c r="I84" s="3">
        <v>30.502119</v>
      </c>
      <c r="J84" s="3">
        <v>14.390988999999999</v>
      </c>
      <c r="K84">
        <f t="shared" si="5"/>
        <v>2072.302416</v>
      </c>
      <c r="L84" s="3">
        <v>99.221554999999995</v>
      </c>
      <c r="M84" s="3">
        <v>28.039621</v>
      </c>
      <c r="N84" s="3">
        <f t="shared" si="6"/>
        <v>542.14131780000002</v>
      </c>
      <c r="O84" s="3">
        <v>8.7635431999999999E-2</v>
      </c>
      <c r="P84" s="3">
        <v>0.13174375999999999</v>
      </c>
      <c r="Q84" s="3">
        <f t="shared" si="7"/>
        <v>2.226892992167274E-3</v>
      </c>
      <c r="R84" s="3">
        <f t="shared" si="8"/>
        <v>11.137471469301419</v>
      </c>
      <c r="S84" s="3">
        <v>3.6199999999999999E-7</v>
      </c>
      <c r="T84">
        <f t="shared" si="9"/>
        <v>410164.57140353892</v>
      </c>
    </row>
    <row r="85" spans="1:20" x14ac:dyDescent="0.25">
      <c r="A85" s="1">
        <v>43374</v>
      </c>
      <c r="B85" s="2">
        <v>0.7127662037037038</v>
      </c>
      <c r="C85">
        <v>1</v>
      </c>
      <c r="D85">
        <v>4</v>
      </c>
      <c r="E85">
        <v>108</v>
      </c>
      <c r="F85">
        <v>1</v>
      </c>
      <c r="G85">
        <v>1</v>
      </c>
      <c r="H85" s="3">
        <v>100.51987</v>
      </c>
      <c r="I85" s="3">
        <v>30.656549999999999</v>
      </c>
      <c r="J85" s="3">
        <v>14.39151</v>
      </c>
      <c r="K85">
        <f t="shared" si="5"/>
        <v>2072.3774400000002</v>
      </c>
      <c r="L85" s="3">
        <v>99.225145999999995</v>
      </c>
      <c r="M85" s="3">
        <v>28.058199999999999</v>
      </c>
      <c r="N85" s="3">
        <f t="shared" si="6"/>
        <v>542.17475999999999</v>
      </c>
      <c r="O85" s="3">
        <v>8.8076412000000007E-2</v>
      </c>
      <c r="P85" s="3">
        <v>0.13205497999999999</v>
      </c>
      <c r="Q85" s="3">
        <f t="shared" si="7"/>
        <v>2.2268362495742261E-3</v>
      </c>
      <c r="R85" s="3">
        <f t="shared" si="8"/>
        <v>11.250248701723375</v>
      </c>
      <c r="S85" s="3">
        <v>3.6199999999999999E-7</v>
      </c>
      <c r="T85">
        <f t="shared" si="9"/>
        <v>412230.73723478598</v>
      </c>
    </row>
    <row r="86" spans="1:20" x14ac:dyDescent="0.25">
      <c r="A86" s="1">
        <v>43374</v>
      </c>
      <c r="B86" s="2">
        <v>0.71287037037037038</v>
      </c>
      <c r="C86">
        <v>1</v>
      </c>
      <c r="D86">
        <v>4</v>
      </c>
      <c r="E86">
        <v>109</v>
      </c>
      <c r="F86">
        <v>2</v>
      </c>
      <c r="G86">
        <v>2</v>
      </c>
      <c r="H86" s="3">
        <v>101.00373</v>
      </c>
      <c r="I86" s="3">
        <v>30.804117999999999</v>
      </c>
      <c r="J86" s="3">
        <v>14.392010000000001</v>
      </c>
      <c r="K86">
        <f t="shared" si="5"/>
        <v>2072.4494400000003</v>
      </c>
      <c r="L86" s="3">
        <v>99.228592000000006</v>
      </c>
      <c r="M86" s="3">
        <v>28.077100000000002</v>
      </c>
      <c r="N86" s="3">
        <f t="shared" si="6"/>
        <v>542.20877999999993</v>
      </c>
      <c r="O86" s="3">
        <v>8.8497597999999997E-2</v>
      </c>
      <c r="P86" s="3">
        <v>0.13203967</v>
      </c>
      <c r="Q86" s="3">
        <f t="shared" si="7"/>
        <v>2.2267738918513246E-3</v>
      </c>
      <c r="R86" s="3">
        <f t="shared" si="8"/>
        <v>11.3584991434064</v>
      </c>
      <c r="S86" s="3">
        <v>3.6199999999999999E-7</v>
      </c>
      <c r="T86">
        <f t="shared" si="9"/>
        <v>414203.44188508362</v>
      </c>
    </row>
    <row r="87" spans="1:20" x14ac:dyDescent="0.25">
      <c r="A87" s="1">
        <v>43374</v>
      </c>
      <c r="B87" s="2">
        <v>0.71298611111111121</v>
      </c>
      <c r="C87">
        <v>1</v>
      </c>
      <c r="D87">
        <v>4</v>
      </c>
      <c r="E87">
        <v>110</v>
      </c>
      <c r="F87">
        <v>3</v>
      </c>
      <c r="G87">
        <v>3</v>
      </c>
      <c r="H87" s="3">
        <v>100.69349</v>
      </c>
      <c r="I87" s="3">
        <v>30.709500999999999</v>
      </c>
      <c r="J87" s="3">
        <v>14.391534</v>
      </c>
      <c r="K87">
        <f t="shared" si="5"/>
        <v>2072.3808960000001</v>
      </c>
      <c r="L87" s="3">
        <v>99.225308999999996</v>
      </c>
      <c r="M87" s="3">
        <v>28.095386000000001</v>
      </c>
      <c r="N87" s="3">
        <f t="shared" si="6"/>
        <v>542.2416948</v>
      </c>
      <c r="O87" s="3">
        <v>8.8223093000000002E-2</v>
      </c>
      <c r="P87" s="3">
        <v>0.13174654</v>
      </c>
      <c r="Q87" s="3">
        <f t="shared" si="7"/>
        <v>2.2265650800398296E-3</v>
      </c>
      <c r="R87" s="3">
        <f t="shared" si="8"/>
        <v>11.287770871103394</v>
      </c>
      <c r="S87" s="3">
        <v>3.6199999999999999E-7</v>
      </c>
      <c r="T87">
        <f t="shared" si="9"/>
        <v>412892.46523266996</v>
      </c>
    </row>
    <row r="88" spans="1:20" x14ac:dyDescent="0.25">
      <c r="A88" s="1">
        <v>43374</v>
      </c>
      <c r="B88" s="2">
        <v>0.71309027777777778</v>
      </c>
      <c r="C88">
        <v>1</v>
      </c>
      <c r="D88">
        <v>4</v>
      </c>
      <c r="E88">
        <v>111</v>
      </c>
      <c r="F88">
        <v>4</v>
      </c>
      <c r="G88">
        <v>4</v>
      </c>
      <c r="H88" s="3">
        <v>100.46420999999999</v>
      </c>
      <c r="I88" s="3">
        <v>30.639576000000002</v>
      </c>
      <c r="J88" s="3">
        <v>14.391171</v>
      </c>
      <c r="K88">
        <f t="shared" si="5"/>
        <v>2072.3286239999998</v>
      </c>
      <c r="L88" s="3">
        <v>99.222806000000006</v>
      </c>
      <c r="M88" s="3">
        <v>28.108820999999999</v>
      </c>
      <c r="N88" s="3">
        <f t="shared" si="6"/>
        <v>542.26587779999988</v>
      </c>
      <c r="O88" s="3">
        <v>8.8020247999999995E-2</v>
      </c>
      <c r="P88" s="3">
        <v>0.13103323</v>
      </c>
      <c r="Q88" s="3">
        <f t="shared" si="7"/>
        <v>2.2264096251799516E-3</v>
      </c>
      <c r="R88" s="3">
        <f t="shared" si="8"/>
        <v>11.235640172644013</v>
      </c>
      <c r="S88" s="3">
        <v>3.6199999999999999E-7</v>
      </c>
      <c r="T88">
        <f t="shared" si="9"/>
        <v>411923.54351767944</v>
      </c>
    </row>
    <row r="89" spans="1:20" x14ac:dyDescent="0.25">
      <c r="A89" s="1">
        <v>43374</v>
      </c>
      <c r="B89" s="2">
        <v>0.71320601851851861</v>
      </c>
      <c r="C89">
        <v>1</v>
      </c>
      <c r="D89">
        <v>4</v>
      </c>
      <c r="E89">
        <v>112</v>
      </c>
      <c r="F89">
        <v>5</v>
      </c>
      <c r="G89">
        <v>5</v>
      </c>
      <c r="H89" s="3">
        <v>99.749279999999999</v>
      </c>
      <c r="I89" s="3">
        <v>30.421534999999999</v>
      </c>
      <c r="J89" s="3">
        <v>14.389917000000001</v>
      </c>
      <c r="K89">
        <f t="shared" si="5"/>
        <v>2072.148048</v>
      </c>
      <c r="L89" s="3">
        <v>99.214160000000007</v>
      </c>
      <c r="M89" s="3">
        <v>28.122214</v>
      </c>
      <c r="N89" s="3">
        <f t="shared" si="6"/>
        <v>542.28998519999993</v>
      </c>
      <c r="O89" s="3">
        <v>8.7391926999999994E-2</v>
      </c>
      <c r="P89" s="3">
        <v>0.13015658999999999</v>
      </c>
      <c r="Q89" s="3">
        <f t="shared" si="7"/>
        <v>2.2261166570611782E-3</v>
      </c>
      <c r="R89" s="3">
        <f t="shared" si="8"/>
        <v>11.074840055903593</v>
      </c>
      <c r="S89" s="3">
        <v>3.6199999999999999E-7</v>
      </c>
      <c r="T89">
        <f t="shared" si="9"/>
        <v>408938.36784136179</v>
      </c>
    </row>
    <row r="90" spans="1:20" x14ac:dyDescent="0.25">
      <c r="A90" s="1">
        <v>43374</v>
      </c>
      <c r="B90" s="2">
        <v>0.71331018518518519</v>
      </c>
      <c r="C90">
        <v>1</v>
      </c>
      <c r="D90">
        <v>4</v>
      </c>
      <c r="E90">
        <v>113</v>
      </c>
      <c r="F90">
        <v>6</v>
      </c>
      <c r="G90">
        <v>6</v>
      </c>
      <c r="H90" s="3">
        <v>98.951188000000002</v>
      </c>
      <c r="I90" s="3">
        <v>30.178132999999999</v>
      </c>
      <c r="J90" s="3">
        <v>14.388920000000001</v>
      </c>
      <c r="K90">
        <f t="shared" si="5"/>
        <v>2072.0044800000001</v>
      </c>
      <c r="L90" s="3">
        <v>99.207285999999996</v>
      </c>
      <c r="M90" s="3">
        <v>28.134399999999999</v>
      </c>
      <c r="N90" s="3">
        <f t="shared" si="6"/>
        <v>542.31191999999999</v>
      </c>
      <c r="O90" s="3">
        <v>8.6690953000000001E-2</v>
      </c>
      <c r="P90" s="3">
        <v>0.12915882000000001</v>
      </c>
      <c r="Q90" s="3">
        <f t="shared" si="7"/>
        <v>2.2258723882721617E-3</v>
      </c>
      <c r="R90" s="3">
        <f t="shared" si="8"/>
        <v>10.897134011403512</v>
      </c>
      <c r="S90" s="3">
        <v>3.6199999999999999E-7</v>
      </c>
      <c r="T90">
        <f t="shared" si="9"/>
        <v>405621.94688016153</v>
      </c>
    </row>
    <row r="91" spans="1:20" x14ac:dyDescent="0.25">
      <c r="A91" s="1">
        <v>43374</v>
      </c>
      <c r="B91" s="2">
        <v>0.71342592592592602</v>
      </c>
      <c r="C91">
        <v>1</v>
      </c>
      <c r="D91">
        <v>4</v>
      </c>
      <c r="E91">
        <v>114</v>
      </c>
      <c r="F91">
        <v>7</v>
      </c>
      <c r="G91">
        <v>7</v>
      </c>
      <c r="H91" s="3">
        <v>97.965247000000005</v>
      </c>
      <c r="I91" s="3">
        <v>29.877441000000001</v>
      </c>
      <c r="J91" s="3">
        <v>14.387923000000001</v>
      </c>
      <c r="K91">
        <f t="shared" si="5"/>
        <v>2071.8609120000001</v>
      </c>
      <c r="L91" s="3">
        <v>99.200412</v>
      </c>
      <c r="M91" s="3">
        <v>28.147507000000001</v>
      </c>
      <c r="N91" s="3">
        <f t="shared" si="6"/>
        <v>542.33551260000002</v>
      </c>
      <c r="O91" s="3">
        <v>8.5825305000000005E-2</v>
      </c>
      <c r="P91" s="3">
        <v>0.12814797</v>
      </c>
      <c r="Q91" s="3">
        <f t="shared" si="7"/>
        <v>2.2256213359879893E-3</v>
      </c>
      <c r="R91" s="3">
        <f t="shared" si="8"/>
        <v>10.67985499164241</v>
      </c>
      <c r="S91" s="3">
        <v>3.6199999999999999E-7</v>
      </c>
      <c r="T91">
        <f t="shared" si="9"/>
        <v>401535.07165475754</v>
      </c>
    </row>
    <row r="92" spans="1:20" x14ac:dyDescent="0.25">
      <c r="A92" s="1">
        <v>43374</v>
      </c>
      <c r="B92" s="2">
        <v>0.71353009259259259</v>
      </c>
      <c r="C92">
        <v>1</v>
      </c>
      <c r="D92">
        <v>4</v>
      </c>
      <c r="E92">
        <v>115</v>
      </c>
      <c r="F92">
        <v>8</v>
      </c>
      <c r="G92">
        <v>8</v>
      </c>
      <c r="H92" s="3">
        <v>97.512500000000003</v>
      </c>
      <c r="I92" s="3">
        <v>29.739362</v>
      </c>
      <c r="J92" s="3">
        <v>14.387340999999999</v>
      </c>
      <c r="K92">
        <f t="shared" si="5"/>
        <v>2071.7771039999998</v>
      </c>
      <c r="L92" s="3">
        <v>99.196398000000002</v>
      </c>
      <c r="M92" s="3">
        <v>28.159386000000001</v>
      </c>
      <c r="N92" s="3">
        <f t="shared" si="6"/>
        <v>542.35689479999996</v>
      </c>
      <c r="O92" s="3">
        <v>8.5426979E-2</v>
      </c>
      <c r="P92" s="3">
        <v>0.12730705</v>
      </c>
      <c r="Q92" s="3">
        <f t="shared" si="7"/>
        <v>2.2254435676211429E-3</v>
      </c>
      <c r="R92" s="3">
        <f t="shared" si="8"/>
        <v>10.580523890560062</v>
      </c>
      <c r="S92" s="3">
        <v>3.6199999999999999E-7</v>
      </c>
      <c r="T92">
        <f t="shared" si="9"/>
        <v>399647.4509901597</v>
      </c>
    </row>
    <row r="93" spans="1:20" x14ac:dyDescent="0.25">
      <c r="A93" s="1">
        <v>43374</v>
      </c>
      <c r="B93" s="2">
        <v>0.71364583333333342</v>
      </c>
      <c r="C93">
        <v>1</v>
      </c>
      <c r="D93">
        <v>4</v>
      </c>
      <c r="E93">
        <v>116</v>
      </c>
      <c r="F93">
        <v>9</v>
      </c>
      <c r="G93">
        <v>9</v>
      </c>
      <c r="H93" s="3">
        <v>96.976607000000001</v>
      </c>
      <c r="I93" s="3">
        <v>29.575925999999999</v>
      </c>
      <c r="J93" s="3">
        <v>14.386692</v>
      </c>
      <c r="K93">
        <f t="shared" si="5"/>
        <v>2071.6836480000002</v>
      </c>
      <c r="L93" s="3">
        <v>99.191929000000002</v>
      </c>
      <c r="M93" s="3">
        <v>28.175857000000001</v>
      </c>
      <c r="N93" s="3">
        <f t="shared" si="6"/>
        <v>542.38654259999998</v>
      </c>
      <c r="O93" s="3">
        <v>8.4955182000000004E-2</v>
      </c>
      <c r="P93" s="3">
        <v>0.12679481000000001</v>
      </c>
      <c r="Q93" s="3">
        <f t="shared" si="7"/>
        <v>2.2252215387028812E-3</v>
      </c>
      <c r="R93" s="3">
        <f t="shared" si="8"/>
        <v>10.463506040761299</v>
      </c>
      <c r="S93" s="3">
        <v>3.6199999999999999E-7</v>
      </c>
      <c r="T93">
        <f t="shared" si="9"/>
        <v>397411.48185400484</v>
      </c>
    </row>
    <row r="94" spans="1:20" x14ac:dyDescent="0.25">
      <c r="A94" s="1">
        <v>43374</v>
      </c>
      <c r="B94" s="2">
        <v>0.71375</v>
      </c>
      <c r="C94">
        <v>1</v>
      </c>
      <c r="D94">
        <v>4</v>
      </c>
      <c r="E94">
        <v>117</v>
      </c>
      <c r="F94">
        <v>10</v>
      </c>
      <c r="G94">
        <v>10</v>
      </c>
      <c r="H94" s="3">
        <v>96.430768</v>
      </c>
      <c r="I94" s="3">
        <v>29.409455999999999</v>
      </c>
      <c r="J94" s="3">
        <v>14.386096</v>
      </c>
      <c r="K94">
        <f t="shared" si="5"/>
        <v>2071.5978239999999</v>
      </c>
      <c r="L94" s="3">
        <v>99.187816999999995</v>
      </c>
      <c r="M94" s="3">
        <v>28.185600000000001</v>
      </c>
      <c r="N94" s="3">
        <f t="shared" si="6"/>
        <v>542.40408000000002</v>
      </c>
      <c r="O94" s="3">
        <v>8.4475640000000005E-2</v>
      </c>
      <c r="P94" s="3">
        <v>0.12576598999999999</v>
      </c>
      <c r="Q94" s="3">
        <f t="shared" si="7"/>
        <v>2.2250574095744259E-3</v>
      </c>
      <c r="R94" s="3">
        <f t="shared" si="8"/>
        <v>10.34528540423555</v>
      </c>
      <c r="S94" s="3">
        <v>3.6199999999999999E-7</v>
      </c>
      <c r="T94">
        <f t="shared" si="9"/>
        <v>395145.47854392719</v>
      </c>
    </row>
    <row r="95" spans="1:20" x14ac:dyDescent="0.25">
      <c r="A95" s="1">
        <v>43374</v>
      </c>
      <c r="B95" s="2">
        <v>0.71386574074074083</v>
      </c>
      <c r="C95">
        <v>1</v>
      </c>
      <c r="D95">
        <v>4</v>
      </c>
      <c r="E95">
        <v>118</v>
      </c>
      <c r="F95">
        <v>11</v>
      </c>
      <c r="G95">
        <v>11</v>
      </c>
      <c r="H95" s="3">
        <v>95.956889000000004</v>
      </c>
      <c r="I95" s="3">
        <v>29.264932000000002</v>
      </c>
      <c r="J95" s="3">
        <v>14.385653</v>
      </c>
      <c r="K95">
        <f t="shared" si="5"/>
        <v>2071.534032</v>
      </c>
      <c r="L95" s="3">
        <v>99.184762000000006</v>
      </c>
      <c r="M95" s="3">
        <v>28.195049999999998</v>
      </c>
      <c r="N95" s="3">
        <f t="shared" si="6"/>
        <v>542.42108999999994</v>
      </c>
      <c r="O95" s="3">
        <v>8.4059193000000004E-2</v>
      </c>
      <c r="P95" s="3">
        <v>0.12488069</v>
      </c>
      <c r="Q95" s="3">
        <f t="shared" si="7"/>
        <v>2.2249191176810326E-3</v>
      </c>
      <c r="R95" s="3">
        <f t="shared" si="8"/>
        <v>10.243221186989263</v>
      </c>
      <c r="S95" s="3">
        <v>3.6199999999999999E-7</v>
      </c>
      <c r="T95">
        <f t="shared" si="9"/>
        <v>393179.22064327216</v>
      </c>
    </row>
    <row r="96" spans="1:20" x14ac:dyDescent="0.25">
      <c r="A96" s="1">
        <v>43374</v>
      </c>
      <c r="B96" s="2">
        <v>0.7139699074074074</v>
      </c>
      <c r="C96">
        <v>1</v>
      </c>
      <c r="D96">
        <v>4</v>
      </c>
      <c r="E96">
        <v>119</v>
      </c>
      <c r="F96">
        <v>12</v>
      </c>
      <c r="G96">
        <v>12</v>
      </c>
      <c r="H96" s="3">
        <v>95.188940000000002</v>
      </c>
      <c r="I96" s="3">
        <v>29.030722999999998</v>
      </c>
      <c r="J96" s="3">
        <v>14.38496</v>
      </c>
      <c r="K96">
        <f t="shared" si="5"/>
        <v>2071.43424</v>
      </c>
      <c r="L96" s="3">
        <v>99.179984000000005</v>
      </c>
      <c r="M96" s="3">
        <v>28.20055</v>
      </c>
      <c r="N96" s="3">
        <f t="shared" si="6"/>
        <v>542.43099000000007</v>
      </c>
      <c r="O96" s="3">
        <v>8.3385701000000007E-2</v>
      </c>
      <c r="P96" s="3">
        <v>0.12401681000000001</v>
      </c>
      <c r="Q96" s="3">
        <f t="shared" si="7"/>
        <v>2.2247713312419548E-3</v>
      </c>
      <c r="R96" s="3">
        <f t="shared" si="8"/>
        <v>10.079253430588642</v>
      </c>
      <c r="S96" s="3">
        <v>3.6199999999999999E-7</v>
      </c>
      <c r="T96">
        <f t="shared" si="9"/>
        <v>390006.67543887772</v>
      </c>
    </row>
    <row r="97" spans="1:21" x14ac:dyDescent="0.25">
      <c r="A97" s="1">
        <v>43374</v>
      </c>
      <c r="B97" s="2">
        <v>0.71408564814814823</v>
      </c>
      <c r="C97">
        <v>1</v>
      </c>
      <c r="D97">
        <v>4</v>
      </c>
      <c r="E97">
        <v>120</v>
      </c>
      <c r="F97">
        <v>13</v>
      </c>
      <c r="G97">
        <v>13</v>
      </c>
      <c r="H97" s="3">
        <v>94.902556000000004</v>
      </c>
      <c r="I97" s="3">
        <v>28.943382</v>
      </c>
      <c r="J97" s="3">
        <v>14.384767</v>
      </c>
      <c r="K97">
        <f t="shared" si="5"/>
        <v>2071.4064480000002</v>
      </c>
      <c r="L97" s="3">
        <v>99.178651000000002</v>
      </c>
      <c r="M97" s="3">
        <v>28.210585999999999</v>
      </c>
      <c r="N97" s="3">
        <f t="shared" si="6"/>
        <v>542.44905479999989</v>
      </c>
      <c r="O97" s="3">
        <v>8.3133444000000001E-2</v>
      </c>
      <c r="P97" s="3">
        <v>0.12333005</v>
      </c>
      <c r="Q97" s="3">
        <f t="shared" si="7"/>
        <v>2.2246673929467633E-3</v>
      </c>
      <c r="R97" s="3">
        <f t="shared" si="8"/>
        <v>10.018228026154636</v>
      </c>
      <c r="S97" s="3">
        <v>3.6199999999999999E-7</v>
      </c>
      <c r="T97">
        <f t="shared" si="9"/>
        <v>388815.1415110575</v>
      </c>
    </row>
    <row r="98" spans="1:21" x14ac:dyDescent="0.25">
      <c r="A98" s="1">
        <v>43374</v>
      </c>
      <c r="B98" s="2">
        <v>0.71418981481481481</v>
      </c>
      <c r="C98">
        <v>1</v>
      </c>
      <c r="D98">
        <v>4</v>
      </c>
      <c r="E98">
        <v>121</v>
      </c>
      <c r="F98">
        <v>14</v>
      </c>
      <c r="G98">
        <v>14</v>
      </c>
      <c r="H98" s="3">
        <v>94.518032000000005</v>
      </c>
      <c r="I98" s="3">
        <v>28.826108999999999</v>
      </c>
      <c r="J98" s="3">
        <v>14.384677</v>
      </c>
      <c r="K98">
        <f t="shared" si="5"/>
        <v>2071.3934880000002</v>
      </c>
      <c r="L98" s="3">
        <v>99.178033999999997</v>
      </c>
      <c r="M98" s="3">
        <v>28.225829000000001</v>
      </c>
      <c r="N98" s="3">
        <f t="shared" si="6"/>
        <v>542.47649219999994</v>
      </c>
      <c r="O98" s="3">
        <v>8.2794512000000001E-2</v>
      </c>
      <c r="P98" s="3">
        <v>0.12301457</v>
      </c>
      <c r="Q98" s="3">
        <f t="shared" si="7"/>
        <v>2.2245409554297519E-3</v>
      </c>
      <c r="R98" s="3">
        <f t="shared" si="8"/>
        <v>9.936644466448417</v>
      </c>
      <c r="S98" s="3">
        <v>3.6199999999999999E-7</v>
      </c>
      <c r="T98">
        <f t="shared" si="9"/>
        <v>387217.74071937363</v>
      </c>
    </row>
    <row r="99" spans="1:21" x14ac:dyDescent="0.25">
      <c r="A99" s="1">
        <v>43374</v>
      </c>
      <c r="B99" s="2">
        <v>0.71430555555555564</v>
      </c>
      <c r="C99">
        <v>1</v>
      </c>
      <c r="D99">
        <v>4</v>
      </c>
      <c r="E99">
        <v>122</v>
      </c>
      <c r="F99">
        <v>15</v>
      </c>
      <c r="G99">
        <v>15</v>
      </c>
      <c r="H99" s="3">
        <v>93.517067999999995</v>
      </c>
      <c r="I99" s="3">
        <v>28.520835999999999</v>
      </c>
      <c r="J99" s="3">
        <v>14.385158000000001</v>
      </c>
      <c r="K99">
        <f t="shared" si="5"/>
        <v>2071.4627519999999</v>
      </c>
      <c r="L99" s="3">
        <v>99.181348999999997</v>
      </c>
      <c r="M99" s="3">
        <v>28.232506999999998</v>
      </c>
      <c r="N99" s="3">
        <f t="shared" si="6"/>
        <v>542.48851259999992</v>
      </c>
      <c r="O99" s="3">
        <v>8.1916795000000001E-2</v>
      </c>
      <c r="P99" s="3">
        <v>0.12272868000000001</v>
      </c>
      <c r="Q99" s="3">
        <f t="shared" si="7"/>
        <v>2.2245660476510431E-3</v>
      </c>
      <c r="R99" s="3">
        <f t="shared" si="8"/>
        <v>9.7274066805888744</v>
      </c>
      <c r="S99" s="3">
        <v>3.6199999999999999E-7</v>
      </c>
      <c r="T99">
        <f t="shared" si="9"/>
        <v>383121.35239166452</v>
      </c>
    </row>
    <row r="100" spans="1:21" x14ac:dyDescent="0.25">
      <c r="A100" s="1">
        <v>43374</v>
      </c>
      <c r="B100" s="2">
        <v>0.71440972222222221</v>
      </c>
      <c r="C100">
        <v>1</v>
      </c>
      <c r="D100">
        <v>4</v>
      </c>
      <c r="E100">
        <v>123</v>
      </c>
      <c r="F100">
        <v>16</v>
      </c>
      <c r="G100">
        <v>16</v>
      </c>
      <c r="H100" s="3">
        <v>93.495451000000003</v>
      </c>
      <c r="I100" s="3">
        <v>28.514243</v>
      </c>
      <c r="J100" s="3">
        <v>14.385806000000001</v>
      </c>
      <c r="K100">
        <f t="shared" si="5"/>
        <v>2071.5560639999999</v>
      </c>
      <c r="L100" s="3">
        <v>99.185817999999998</v>
      </c>
      <c r="M100" s="3">
        <v>28.2301</v>
      </c>
      <c r="N100" s="3">
        <f t="shared" si="6"/>
        <v>542.48417999999992</v>
      </c>
      <c r="O100" s="3">
        <v>8.1898185999999998E-2</v>
      </c>
      <c r="P100" s="3">
        <v>0.12159432000000001</v>
      </c>
      <c r="Q100" s="3">
        <f t="shared" si="7"/>
        <v>2.2246840239102928E-3</v>
      </c>
      <c r="R100" s="3">
        <f t="shared" si="8"/>
        <v>9.7234257488401017</v>
      </c>
      <c r="S100" s="3">
        <v>3.6199999999999999E-7</v>
      </c>
      <c r="T100">
        <f t="shared" si="9"/>
        <v>383053.10524491279</v>
      </c>
    </row>
    <row r="101" spans="1:21" x14ac:dyDescent="0.25">
      <c r="A101" s="1">
        <v>43374</v>
      </c>
      <c r="B101" s="2">
        <v>0.71452546296296304</v>
      </c>
      <c r="C101">
        <v>1</v>
      </c>
      <c r="D101">
        <v>4</v>
      </c>
      <c r="E101">
        <v>124</v>
      </c>
      <c r="F101">
        <v>17</v>
      </c>
      <c r="G101">
        <v>17</v>
      </c>
      <c r="H101" s="3">
        <v>93.295738</v>
      </c>
      <c r="I101" s="3">
        <v>28.453334000000002</v>
      </c>
      <c r="J101" s="3">
        <v>14.38616</v>
      </c>
      <c r="K101">
        <f t="shared" si="5"/>
        <v>2071.6070399999999</v>
      </c>
      <c r="L101" s="3">
        <v>99.188255999999996</v>
      </c>
      <c r="M101" s="3">
        <v>28.232500000000002</v>
      </c>
      <c r="N101" s="3">
        <f t="shared" si="6"/>
        <v>542.48850000000004</v>
      </c>
      <c r="O101" s="3">
        <v>8.1722920000000004E-2</v>
      </c>
      <c r="P101" s="3">
        <v>0.12272681000000001</v>
      </c>
      <c r="Q101" s="3">
        <f t="shared" si="7"/>
        <v>2.2247210517525014E-3</v>
      </c>
      <c r="R101" s="3">
        <f t="shared" si="8"/>
        <v>9.6820913899878143</v>
      </c>
      <c r="S101" s="3">
        <v>3.6199999999999999E-7</v>
      </c>
      <c r="T101">
        <f t="shared" si="9"/>
        <v>382241.23824564606</v>
      </c>
    </row>
    <row r="102" spans="1:21" x14ac:dyDescent="0.25">
      <c r="A102" s="1">
        <v>43374</v>
      </c>
      <c r="B102" s="2">
        <v>0.71462962962962961</v>
      </c>
      <c r="C102">
        <v>1</v>
      </c>
      <c r="D102">
        <v>4</v>
      </c>
      <c r="E102">
        <v>125</v>
      </c>
      <c r="F102">
        <v>18</v>
      </c>
      <c r="G102">
        <v>18</v>
      </c>
      <c r="H102" s="3">
        <v>93.175107999999994</v>
      </c>
      <c r="I102" s="3">
        <v>28.416543999999998</v>
      </c>
      <c r="J102" s="3">
        <v>14.386582000000001</v>
      </c>
      <c r="K102">
        <f t="shared" si="5"/>
        <v>2071.6678080000002</v>
      </c>
      <c r="L102" s="3">
        <v>99.191164999999998</v>
      </c>
      <c r="M102" s="3">
        <v>28.246863999999999</v>
      </c>
      <c r="N102" s="3">
        <f t="shared" si="6"/>
        <v>542.51435519999995</v>
      </c>
      <c r="O102" s="3">
        <v>8.1615307999999998E-2</v>
      </c>
      <c r="P102" s="3">
        <v>0.12192467999999999</v>
      </c>
      <c r="Q102" s="3">
        <f t="shared" si="7"/>
        <v>2.224680282085834E-3</v>
      </c>
      <c r="R102" s="3">
        <f t="shared" si="8"/>
        <v>9.6568930036361404</v>
      </c>
      <c r="S102" s="3">
        <v>3.6199999999999999E-7</v>
      </c>
      <c r="T102">
        <f t="shared" si="9"/>
        <v>381740.01021881774</v>
      </c>
      <c r="U102">
        <f>AVERAGE(T80:T102)</f>
        <v>398746.52587248117</v>
      </c>
    </row>
    <row r="103" spans="1:21" x14ac:dyDescent="0.25">
      <c r="A103" s="1">
        <v>43374</v>
      </c>
      <c r="B103" s="2">
        <v>0.71513888888888888</v>
      </c>
      <c r="C103">
        <v>1</v>
      </c>
      <c r="D103">
        <v>4</v>
      </c>
      <c r="E103">
        <v>126</v>
      </c>
      <c r="F103">
        <v>18</v>
      </c>
      <c r="G103">
        <v>18</v>
      </c>
      <c r="H103" s="3">
        <v>0</v>
      </c>
      <c r="I103" s="3">
        <v>0</v>
      </c>
      <c r="J103" s="3">
        <v>14.323957</v>
      </c>
      <c r="K103">
        <f t="shared" si="5"/>
        <v>2062.6498080000001</v>
      </c>
      <c r="L103" s="3">
        <v>98.759383999999997</v>
      </c>
      <c r="M103" s="3">
        <v>28.250214</v>
      </c>
      <c r="N103" s="3">
        <f t="shared" si="6"/>
        <v>542.52038520000008</v>
      </c>
      <c r="O103" s="3">
        <v>0</v>
      </c>
      <c r="P103" s="3">
        <v>0</v>
      </c>
      <c r="Q103" s="3">
        <f t="shared" si="7"/>
        <v>2.2149715973508277E-3</v>
      </c>
      <c r="R103" s="3">
        <f t="shared" si="8"/>
        <v>0</v>
      </c>
      <c r="S103" s="3">
        <v>3.6199999999999999E-7</v>
      </c>
      <c r="T103">
        <f t="shared" si="9"/>
        <v>0</v>
      </c>
    </row>
    <row r="104" spans="1:21" x14ac:dyDescent="0.25">
      <c r="A104" s="1">
        <v>43374</v>
      </c>
      <c r="B104" s="2">
        <v>0.71646990740740746</v>
      </c>
      <c r="C104">
        <v>1</v>
      </c>
      <c r="D104">
        <v>4</v>
      </c>
      <c r="E104">
        <v>127</v>
      </c>
      <c r="F104">
        <v>0</v>
      </c>
      <c r="G104">
        <v>0</v>
      </c>
      <c r="H104" s="3">
        <v>0</v>
      </c>
      <c r="I104" s="3">
        <v>0</v>
      </c>
      <c r="J104" s="3">
        <v>14.323801</v>
      </c>
      <c r="K104">
        <f t="shared" si="5"/>
        <v>2062.627344</v>
      </c>
      <c r="L104" s="3">
        <v>98.758312000000004</v>
      </c>
      <c r="M104" s="3">
        <v>28.147814</v>
      </c>
      <c r="N104" s="3">
        <f t="shared" si="6"/>
        <v>542.33606519999989</v>
      </c>
      <c r="O104" s="3">
        <v>0</v>
      </c>
      <c r="P104" s="3">
        <v>0</v>
      </c>
      <c r="Q104" s="3">
        <f t="shared" si="7"/>
        <v>2.2157002532859635E-3</v>
      </c>
      <c r="R104" s="3">
        <f t="shared" si="8"/>
        <v>0</v>
      </c>
      <c r="S104" s="3">
        <v>3.6199999999999999E-7</v>
      </c>
      <c r="T104">
        <f t="shared" si="9"/>
        <v>0</v>
      </c>
    </row>
    <row r="105" spans="1:21" x14ac:dyDescent="0.25">
      <c r="A105" s="1">
        <v>43374</v>
      </c>
      <c r="B105" s="2">
        <v>0.71901620370370367</v>
      </c>
      <c r="C105">
        <v>1</v>
      </c>
      <c r="D105">
        <v>5</v>
      </c>
      <c r="E105">
        <v>128</v>
      </c>
      <c r="F105">
        <v>-4</v>
      </c>
      <c r="G105">
        <v>-4</v>
      </c>
      <c r="H105" s="3">
        <v>117.16937</v>
      </c>
      <c r="I105" s="3">
        <v>35.734313999999998</v>
      </c>
      <c r="J105" s="3">
        <v>14.413943</v>
      </c>
      <c r="K105">
        <f t="shared" si="5"/>
        <v>2075.6077919999998</v>
      </c>
      <c r="L105" s="3">
        <v>99.379810000000006</v>
      </c>
      <c r="M105" s="3">
        <v>28.147507000000001</v>
      </c>
      <c r="N105" s="3">
        <f t="shared" si="6"/>
        <v>542.33551260000002</v>
      </c>
      <c r="O105" s="3">
        <v>0.10264964</v>
      </c>
      <c r="P105" s="3">
        <v>0.14077456999999999</v>
      </c>
      <c r="Q105" s="3">
        <f t="shared" si="7"/>
        <v>2.2296462857435864E-3</v>
      </c>
      <c r="R105" s="3">
        <f t="shared" si="8"/>
        <v>15.305029300203879</v>
      </c>
      <c r="S105" s="3">
        <v>3.6199999999999999E-7</v>
      </c>
      <c r="T105">
        <f t="shared" si="9"/>
        <v>481116.48365269986</v>
      </c>
    </row>
    <row r="106" spans="1:21" x14ac:dyDescent="0.25">
      <c r="A106" s="1">
        <v>43374</v>
      </c>
      <c r="B106" s="2">
        <v>0.71912037037037047</v>
      </c>
      <c r="C106">
        <v>1</v>
      </c>
      <c r="D106">
        <v>5</v>
      </c>
      <c r="E106">
        <v>129</v>
      </c>
      <c r="F106">
        <v>-3</v>
      </c>
      <c r="G106">
        <v>-3</v>
      </c>
      <c r="H106" s="3">
        <v>117.72414999999999</v>
      </c>
      <c r="I106" s="3">
        <v>35.903509999999997</v>
      </c>
      <c r="J106" s="3">
        <v>14.414621</v>
      </c>
      <c r="K106">
        <f t="shared" si="5"/>
        <v>2075.7054240000002</v>
      </c>
      <c r="L106" s="3">
        <v>99.38449</v>
      </c>
      <c r="M106" s="3">
        <v>28.167007000000002</v>
      </c>
      <c r="N106" s="3">
        <f t="shared" si="6"/>
        <v>542.37061259999996</v>
      </c>
      <c r="O106" s="3">
        <v>0.10313232999999999</v>
      </c>
      <c r="P106" s="3">
        <v>0.14117038000000001</v>
      </c>
      <c r="Q106" s="3">
        <f t="shared" si="7"/>
        <v>2.2296068630299091E-3</v>
      </c>
      <c r="R106" s="3">
        <f t="shared" si="8"/>
        <v>15.450033437126102</v>
      </c>
      <c r="S106" s="3">
        <v>3.6199999999999999E-7</v>
      </c>
      <c r="T106">
        <f t="shared" si="9"/>
        <v>483385.95356236183</v>
      </c>
    </row>
    <row r="107" spans="1:21" x14ac:dyDescent="0.25">
      <c r="A107" s="1">
        <v>43374</v>
      </c>
      <c r="B107" s="2">
        <v>0.71923611111111108</v>
      </c>
      <c r="C107">
        <v>1</v>
      </c>
      <c r="D107">
        <v>5</v>
      </c>
      <c r="E107">
        <v>130</v>
      </c>
      <c r="F107">
        <v>-2</v>
      </c>
      <c r="G107">
        <v>-2</v>
      </c>
      <c r="H107" s="3">
        <v>118.63902</v>
      </c>
      <c r="I107" s="3">
        <v>36.182527</v>
      </c>
      <c r="J107" s="3">
        <v>14.416062</v>
      </c>
      <c r="K107">
        <f t="shared" si="5"/>
        <v>2075.9129280000002</v>
      </c>
      <c r="L107" s="3">
        <v>99.394419999999997</v>
      </c>
      <c r="M107" s="3">
        <v>28.180406999999999</v>
      </c>
      <c r="N107" s="3">
        <f t="shared" si="6"/>
        <v>542.3947326</v>
      </c>
      <c r="O107" s="3">
        <v>0.10393149</v>
      </c>
      <c r="P107" s="3">
        <v>0.14193317999999999</v>
      </c>
      <c r="Q107" s="3">
        <f t="shared" si="7"/>
        <v>2.2297305929186661E-3</v>
      </c>
      <c r="R107" s="3">
        <f t="shared" si="8"/>
        <v>15.691971047640324</v>
      </c>
      <c r="S107" s="3">
        <v>3.6199999999999999E-7</v>
      </c>
      <c r="T107">
        <f t="shared" si="9"/>
        <v>487169.52561305615</v>
      </c>
    </row>
    <row r="108" spans="1:21" x14ac:dyDescent="0.25">
      <c r="A108" s="1">
        <v>43374</v>
      </c>
      <c r="B108" s="2">
        <v>0.71934027777777787</v>
      </c>
      <c r="C108">
        <v>1</v>
      </c>
      <c r="D108">
        <v>5</v>
      </c>
      <c r="E108">
        <v>131</v>
      </c>
      <c r="F108">
        <v>-1</v>
      </c>
      <c r="G108">
        <v>-1</v>
      </c>
      <c r="H108" s="3">
        <v>119.45016</v>
      </c>
      <c r="I108" s="3">
        <v>36.42991</v>
      </c>
      <c r="J108" s="3">
        <v>14.41724</v>
      </c>
      <c r="K108">
        <f t="shared" si="5"/>
        <v>2076.0825599999998</v>
      </c>
      <c r="L108" s="3">
        <v>99.402545000000003</v>
      </c>
      <c r="M108" s="3">
        <v>28.194420999999998</v>
      </c>
      <c r="N108" s="3">
        <f t="shared" si="6"/>
        <v>542.41995779999991</v>
      </c>
      <c r="O108" s="3">
        <v>0.10463964000000001</v>
      </c>
      <c r="P108" s="3">
        <v>0.14268258</v>
      </c>
      <c r="Q108" s="3">
        <f t="shared" si="7"/>
        <v>2.2298090921089135E-3</v>
      </c>
      <c r="R108" s="3">
        <f t="shared" si="8"/>
        <v>15.907837937870081</v>
      </c>
      <c r="S108" s="3">
        <v>3.6199999999999999E-7</v>
      </c>
      <c r="T108">
        <f t="shared" si="9"/>
        <v>490517.59267378354</v>
      </c>
    </row>
    <row r="109" spans="1:21" x14ac:dyDescent="0.25">
      <c r="A109" s="1">
        <v>43374</v>
      </c>
      <c r="B109" s="2">
        <v>0.71945601851851848</v>
      </c>
      <c r="C109">
        <v>1</v>
      </c>
      <c r="D109">
        <v>5</v>
      </c>
      <c r="E109">
        <v>132</v>
      </c>
      <c r="F109">
        <v>0</v>
      </c>
      <c r="G109">
        <v>0</v>
      </c>
      <c r="H109" s="3">
        <v>120.07053000000001</v>
      </c>
      <c r="I109" s="3">
        <v>36.619109999999999</v>
      </c>
      <c r="J109" s="3">
        <v>14.418112000000001</v>
      </c>
      <c r="K109">
        <f t="shared" si="5"/>
        <v>2076.2081280000002</v>
      </c>
      <c r="L109" s="3">
        <v>99.408557999999999</v>
      </c>
      <c r="M109" s="3">
        <v>28.204492999999999</v>
      </c>
      <c r="N109" s="3">
        <f t="shared" si="6"/>
        <v>542.43808739999997</v>
      </c>
      <c r="O109" s="3">
        <v>0.10518133</v>
      </c>
      <c r="P109" s="3">
        <v>0.14348026999999999</v>
      </c>
      <c r="Q109" s="3">
        <f t="shared" si="7"/>
        <v>2.2298694278229318E-3</v>
      </c>
      <c r="R109" s="3">
        <f t="shared" si="8"/>
        <v>16.073938149435872</v>
      </c>
      <c r="S109" s="3">
        <v>3.6199999999999999E-7</v>
      </c>
      <c r="T109">
        <f t="shared" si="9"/>
        <v>493078.46045947733</v>
      </c>
    </row>
    <row r="110" spans="1:21" x14ac:dyDescent="0.25">
      <c r="A110" s="1">
        <v>43374</v>
      </c>
      <c r="B110" s="2">
        <v>0.71956018518518527</v>
      </c>
      <c r="C110">
        <v>1</v>
      </c>
      <c r="D110">
        <v>5</v>
      </c>
      <c r="E110">
        <v>133</v>
      </c>
      <c r="F110">
        <v>1</v>
      </c>
      <c r="G110">
        <v>1</v>
      </c>
      <c r="H110" s="3">
        <v>121.03397</v>
      </c>
      <c r="I110" s="3">
        <v>36.912939000000001</v>
      </c>
      <c r="J110" s="3">
        <v>14.419668</v>
      </c>
      <c r="K110">
        <f t="shared" si="5"/>
        <v>2076.4321919999998</v>
      </c>
      <c r="L110" s="3">
        <v>99.419284000000005</v>
      </c>
      <c r="M110" s="3">
        <v>28.220649999999999</v>
      </c>
      <c r="N110" s="3">
        <f t="shared" si="6"/>
        <v>542.4671699999999</v>
      </c>
      <c r="O110" s="3">
        <v>0.10602246</v>
      </c>
      <c r="P110" s="3">
        <v>0.14337156000000001</v>
      </c>
      <c r="Q110" s="3">
        <f t="shared" si="7"/>
        <v>2.2299905148771815E-3</v>
      </c>
      <c r="R110" s="3">
        <f t="shared" si="8"/>
        <v>16.333812936931974</v>
      </c>
      <c r="S110" s="3">
        <v>3.6199999999999999E-7</v>
      </c>
      <c r="T110">
        <f t="shared" si="9"/>
        <v>497061.88780465815</v>
      </c>
    </row>
    <row r="111" spans="1:21" x14ac:dyDescent="0.25">
      <c r="A111" s="1">
        <v>43374</v>
      </c>
      <c r="B111" s="2">
        <v>0.71967592592592589</v>
      </c>
      <c r="C111">
        <v>1</v>
      </c>
      <c r="D111">
        <v>5</v>
      </c>
      <c r="E111">
        <v>134</v>
      </c>
      <c r="F111">
        <v>2</v>
      </c>
      <c r="G111">
        <v>2</v>
      </c>
      <c r="H111" s="3">
        <v>121.24467</v>
      </c>
      <c r="I111" s="3">
        <v>36.977198999999999</v>
      </c>
      <c r="J111" s="3">
        <v>14.420045</v>
      </c>
      <c r="K111">
        <f t="shared" si="5"/>
        <v>2076.48648</v>
      </c>
      <c r="L111" s="3">
        <v>99.421884000000006</v>
      </c>
      <c r="M111" s="3">
        <v>28.238329</v>
      </c>
      <c r="N111" s="3">
        <f t="shared" si="6"/>
        <v>542.49899219999998</v>
      </c>
      <c r="O111" s="3">
        <v>0.10620391</v>
      </c>
      <c r="P111" s="3">
        <v>0.14306268999999999</v>
      </c>
      <c r="Q111" s="3">
        <f t="shared" si="7"/>
        <v>2.2299180062233287E-3</v>
      </c>
      <c r="R111" s="3">
        <f t="shared" si="8"/>
        <v>16.390198388473088</v>
      </c>
      <c r="S111" s="3">
        <v>3.6199999999999999E-7</v>
      </c>
      <c r="T111">
        <f t="shared" si="9"/>
        <v>497910.99961621629</v>
      </c>
    </row>
    <row r="112" spans="1:21" x14ac:dyDescent="0.25">
      <c r="A112" s="1">
        <v>43374</v>
      </c>
      <c r="B112" s="2">
        <v>0.71978009259259268</v>
      </c>
      <c r="C112">
        <v>1</v>
      </c>
      <c r="D112">
        <v>5</v>
      </c>
      <c r="E112">
        <v>135</v>
      </c>
      <c r="F112">
        <v>3</v>
      </c>
      <c r="G112">
        <v>3</v>
      </c>
      <c r="H112" s="3">
        <v>121.14229</v>
      </c>
      <c r="I112" s="3">
        <v>36.945974999999997</v>
      </c>
      <c r="J112" s="3">
        <v>14.419654</v>
      </c>
      <c r="K112">
        <f t="shared" si="5"/>
        <v>2076.4301759999998</v>
      </c>
      <c r="L112" s="3">
        <v>99.419186999999994</v>
      </c>
      <c r="M112" s="3">
        <v>28.257207000000001</v>
      </c>
      <c r="N112" s="3">
        <f t="shared" si="6"/>
        <v>542.53297259999999</v>
      </c>
      <c r="O112" s="3">
        <v>0.10611091</v>
      </c>
      <c r="P112" s="3">
        <v>0.14268231000000001</v>
      </c>
      <c r="Q112" s="3">
        <f t="shared" si="7"/>
        <v>2.2297178795331078E-3</v>
      </c>
      <c r="R112" s="3">
        <f t="shared" si="8"/>
        <v>16.361061562457852</v>
      </c>
      <c r="S112" s="3">
        <v>3.6199999999999999E-7</v>
      </c>
      <c r="T112">
        <f t="shared" si="9"/>
        <v>497445.91156645451</v>
      </c>
    </row>
    <row r="113" spans="1:21" x14ac:dyDescent="0.25">
      <c r="A113" s="1">
        <v>43374</v>
      </c>
      <c r="B113" s="2">
        <v>0.71989583333333329</v>
      </c>
      <c r="C113">
        <v>1</v>
      </c>
      <c r="D113">
        <v>5</v>
      </c>
      <c r="E113">
        <v>136</v>
      </c>
      <c r="F113">
        <v>4</v>
      </c>
      <c r="G113">
        <v>4</v>
      </c>
      <c r="H113" s="3">
        <v>120.47047000000001</v>
      </c>
      <c r="I113" s="3">
        <v>36.741084999999998</v>
      </c>
      <c r="J113" s="3">
        <v>14.418732</v>
      </c>
      <c r="K113">
        <f t="shared" si="5"/>
        <v>2076.2974079999999</v>
      </c>
      <c r="L113" s="3">
        <v>99.412831999999995</v>
      </c>
      <c r="M113" s="3">
        <v>28.268492999999999</v>
      </c>
      <c r="N113" s="3">
        <f t="shared" si="6"/>
        <v>542.55328739999993</v>
      </c>
      <c r="O113" s="3">
        <v>0.10552048</v>
      </c>
      <c r="P113" s="3">
        <v>0.14203130999999999</v>
      </c>
      <c r="Q113" s="3">
        <f t="shared" si="7"/>
        <v>2.2294918283446018E-3</v>
      </c>
      <c r="R113" s="3">
        <f t="shared" si="8"/>
        <v>16.178456986652321</v>
      </c>
      <c r="S113" s="3">
        <v>3.6199999999999999E-7</v>
      </c>
      <c r="T113">
        <f t="shared" si="9"/>
        <v>494637.06891682046</v>
      </c>
    </row>
    <row r="114" spans="1:21" x14ac:dyDescent="0.25">
      <c r="A114" s="1">
        <v>43374</v>
      </c>
      <c r="B114" s="2">
        <v>0.72000000000000008</v>
      </c>
      <c r="C114">
        <v>1</v>
      </c>
      <c r="D114">
        <v>5</v>
      </c>
      <c r="E114">
        <v>137</v>
      </c>
      <c r="F114">
        <v>5</v>
      </c>
      <c r="G114">
        <v>5</v>
      </c>
      <c r="H114" s="3">
        <v>119.672</v>
      </c>
      <c r="I114" s="3">
        <v>36.497566999999997</v>
      </c>
      <c r="J114" s="3">
        <v>14.417567999999999</v>
      </c>
      <c r="K114">
        <f t="shared" si="5"/>
        <v>2076.1297919999997</v>
      </c>
      <c r="L114" s="3">
        <v>99.404803999999999</v>
      </c>
      <c r="M114" s="3">
        <v>28.283107000000001</v>
      </c>
      <c r="N114" s="3">
        <f t="shared" si="6"/>
        <v>542.57959259999996</v>
      </c>
      <c r="O114" s="3">
        <v>0.10481855</v>
      </c>
      <c r="P114" s="3">
        <v>0.14118206999999999</v>
      </c>
      <c r="Q114" s="3">
        <f t="shared" si="7"/>
        <v>2.2292037643105193E-3</v>
      </c>
      <c r="R114" s="3">
        <f t="shared" si="8"/>
        <v>15.962645556201366</v>
      </c>
      <c r="S114" s="3">
        <v>3.6199999999999999E-7</v>
      </c>
      <c r="T114">
        <f t="shared" si="9"/>
        <v>491295.16184635082</v>
      </c>
    </row>
    <row r="115" spans="1:21" x14ac:dyDescent="0.25">
      <c r="A115" s="1">
        <v>43374</v>
      </c>
      <c r="B115" s="2">
        <v>0.7201157407407407</v>
      </c>
      <c r="C115">
        <v>1</v>
      </c>
      <c r="D115">
        <v>5</v>
      </c>
      <c r="E115">
        <v>138</v>
      </c>
      <c r="F115">
        <v>6</v>
      </c>
      <c r="G115">
        <v>6</v>
      </c>
      <c r="H115" s="3">
        <v>118.68304000000001</v>
      </c>
      <c r="I115" s="3">
        <v>36.195954999999998</v>
      </c>
      <c r="J115" s="3">
        <v>14.416052000000001</v>
      </c>
      <c r="K115">
        <f t="shared" si="5"/>
        <v>2075.9114880000002</v>
      </c>
      <c r="L115" s="3">
        <v>99.394355000000004</v>
      </c>
      <c r="M115" s="3">
        <v>28.299271000000001</v>
      </c>
      <c r="N115" s="3">
        <f t="shared" si="6"/>
        <v>542.60868779999998</v>
      </c>
      <c r="O115" s="3">
        <v>0.10394956</v>
      </c>
      <c r="P115" s="3">
        <v>0.14025957999999999</v>
      </c>
      <c r="Q115" s="3">
        <f t="shared" si="7"/>
        <v>2.2288498451772712E-3</v>
      </c>
      <c r="R115" s="3">
        <f t="shared" si="8"/>
        <v>15.697414994579324</v>
      </c>
      <c r="S115" s="3">
        <v>3.6199999999999999E-7</v>
      </c>
      <c r="T115">
        <f t="shared" si="9"/>
        <v>487157.78145334788</v>
      </c>
    </row>
    <row r="116" spans="1:21" x14ac:dyDescent="0.25">
      <c r="A116" s="1">
        <v>43374</v>
      </c>
      <c r="B116" s="2">
        <v>0.72021990740740749</v>
      </c>
      <c r="C116">
        <v>1</v>
      </c>
      <c r="D116">
        <v>5</v>
      </c>
      <c r="E116">
        <v>139</v>
      </c>
      <c r="F116">
        <v>7</v>
      </c>
      <c r="G116">
        <v>7</v>
      </c>
      <c r="H116" s="3">
        <v>117.35281999999999</v>
      </c>
      <c r="I116" s="3">
        <v>35.790261999999998</v>
      </c>
      <c r="J116" s="3">
        <v>14.41423</v>
      </c>
      <c r="K116">
        <f t="shared" si="5"/>
        <v>2075.64912</v>
      </c>
      <c r="L116" s="3">
        <v>99.381792000000004</v>
      </c>
      <c r="M116" s="3">
        <v>28.312079000000001</v>
      </c>
      <c r="N116" s="3">
        <f t="shared" si="6"/>
        <v>542.63174219999996</v>
      </c>
      <c r="O116" s="3">
        <v>0.10278228</v>
      </c>
      <c r="P116" s="3">
        <v>0.13931041999999999</v>
      </c>
      <c r="Q116" s="3">
        <f t="shared" si="7"/>
        <v>2.2284734642203773E-3</v>
      </c>
      <c r="R116" s="3">
        <f t="shared" si="8"/>
        <v>15.34491657911483</v>
      </c>
      <c r="S116" s="3">
        <v>3.6199999999999999E-7</v>
      </c>
      <c r="T116">
        <f t="shared" si="9"/>
        <v>481616.28972639109</v>
      </c>
    </row>
    <row r="117" spans="1:21" x14ac:dyDescent="0.25">
      <c r="A117" s="1">
        <v>43374</v>
      </c>
      <c r="B117" s="2">
        <v>0.7203356481481481</v>
      </c>
      <c r="C117">
        <v>1</v>
      </c>
      <c r="D117">
        <v>5</v>
      </c>
      <c r="E117">
        <v>140</v>
      </c>
      <c r="F117">
        <v>8</v>
      </c>
      <c r="G117">
        <v>8</v>
      </c>
      <c r="H117" s="3">
        <v>116.82668</v>
      </c>
      <c r="I117" s="3">
        <v>35.629801</v>
      </c>
      <c r="J117" s="3">
        <v>14.413489999999999</v>
      </c>
      <c r="K117">
        <f t="shared" si="5"/>
        <v>2075.5425599999999</v>
      </c>
      <c r="L117" s="3">
        <v>99.376689999999996</v>
      </c>
      <c r="M117" s="3">
        <v>28.330371</v>
      </c>
      <c r="N117" s="3">
        <f t="shared" si="6"/>
        <v>542.66466779999996</v>
      </c>
      <c r="O117" s="3">
        <v>0.10231837000000001</v>
      </c>
      <c r="P117" s="3">
        <v>0.13806668</v>
      </c>
      <c r="Q117" s="3">
        <f t="shared" si="7"/>
        <v>2.2282238551907638E-3</v>
      </c>
      <c r="R117" s="3">
        <f t="shared" si="8"/>
        <v>15.205926740823566</v>
      </c>
      <c r="S117" s="3">
        <v>3.6199999999999999E-7</v>
      </c>
      <c r="T117">
        <f t="shared" si="9"/>
        <v>479403.30625918543</v>
      </c>
    </row>
    <row r="118" spans="1:21" x14ac:dyDescent="0.25">
      <c r="A118" s="1">
        <v>43374</v>
      </c>
      <c r="B118" s="2">
        <v>0.72043981481481489</v>
      </c>
      <c r="C118">
        <v>1</v>
      </c>
      <c r="D118">
        <v>5</v>
      </c>
      <c r="E118">
        <v>141</v>
      </c>
      <c r="F118">
        <v>9</v>
      </c>
      <c r="G118">
        <v>9</v>
      </c>
      <c r="H118" s="3">
        <v>116.28366</v>
      </c>
      <c r="I118" s="3">
        <v>35.464191999999997</v>
      </c>
      <c r="J118" s="3">
        <v>14.412792</v>
      </c>
      <c r="K118">
        <f t="shared" si="5"/>
        <v>2075.4420479999999</v>
      </c>
      <c r="L118" s="3">
        <v>99.371879000000007</v>
      </c>
      <c r="M118" s="3">
        <v>28.341342999999998</v>
      </c>
      <c r="N118" s="3">
        <f t="shared" si="6"/>
        <v>542.68441739999992</v>
      </c>
      <c r="O118" s="3">
        <v>0.10184093</v>
      </c>
      <c r="P118" s="3">
        <v>0.13771532</v>
      </c>
      <c r="Q118" s="3">
        <f t="shared" si="7"/>
        <v>2.2280348627811836E-3</v>
      </c>
      <c r="R118" s="3">
        <f t="shared" si="8"/>
        <v>15.063620700795958</v>
      </c>
      <c r="S118" s="3">
        <v>3.6199999999999999E-7</v>
      </c>
      <c r="T118">
        <f t="shared" si="9"/>
        <v>477134.52753553184</v>
      </c>
    </row>
    <row r="119" spans="1:21" x14ac:dyDescent="0.25">
      <c r="A119" s="1">
        <v>43374</v>
      </c>
      <c r="B119" s="2">
        <v>0.7205555555555555</v>
      </c>
      <c r="C119">
        <v>1</v>
      </c>
      <c r="D119">
        <v>5</v>
      </c>
      <c r="E119">
        <v>142</v>
      </c>
      <c r="F119">
        <v>10</v>
      </c>
      <c r="G119">
        <v>10</v>
      </c>
      <c r="H119" s="3">
        <v>116.03812000000001</v>
      </c>
      <c r="I119" s="3">
        <v>35.389305999999998</v>
      </c>
      <c r="J119" s="3">
        <v>14.4125</v>
      </c>
      <c r="K119">
        <f t="shared" si="5"/>
        <v>2075.4</v>
      </c>
      <c r="L119" s="3">
        <v>99.369864000000007</v>
      </c>
      <c r="M119" s="3">
        <v>28.355063999999999</v>
      </c>
      <c r="N119" s="3">
        <f t="shared" si="6"/>
        <v>542.70911519999993</v>
      </c>
      <c r="O119" s="3">
        <v>0.10162358000000001</v>
      </c>
      <c r="P119" s="3">
        <v>0.13669977999999999</v>
      </c>
      <c r="Q119" s="3">
        <f t="shared" si="7"/>
        <v>2.2278883311332189E-3</v>
      </c>
      <c r="R119" s="3">
        <f t="shared" si="8"/>
        <v>14.99908585454409</v>
      </c>
      <c r="S119" s="3">
        <v>3.6199999999999999E-7</v>
      </c>
      <c r="T119">
        <f t="shared" si="9"/>
        <v>476095.7154965676</v>
      </c>
    </row>
    <row r="120" spans="1:21" x14ac:dyDescent="0.25">
      <c r="A120" s="1">
        <v>43374</v>
      </c>
      <c r="B120" s="2">
        <v>0.7206597222222223</v>
      </c>
      <c r="C120">
        <v>1</v>
      </c>
      <c r="D120">
        <v>5</v>
      </c>
      <c r="E120">
        <v>143</v>
      </c>
      <c r="F120">
        <v>11</v>
      </c>
      <c r="G120">
        <v>11</v>
      </c>
      <c r="H120" s="3">
        <v>115.42613</v>
      </c>
      <c r="I120" s="3">
        <v>35.202660999999999</v>
      </c>
      <c r="J120" s="3">
        <v>14.411828</v>
      </c>
      <c r="K120">
        <f t="shared" si="5"/>
        <v>2075.3032320000002</v>
      </c>
      <c r="L120" s="3">
        <v>99.365232000000006</v>
      </c>
      <c r="M120" s="3">
        <v>28.364193</v>
      </c>
      <c r="N120" s="3">
        <f t="shared" si="6"/>
        <v>542.72554739999998</v>
      </c>
      <c r="O120" s="3">
        <v>0.10108607999999999</v>
      </c>
      <c r="P120" s="3">
        <v>0.13635559999999999</v>
      </c>
      <c r="Q120" s="3">
        <f t="shared" si="7"/>
        <v>2.2277170021483025E-3</v>
      </c>
      <c r="R120" s="3">
        <f t="shared" si="8"/>
        <v>14.840150098985212</v>
      </c>
      <c r="S120" s="3">
        <v>3.6199999999999999E-7</v>
      </c>
      <c r="T120">
        <f t="shared" si="9"/>
        <v>473548.3467646045</v>
      </c>
    </row>
    <row r="121" spans="1:21" x14ac:dyDescent="0.25">
      <c r="A121" s="1">
        <v>43374</v>
      </c>
      <c r="B121" s="2">
        <v>0.72076388888888887</v>
      </c>
      <c r="C121">
        <v>1</v>
      </c>
      <c r="D121">
        <v>5</v>
      </c>
      <c r="E121">
        <v>144</v>
      </c>
      <c r="F121">
        <v>12</v>
      </c>
      <c r="G121">
        <v>12</v>
      </c>
      <c r="H121" s="3">
        <v>114.58356999999999</v>
      </c>
      <c r="I121" s="3">
        <v>34.945695999999998</v>
      </c>
      <c r="J121" s="3">
        <v>14.410926</v>
      </c>
      <c r="K121">
        <f t="shared" si="5"/>
        <v>2075.1733439999998</v>
      </c>
      <c r="L121" s="3">
        <v>99.359008000000003</v>
      </c>
      <c r="M121" s="3">
        <v>28.382171</v>
      </c>
      <c r="N121" s="3">
        <f t="shared" si="6"/>
        <v>542.75790779999988</v>
      </c>
      <c r="O121" s="3">
        <v>0.1003452</v>
      </c>
      <c r="P121" s="3">
        <v>0.13539971000000001</v>
      </c>
      <c r="Q121" s="3">
        <f t="shared" si="7"/>
        <v>2.2274447619630481E-3</v>
      </c>
      <c r="R121" s="3">
        <f t="shared" si="8"/>
        <v>14.622500518916473</v>
      </c>
      <c r="S121" s="3">
        <v>3.6199999999999999E-7</v>
      </c>
      <c r="T121">
        <f t="shared" si="9"/>
        <v>470034.20405805937</v>
      </c>
    </row>
    <row r="122" spans="1:21" x14ac:dyDescent="0.25">
      <c r="A122" s="1">
        <v>43374</v>
      </c>
      <c r="B122" s="2">
        <v>0.7208796296296297</v>
      </c>
      <c r="C122">
        <v>1</v>
      </c>
      <c r="D122">
        <v>5</v>
      </c>
      <c r="E122">
        <v>145</v>
      </c>
      <c r="F122">
        <v>13</v>
      </c>
      <c r="G122">
        <v>13</v>
      </c>
      <c r="H122" s="3">
        <v>113.89749</v>
      </c>
      <c r="I122" s="3">
        <v>34.736457999999999</v>
      </c>
      <c r="J122" s="3">
        <v>14.410432999999999</v>
      </c>
      <c r="K122">
        <f t="shared" si="5"/>
        <v>2075.1023519999999</v>
      </c>
      <c r="L122" s="3">
        <v>99.355611999999994</v>
      </c>
      <c r="M122" s="3">
        <v>28.394057</v>
      </c>
      <c r="N122" s="3">
        <f t="shared" si="6"/>
        <v>542.77930259999994</v>
      </c>
      <c r="O122" s="3">
        <v>9.9742414000000001E-2</v>
      </c>
      <c r="P122" s="3">
        <v>0.13450592</v>
      </c>
      <c r="Q122" s="3">
        <f t="shared" si="7"/>
        <v>2.2272807642678186E-3</v>
      </c>
      <c r="R122" s="3">
        <f t="shared" si="8"/>
        <v>14.446853793849083</v>
      </c>
      <c r="S122" s="3">
        <v>3.6199999999999999E-7</v>
      </c>
      <c r="T122">
        <f t="shared" si="9"/>
        <v>467185.43015724909</v>
      </c>
    </row>
    <row r="123" spans="1:21" x14ac:dyDescent="0.25">
      <c r="A123" s="1">
        <v>43374</v>
      </c>
      <c r="B123" s="2">
        <v>0.72098379629629628</v>
      </c>
      <c r="C123">
        <v>1</v>
      </c>
      <c r="D123">
        <v>5</v>
      </c>
      <c r="E123">
        <v>146</v>
      </c>
      <c r="F123">
        <v>14</v>
      </c>
      <c r="G123">
        <v>14</v>
      </c>
      <c r="H123" s="3">
        <v>113.57125000000001</v>
      </c>
      <c r="I123" s="3">
        <v>34.636960999999999</v>
      </c>
      <c r="J123" s="3">
        <v>14.410603</v>
      </c>
      <c r="K123">
        <f t="shared" si="5"/>
        <v>2075.1268319999999</v>
      </c>
      <c r="L123" s="3">
        <v>99.356781999999995</v>
      </c>
      <c r="M123" s="3">
        <v>28.405957000000001</v>
      </c>
      <c r="N123" s="3">
        <f t="shared" si="6"/>
        <v>542.80072259999997</v>
      </c>
      <c r="O123" s="3">
        <v>9.9454755000000006E-2</v>
      </c>
      <c r="P123" s="3">
        <v>0.13388517999999999</v>
      </c>
      <c r="Q123" s="3">
        <f t="shared" si="7"/>
        <v>2.2272191455361217E-3</v>
      </c>
      <c r="R123" s="3">
        <f t="shared" si="8"/>
        <v>14.363813814927507</v>
      </c>
      <c r="S123" s="3">
        <v>3.6199999999999999E-7</v>
      </c>
      <c r="T123">
        <f t="shared" si="9"/>
        <v>465834.36902848847</v>
      </c>
    </row>
    <row r="124" spans="1:21" x14ac:dyDescent="0.25">
      <c r="A124" s="1">
        <v>43374</v>
      </c>
      <c r="B124" s="2">
        <v>0.72108796296296296</v>
      </c>
      <c r="C124">
        <v>1</v>
      </c>
      <c r="D124">
        <v>5</v>
      </c>
      <c r="E124">
        <v>147</v>
      </c>
      <c r="F124">
        <v>15</v>
      </c>
      <c r="G124">
        <v>15</v>
      </c>
      <c r="H124" s="3">
        <v>113.08732999999999</v>
      </c>
      <c r="I124" s="3">
        <v>34.489373000000001</v>
      </c>
      <c r="J124" s="3">
        <v>14.410112</v>
      </c>
      <c r="K124">
        <f t="shared" si="5"/>
        <v>2075.0561280000002</v>
      </c>
      <c r="L124" s="3">
        <v>99.353401000000005</v>
      </c>
      <c r="M124" s="3">
        <v>28.420570999999999</v>
      </c>
      <c r="N124" s="3">
        <f t="shared" si="6"/>
        <v>542.8270278</v>
      </c>
      <c r="O124" s="3">
        <v>9.9028578000000006E-2</v>
      </c>
      <c r="P124" s="3">
        <v>0.13345562</v>
      </c>
      <c r="Q124" s="3">
        <f t="shared" si="7"/>
        <v>2.227035332875456E-3</v>
      </c>
      <c r="R124" s="3">
        <f t="shared" si="8"/>
        <v>14.240492605523071</v>
      </c>
      <c r="S124" s="3">
        <v>3.6199999999999999E-7</v>
      </c>
      <c r="T124">
        <f t="shared" si="9"/>
        <v>463811.19633618149</v>
      </c>
    </row>
    <row r="125" spans="1:21" x14ac:dyDescent="0.25">
      <c r="A125" s="1">
        <v>43374</v>
      </c>
      <c r="B125" s="2">
        <v>0.72120370370370368</v>
      </c>
      <c r="C125">
        <v>1</v>
      </c>
      <c r="D125">
        <v>5</v>
      </c>
      <c r="E125">
        <v>148</v>
      </c>
      <c r="F125">
        <v>16</v>
      </c>
      <c r="G125">
        <v>16</v>
      </c>
      <c r="H125" s="3">
        <v>112.35014</v>
      </c>
      <c r="I125" s="3">
        <v>34.264544999999998</v>
      </c>
      <c r="J125" s="3">
        <v>14.41156</v>
      </c>
      <c r="K125">
        <f t="shared" si="5"/>
        <v>2075.2646399999999</v>
      </c>
      <c r="L125" s="3">
        <v>99.363380000000006</v>
      </c>
      <c r="M125" s="3">
        <v>28.428799999999999</v>
      </c>
      <c r="N125" s="3">
        <f t="shared" si="6"/>
        <v>542.84184000000005</v>
      </c>
      <c r="O125" s="3">
        <v>9.8381692000000007E-2</v>
      </c>
      <c r="P125" s="3">
        <v>0.13271632</v>
      </c>
      <c r="Q125" s="3">
        <f t="shared" si="7"/>
        <v>2.2271983426198896E-3</v>
      </c>
      <c r="R125" s="3">
        <f t="shared" si="8"/>
        <v>14.056465627465691</v>
      </c>
      <c r="S125" s="3">
        <v>3.6199999999999999E-7</v>
      </c>
      <c r="T125">
        <f t="shared" si="9"/>
        <v>460821.44677921286</v>
      </c>
    </row>
    <row r="126" spans="1:21" x14ac:dyDescent="0.25">
      <c r="A126" s="1">
        <v>43374</v>
      </c>
      <c r="B126" s="2">
        <v>0.72130787037037036</v>
      </c>
      <c r="C126">
        <v>1</v>
      </c>
      <c r="D126">
        <v>5</v>
      </c>
      <c r="E126">
        <v>149</v>
      </c>
      <c r="F126">
        <v>17</v>
      </c>
      <c r="G126">
        <v>17</v>
      </c>
      <c r="H126" s="3">
        <v>112.14194999999999</v>
      </c>
      <c r="I126" s="3">
        <v>34.201051</v>
      </c>
      <c r="J126" s="3">
        <v>14.411747999999999</v>
      </c>
      <c r="K126">
        <f t="shared" si="5"/>
        <v>2075.2917119999997</v>
      </c>
      <c r="L126" s="3">
        <v>99.364680000000007</v>
      </c>
      <c r="M126" s="3">
        <v>28.435186000000002</v>
      </c>
      <c r="N126" s="3">
        <f t="shared" si="6"/>
        <v>542.85333479999997</v>
      </c>
      <c r="O126" s="3">
        <v>9.8198346000000006E-2</v>
      </c>
      <c r="P126" s="3">
        <v>0.13298941</v>
      </c>
      <c r="Q126" s="3">
        <f t="shared" si="7"/>
        <v>2.2271802355572964E-3</v>
      </c>
      <c r="R126" s="3">
        <f t="shared" si="8"/>
        <v>14.004305478293285</v>
      </c>
      <c r="S126" s="3">
        <v>3.6199999999999999E-7</v>
      </c>
      <c r="T126">
        <f t="shared" si="9"/>
        <v>459963.78382477822</v>
      </c>
    </row>
    <row r="127" spans="1:21" x14ac:dyDescent="0.25">
      <c r="A127" s="1">
        <v>43374</v>
      </c>
      <c r="B127" s="2">
        <v>0.72142361111111108</v>
      </c>
      <c r="C127">
        <v>1</v>
      </c>
      <c r="D127">
        <v>5</v>
      </c>
      <c r="E127">
        <v>150</v>
      </c>
      <c r="F127">
        <v>18</v>
      </c>
      <c r="G127">
        <v>18</v>
      </c>
      <c r="H127" s="3">
        <v>112.28179</v>
      </c>
      <c r="I127" s="3">
        <v>34.243698999999999</v>
      </c>
      <c r="J127" s="3">
        <v>14.412705000000001</v>
      </c>
      <c r="K127">
        <f t="shared" si="5"/>
        <v>2075.4295200000001</v>
      </c>
      <c r="L127" s="3">
        <v>99.371278000000004</v>
      </c>
      <c r="M127" s="3">
        <v>28.448014000000001</v>
      </c>
      <c r="N127" s="3">
        <f t="shared" si="6"/>
        <v>542.87642519999997</v>
      </c>
      <c r="O127" s="3">
        <v>9.8318708000000005E-2</v>
      </c>
      <c r="P127" s="3">
        <v>0.13288216999999999</v>
      </c>
      <c r="Q127" s="3">
        <f t="shared" si="7"/>
        <v>2.2272333936671712E-3</v>
      </c>
      <c r="R127" s="3">
        <f t="shared" si="8"/>
        <v>14.039588827463211</v>
      </c>
      <c r="S127" s="3">
        <v>3.6199999999999999E-7</v>
      </c>
      <c r="T127">
        <f t="shared" si="9"/>
        <v>460548.34657223691</v>
      </c>
      <c r="U127">
        <f>AVERAGE(T105:T127)</f>
        <v>479859.72998711799</v>
      </c>
    </row>
    <row r="128" spans="1:21" x14ac:dyDescent="0.25">
      <c r="A128" s="1">
        <v>43374</v>
      </c>
      <c r="B128" s="2">
        <v>0.72158564814814818</v>
      </c>
      <c r="C128">
        <v>1</v>
      </c>
      <c r="D128">
        <v>5</v>
      </c>
      <c r="E128">
        <v>151</v>
      </c>
      <c r="F128">
        <v>18</v>
      </c>
      <c r="G128">
        <v>18</v>
      </c>
      <c r="H128" s="3">
        <v>112.15407</v>
      </c>
      <c r="I128" s="3">
        <v>34.204749</v>
      </c>
      <c r="J128" s="3">
        <v>14.41225</v>
      </c>
      <c r="K128">
        <f t="shared" si="5"/>
        <v>2075.364</v>
      </c>
      <c r="L128" s="3">
        <v>99.368140999999994</v>
      </c>
      <c r="M128" s="3">
        <v>28.460799999999999</v>
      </c>
      <c r="N128" s="3">
        <f t="shared" si="6"/>
        <v>542.89944000000003</v>
      </c>
      <c r="O128" s="3">
        <v>9.8204793999999998E-2</v>
      </c>
      <c r="P128" s="3">
        <v>0</v>
      </c>
      <c r="Q128" s="3">
        <f t="shared" si="7"/>
        <v>2.227068666568412E-3</v>
      </c>
      <c r="R128" s="3">
        <f t="shared" si="8"/>
        <v>14.006631049889904</v>
      </c>
      <c r="S128" s="3">
        <v>3.6199999999999999E-7</v>
      </c>
      <c r="T128">
        <f t="shared" si="9"/>
        <v>459990.45142747764</v>
      </c>
    </row>
    <row r="129" spans="1:20" x14ac:dyDescent="0.25">
      <c r="A129" s="1">
        <v>43374</v>
      </c>
      <c r="B129" s="2">
        <v>0.80888888888888888</v>
      </c>
      <c r="C129">
        <v>1</v>
      </c>
      <c r="D129">
        <v>6</v>
      </c>
      <c r="E129">
        <v>152</v>
      </c>
      <c r="F129">
        <v>0</v>
      </c>
      <c r="G129">
        <v>0</v>
      </c>
      <c r="H129" s="3">
        <v>0</v>
      </c>
      <c r="I129" s="3">
        <v>0</v>
      </c>
      <c r="J129" s="3">
        <v>14.335735</v>
      </c>
      <c r="K129">
        <f t="shared" si="5"/>
        <v>2064.34584</v>
      </c>
      <c r="L129" s="3">
        <v>98.840592000000001</v>
      </c>
      <c r="M129" s="3">
        <v>25.378729</v>
      </c>
      <c r="N129" s="3">
        <f t="shared" si="6"/>
        <v>537.35171220000007</v>
      </c>
      <c r="O129" s="3">
        <v>0</v>
      </c>
      <c r="P129" s="3">
        <v>0</v>
      </c>
      <c r="Q129" s="3">
        <f t="shared" si="7"/>
        <v>2.23811574130816E-3</v>
      </c>
      <c r="R129" s="3">
        <f t="shared" si="8"/>
        <v>0</v>
      </c>
      <c r="S129" s="3">
        <v>3.6199999999999999E-7</v>
      </c>
      <c r="T129">
        <f t="shared" si="9"/>
        <v>0</v>
      </c>
    </row>
    <row r="130" spans="1:20" x14ac:dyDescent="0.25">
      <c r="A130" s="1">
        <v>43374</v>
      </c>
      <c r="B130" s="2">
        <v>0.8106712962962962</v>
      </c>
      <c r="C130">
        <v>1</v>
      </c>
      <c r="D130">
        <v>6</v>
      </c>
      <c r="E130">
        <v>153</v>
      </c>
      <c r="F130">
        <v>-4</v>
      </c>
      <c r="G130">
        <v>-4</v>
      </c>
      <c r="H130" s="3">
        <v>136.66230999999999</v>
      </c>
      <c r="I130" s="3">
        <v>41.679271</v>
      </c>
      <c r="J130" s="3">
        <v>14.458453</v>
      </c>
      <c r="K130">
        <f t="shared" si="5"/>
        <v>2082.0172320000001</v>
      </c>
      <c r="L130" s="3">
        <v>99.686699000000004</v>
      </c>
      <c r="M130" s="3">
        <v>25.395513999999999</v>
      </c>
      <c r="N130" s="3">
        <f t="shared" si="6"/>
        <v>537.38192519999996</v>
      </c>
      <c r="O130" s="3">
        <v>0.12027755</v>
      </c>
      <c r="P130" s="3">
        <v>0.15257024999999999</v>
      </c>
      <c r="Q130" s="3">
        <f t="shared" si="7"/>
        <v>2.2571477436511148E-3</v>
      </c>
      <c r="R130" s="3">
        <f t="shared" si="8"/>
        <v>21.077908074338978</v>
      </c>
      <c r="S130" s="3">
        <v>3.6199999999999999E-7</v>
      </c>
      <c r="T130">
        <f t="shared" si="9"/>
        <v>568079.23509880144</v>
      </c>
    </row>
    <row r="131" spans="1:20" x14ac:dyDescent="0.25">
      <c r="A131" s="1">
        <v>43374</v>
      </c>
      <c r="B131" s="2">
        <v>0.81077546296296299</v>
      </c>
      <c r="C131">
        <v>1</v>
      </c>
      <c r="D131">
        <v>6</v>
      </c>
      <c r="E131">
        <v>154</v>
      </c>
      <c r="F131">
        <v>-3</v>
      </c>
      <c r="G131">
        <v>-3</v>
      </c>
      <c r="H131" s="3">
        <v>136.92472000000001</v>
      </c>
      <c r="I131" s="3">
        <v>41.759301999999998</v>
      </c>
      <c r="J131" s="3">
        <v>14.458435</v>
      </c>
      <c r="K131">
        <f t="shared" si="5"/>
        <v>2082.0146399999999</v>
      </c>
      <c r="L131" s="3">
        <v>99.686569000000006</v>
      </c>
      <c r="M131" s="3">
        <v>25.414393</v>
      </c>
      <c r="N131" s="3">
        <f t="shared" si="6"/>
        <v>537.41590740000004</v>
      </c>
      <c r="O131" s="3">
        <v>0.12050469</v>
      </c>
      <c r="P131" s="3">
        <v>0.15318221000000001</v>
      </c>
      <c r="Q131" s="3">
        <f t="shared" si="7"/>
        <v>2.2570022085017186E-3</v>
      </c>
      <c r="R131" s="3">
        <f t="shared" si="8"/>
        <v>21.157566344691542</v>
      </c>
      <c r="S131" s="3">
        <v>3.6199999999999999E-7</v>
      </c>
      <c r="T131">
        <f t="shared" si="9"/>
        <v>569133.3249327431</v>
      </c>
    </row>
    <row r="132" spans="1:20" x14ac:dyDescent="0.25">
      <c r="A132" s="1">
        <v>43374</v>
      </c>
      <c r="B132" s="2">
        <v>0.8108912037037036</v>
      </c>
      <c r="C132">
        <v>1</v>
      </c>
      <c r="D132">
        <v>6</v>
      </c>
      <c r="E132">
        <v>155</v>
      </c>
      <c r="F132">
        <v>-2</v>
      </c>
      <c r="G132">
        <v>-2</v>
      </c>
      <c r="H132" s="3">
        <v>138.30203</v>
      </c>
      <c r="I132" s="3">
        <v>42.179352000000002</v>
      </c>
      <c r="J132" s="3">
        <v>14.460241999999999</v>
      </c>
      <c r="K132">
        <f t="shared" si="5"/>
        <v>2082.274848</v>
      </c>
      <c r="L132" s="3">
        <v>99.699033999999997</v>
      </c>
      <c r="M132" s="3">
        <v>25.43055</v>
      </c>
      <c r="N132" s="3">
        <f t="shared" si="6"/>
        <v>537.44498999999996</v>
      </c>
      <c r="O132" s="3">
        <v>0.12171354</v>
      </c>
      <c r="P132" s="3">
        <v>0.15425585999999999</v>
      </c>
      <c r="Q132" s="3">
        <f t="shared" si="7"/>
        <v>2.2571621385145376E-3</v>
      </c>
      <c r="R132" s="3">
        <f t="shared" si="8"/>
        <v>21.586879668430157</v>
      </c>
      <c r="S132" s="3">
        <v>3.6199999999999999E-7</v>
      </c>
      <c r="T132">
        <f t="shared" si="9"/>
        <v>574898.90570110828</v>
      </c>
    </row>
    <row r="133" spans="1:20" x14ac:dyDescent="0.25">
      <c r="A133" s="1">
        <v>43374</v>
      </c>
      <c r="B133" s="2">
        <v>0.81099537037037039</v>
      </c>
      <c r="C133">
        <v>1</v>
      </c>
      <c r="D133">
        <v>6</v>
      </c>
      <c r="E133">
        <v>156</v>
      </c>
      <c r="F133">
        <v>-1</v>
      </c>
      <c r="G133">
        <v>-1</v>
      </c>
      <c r="H133" s="3">
        <v>139.41652999999999</v>
      </c>
      <c r="I133" s="3">
        <v>42.519252999999999</v>
      </c>
      <c r="J133" s="3">
        <v>14.461925000000001</v>
      </c>
      <c r="K133">
        <f t="shared" ref="K133:K196" si="10">J133*144</f>
        <v>2082.5172000000002</v>
      </c>
      <c r="L133" s="3">
        <v>99.710637000000006</v>
      </c>
      <c r="M133" s="3">
        <v>25.450043000000001</v>
      </c>
      <c r="N133" s="3">
        <f t="shared" ref="N133:N196" si="11">CONVERT(M133,"C","Rank")</f>
        <v>537.48007739999991</v>
      </c>
      <c r="O133" s="3">
        <v>0.12269035</v>
      </c>
      <c r="P133" s="3">
        <v>0.15528819999999999</v>
      </c>
      <c r="Q133" s="3">
        <f t="shared" ref="Q133:Q196" si="12">K133/(N133*1716.49)</f>
        <v>2.2572774776766715E-3</v>
      </c>
      <c r="R133" s="3">
        <f t="shared" ref="R133:R196" si="13">0.5*Q133*H133^2</f>
        <v>21.937315995303603</v>
      </c>
      <c r="S133" s="3">
        <v>3.6199999999999999E-7</v>
      </c>
      <c r="T133">
        <f t="shared" ref="T133:T196" si="14">Q133*H133*8/12/S133</f>
        <v>579561.31341590057</v>
      </c>
    </row>
    <row r="134" spans="1:20" x14ac:dyDescent="0.25">
      <c r="A134" s="1">
        <v>43374</v>
      </c>
      <c r="B134" s="2">
        <v>0.81111111111111101</v>
      </c>
      <c r="C134">
        <v>1</v>
      </c>
      <c r="D134">
        <v>6</v>
      </c>
      <c r="E134">
        <v>157</v>
      </c>
      <c r="F134">
        <v>0</v>
      </c>
      <c r="G134">
        <v>0</v>
      </c>
      <c r="H134" s="3">
        <v>140.11712</v>
      </c>
      <c r="I134" s="3">
        <v>42.732917999999998</v>
      </c>
      <c r="J134" s="3">
        <v>14.463062000000001</v>
      </c>
      <c r="K134">
        <f t="shared" si="10"/>
        <v>2082.6809280000002</v>
      </c>
      <c r="L134" s="3">
        <v>99.718469999999996</v>
      </c>
      <c r="M134" s="3">
        <v>25.471706999999999</v>
      </c>
      <c r="N134" s="3">
        <f t="shared" si="11"/>
        <v>537.51907259999996</v>
      </c>
      <c r="O134" s="3">
        <v>0.12330242</v>
      </c>
      <c r="P134" s="3">
        <v>0.15591840000000001</v>
      </c>
      <c r="Q134" s="3">
        <f t="shared" si="12"/>
        <v>2.2572911746113755E-3</v>
      </c>
      <c r="R134" s="3">
        <f t="shared" si="13"/>
        <v>22.158481344861414</v>
      </c>
      <c r="S134" s="3">
        <v>3.6199999999999999E-7</v>
      </c>
      <c r="T134">
        <f t="shared" si="14"/>
        <v>582477.23460030032</v>
      </c>
    </row>
    <row r="135" spans="1:20" x14ac:dyDescent="0.25">
      <c r="A135" s="1">
        <v>43374</v>
      </c>
      <c r="B135" s="2">
        <v>0.8112152777777778</v>
      </c>
      <c r="C135">
        <v>1</v>
      </c>
      <c r="D135">
        <v>6</v>
      </c>
      <c r="E135">
        <v>158</v>
      </c>
      <c r="F135">
        <v>1</v>
      </c>
      <c r="G135">
        <v>1</v>
      </c>
      <c r="H135" s="3">
        <v>141.14157</v>
      </c>
      <c r="I135" s="3">
        <v>43.045355000000001</v>
      </c>
      <c r="J135" s="3">
        <v>14.464710999999999</v>
      </c>
      <c r="K135">
        <f t="shared" si="10"/>
        <v>2082.9183840000001</v>
      </c>
      <c r="L135" s="3">
        <v>99.729845999999995</v>
      </c>
      <c r="M135" s="3">
        <v>25.489056999999999</v>
      </c>
      <c r="N135" s="3">
        <f t="shared" si="11"/>
        <v>537.55030260000001</v>
      </c>
      <c r="O135" s="3">
        <v>0.12420032</v>
      </c>
      <c r="P135" s="3">
        <v>0.15627509000000001</v>
      </c>
      <c r="Q135" s="3">
        <f t="shared" si="12"/>
        <v>2.2574173821802716E-3</v>
      </c>
      <c r="R135" s="3">
        <f t="shared" si="13"/>
        <v>22.484941252825962</v>
      </c>
      <c r="S135" s="3">
        <v>3.6199999999999999E-7</v>
      </c>
      <c r="T135">
        <f t="shared" si="14"/>
        <v>586768.75408142467</v>
      </c>
    </row>
    <row r="136" spans="1:20" x14ac:dyDescent="0.25">
      <c r="A136" s="1">
        <v>43374</v>
      </c>
      <c r="B136" s="2">
        <v>0.81133101851851841</v>
      </c>
      <c r="C136">
        <v>1</v>
      </c>
      <c r="D136">
        <v>6</v>
      </c>
      <c r="E136">
        <v>159</v>
      </c>
      <c r="F136">
        <v>2</v>
      </c>
      <c r="G136">
        <v>2</v>
      </c>
      <c r="H136" s="3">
        <v>141.35187999999999</v>
      </c>
      <c r="I136" s="3">
        <v>43.109496999999998</v>
      </c>
      <c r="J136" s="3">
        <v>14.465348000000001</v>
      </c>
      <c r="K136">
        <f t="shared" si="10"/>
        <v>2083.0101119999999</v>
      </c>
      <c r="L136" s="3">
        <v>99.734234000000001</v>
      </c>
      <c r="M136" s="3">
        <v>25.510407000000001</v>
      </c>
      <c r="N136" s="3">
        <f t="shared" si="11"/>
        <v>537.58873259999996</v>
      </c>
      <c r="O136" s="3">
        <v>0.12438095</v>
      </c>
      <c r="P136" s="3">
        <v>0.15612574000000001</v>
      </c>
      <c r="Q136" s="3">
        <f t="shared" si="12"/>
        <v>2.2573554142445757E-3</v>
      </c>
      <c r="R136" s="3">
        <f t="shared" si="13"/>
        <v>22.551380117112561</v>
      </c>
      <c r="S136" s="3">
        <v>3.6199999999999999E-7</v>
      </c>
      <c r="T136">
        <f t="shared" si="14"/>
        <v>587626.94591464009</v>
      </c>
    </row>
    <row r="137" spans="1:20" x14ac:dyDescent="0.25">
      <c r="A137" s="1">
        <v>43374</v>
      </c>
      <c r="B137" s="2">
        <v>0.8114351851851852</v>
      </c>
      <c r="C137">
        <v>1</v>
      </c>
      <c r="D137">
        <v>6</v>
      </c>
      <c r="E137">
        <v>160</v>
      </c>
      <c r="F137">
        <v>3</v>
      </c>
      <c r="G137">
        <v>3</v>
      </c>
      <c r="H137" s="3">
        <v>140.97352000000001</v>
      </c>
      <c r="I137" s="3">
        <v>42.994103000000003</v>
      </c>
      <c r="J137" s="3">
        <v>14.464978</v>
      </c>
      <c r="K137">
        <f t="shared" si="10"/>
        <v>2082.9568319999998</v>
      </c>
      <c r="L137" s="3">
        <v>99.731683000000004</v>
      </c>
      <c r="M137" s="3">
        <v>25.52685</v>
      </c>
      <c r="N137" s="3">
        <f t="shared" si="11"/>
        <v>537.61833000000001</v>
      </c>
      <c r="O137" s="3">
        <v>0.12404459</v>
      </c>
      <c r="P137" s="3">
        <v>0.15524473</v>
      </c>
      <c r="Q137" s="3">
        <f t="shared" si="12"/>
        <v>2.2571734041952566E-3</v>
      </c>
      <c r="R137" s="3">
        <f t="shared" si="13"/>
        <v>22.429005452561338</v>
      </c>
      <c r="S137" s="3">
        <v>3.6199999999999999E-7</v>
      </c>
      <c r="T137">
        <f t="shared" si="14"/>
        <v>586006.77723717887</v>
      </c>
    </row>
    <row r="138" spans="1:20" x14ac:dyDescent="0.25">
      <c r="A138" s="1">
        <v>43374</v>
      </c>
      <c r="B138" s="2">
        <v>0.81155092592592604</v>
      </c>
      <c r="C138">
        <v>1</v>
      </c>
      <c r="D138">
        <v>6</v>
      </c>
      <c r="E138">
        <v>161</v>
      </c>
      <c r="F138">
        <v>4</v>
      </c>
      <c r="G138">
        <v>4</v>
      </c>
      <c r="H138" s="3">
        <v>140.35521</v>
      </c>
      <c r="I138" s="3">
        <v>42.805531999999999</v>
      </c>
      <c r="J138" s="3">
        <v>14.464422000000001</v>
      </c>
      <c r="K138">
        <f t="shared" si="10"/>
        <v>2082.8767680000001</v>
      </c>
      <c r="L138" s="3">
        <v>99.727846999999997</v>
      </c>
      <c r="M138" s="3">
        <v>25.53905</v>
      </c>
      <c r="N138" s="3">
        <f t="shared" si="11"/>
        <v>537.64028999999994</v>
      </c>
      <c r="O138" s="3">
        <v>0.12349802</v>
      </c>
      <c r="P138" s="3">
        <v>0.15508420000000001</v>
      </c>
      <c r="Q138" s="3">
        <f t="shared" si="12"/>
        <v>2.2569944526670597E-3</v>
      </c>
      <c r="R138" s="3">
        <f t="shared" si="13"/>
        <v>22.230927003243298</v>
      </c>
      <c r="S138" s="3">
        <v>3.6199999999999999E-7</v>
      </c>
      <c r="T138">
        <f t="shared" si="14"/>
        <v>583390.29534607776</v>
      </c>
    </row>
    <row r="139" spans="1:20" x14ac:dyDescent="0.25">
      <c r="A139" s="1">
        <v>43374</v>
      </c>
      <c r="B139" s="2">
        <v>0.81165509259259261</v>
      </c>
      <c r="C139">
        <v>1</v>
      </c>
      <c r="D139">
        <v>6</v>
      </c>
      <c r="E139">
        <v>162</v>
      </c>
      <c r="F139">
        <v>5</v>
      </c>
      <c r="G139">
        <v>5</v>
      </c>
      <c r="H139" s="3">
        <v>139.24061</v>
      </c>
      <c r="I139" s="3">
        <v>42.465600000000002</v>
      </c>
      <c r="J139" s="3">
        <v>14.462699000000001</v>
      </c>
      <c r="K139">
        <f t="shared" si="10"/>
        <v>2082.6286559999999</v>
      </c>
      <c r="L139" s="3">
        <v>99.715968000000004</v>
      </c>
      <c r="M139" s="3">
        <v>25.550329000000001</v>
      </c>
      <c r="N139" s="3">
        <f t="shared" si="11"/>
        <v>537.66059219999988</v>
      </c>
      <c r="O139" s="3">
        <v>0.12251497</v>
      </c>
      <c r="P139" s="3">
        <v>0.15412873999999999</v>
      </c>
      <c r="Q139" s="3">
        <f t="shared" si="12"/>
        <v>2.2566403852622759E-3</v>
      </c>
      <c r="R139" s="3">
        <f t="shared" si="13"/>
        <v>21.875812627651932</v>
      </c>
      <c r="S139" s="3">
        <v>3.6199999999999999E-7</v>
      </c>
      <c r="T139">
        <f t="shared" si="14"/>
        <v>578666.63682238373</v>
      </c>
    </row>
    <row r="140" spans="1:20" x14ac:dyDescent="0.25">
      <c r="A140" s="1">
        <v>43374</v>
      </c>
      <c r="B140" s="2">
        <v>0.81177083333333344</v>
      </c>
      <c r="C140">
        <v>1</v>
      </c>
      <c r="D140">
        <v>6</v>
      </c>
      <c r="E140">
        <v>163</v>
      </c>
      <c r="F140">
        <v>6</v>
      </c>
      <c r="G140">
        <v>6</v>
      </c>
      <c r="H140" s="3">
        <v>138.31566000000001</v>
      </c>
      <c r="I140" s="3">
        <v>42.183511000000003</v>
      </c>
      <c r="J140" s="3">
        <v>14.460445</v>
      </c>
      <c r="K140">
        <f t="shared" si="10"/>
        <v>2082.3040799999999</v>
      </c>
      <c r="L140" s="3">
        <v>99.700430999999995</v>
      </c>
      <c r="M140" s="3">
        <v>25.574086000000001</v>
      </c>
      <c r="N140" s="3">
        <f t="shared" si="11"/>
        <v>537.70335480000006</v>
      </c>
      <c r="O140" s="3">
        <v>0.12169629</v>
      </c>
      <c r="P140" s="3">
        <v>0.15249963999999999</v>
      </c>
      <c r="Q140" s="3">
        <f t="shared" si="12"/>
        <v>2.2561092510119691E-3</v>
      </c>
      <c r="R140" s="3">
        <f t="shared" si="13"/>
        <v>21.581063244464755</v>
      </c>
      <c r="S140" s="3">
        <v>3.6199999999999999E-7</v>
      </c>
      <c r="T140">
        <f t="shared" si="14"/>
        <v>574687.36664056394</v>
      </c>
    </row>
    <row r="141" spans="1:20" x14ac:dyDescent="0.25">
      <c r="A141" s="1">
        <v>43374</v>
      </c>
      <c r="B141" s="2">
        <v>0.81187500000000001</v>
      </c>
      <c r="C141">
        <v>1</v>
      </c>
      <c r="D141">
        <v>6</v>
      </c>
      <c r="E141">
        <v>164</v>
      </c>
      <c r="F141">
        <v>7</v>
      </c>
      <c r="G141">
        <v>7</v>
      </c>
      <c r="H141" s="3">
        <v>137.34272000000001</v>
      </c>
      <c r="I141" s="3">
        <v>41.886783000000001</v>
      </c>
      <c r="J141" s="3">
        <v>14.458873000000001</v>
      </c>
      <c r="K141">
        <f t="shared" si="10"/>
        <v>2082.0777120000002</v>
      </c>
      <c r="L141" s="3">
        <v>99.689592000000005</v>
      </c>
      <c r="M141" s="3">
        <v>25.591156999999999</v>
      </c>
      <c r="N141" s="3">
        <f t="shared" si="11"/>
        <v>537.73408259999997</v>
      </c>
      <c r="O141" s="3">
        <v>0.12083679999999999</v>
      </c>
      <c r="P141" s="3">
        <v>0.15152224</v>
      </c>
      <c r="Q141" s="3">
        <f t="shared" si="12"/>
        <v>2.2557350814983064E-3</v>
      </c>
      <c r="R141" s="3">
        <f t="shared" si="13"/>
        <v>21.274991065473749</v>
      </c>
      <c r="S141" s="3">
        <v>3.6199999999999999E-7</v>
      </c>
      <c r="T141">
        <f t="shared" si="14"/>
        <v>570550.2609436448</v>
      </c>
    </row>
    <row r="142" spans="1:20" x14ac:dyDescent="0.25">
      <c r="A142" s="1">
        <v>43374</v>
      </c>
      <c r="B142" s="2">
        <v>0.81199074074074085</v>
      </c>
      <c r="C142">
        <v>1</v>
      </c>
      <c r="D142">
        <v>6</v>
      </c>
      <c r="E142">
        <v>165</v>
      </c>
      <c r="F142">
        <v>8</v>
      </c>
      <c r="G142">
        <v>8</v>
      </c>
      <c r="H142" s="3">
        <v>136.13016999999999</v>
      </c>
      <c r="I142" s="3">
        <v>41.516978999999999</v>
      </c>
      <c r="J142" s="3">
        <v>14.45731</v>
      </c>
      <c r="K142">
        <f t="shared" si="10"/>
        <v>2081.8526400000001</v>
      </c>
      <c r="L142" s="3">
        <v>99.678816999999995</v>
      </c>
      <c r="M142" s="3">
        <v>25.608550000000001</v>
      </c>
      <c r="N142" s="3">
        <f t="shared" si="11"/>
        <v>537.76538999999991</v>
      </c>
      <c r="O142" s="3">
        <v>0.11976649</v>
      </c>
      <c r="P142" s="3">
        <v>0.15060243000000001</v>
      </c>
      <c r="Q142" s="3">
        <f t="shared" si="12"/>
        <v>2.2553599279436019E-3</v>
      </c>
      <c r="R142" s="3">
        <f t="shared" si="13"/>
        <v>20.89751462873744</v>
      </c>
      <c r="S142" s="3">
        <v>3.6199999999999999E-7</v>
      </c>
      <c r="T142">
        <f t="shared" si="14"/>
        <v>565419.02468167641</v>
      </c>
    </row>
    <row r="143" spans="1:20" x14ac:dyDescent="0.25">
      <c r="A143" s="1">
        <v>43374</v>
      </c>
      <c r="B143" s="2">
        <v>0.81209490740740742</v>
      </c>
      <c r="C143">
        <v>1</v>
      </c>
      <c r="D143">
        <v>6</v>
      </c>
      <c r="E143">
        <v>166</v>
      </c>
      <c r="F143">
        <v>9</v>
      </c>
      <c r="G143">
        <v>9</v>
      </c>
      <c r="H143" s="3">
        <v>135.7697</v>
      </c>
      <c r="I143" s="3">
        <v>41.407041999999997</v>
      </c>
      <c r="J143" s="3">
        <v>14.457181</v>
      </c>
      <c r="K143">
        <f t="shared" si="10"/>
        <v>2081.8340640000001</v>
      </c>
      <c r="L143" s="3">
        <v>99.677923000000007</v>
      </c>
      <c r="M143" s="3">
        <v>25.627420999999998</v>
      </c>
      <c r="N143" s="3">
        <f t="shared" si="11"/>
        <v>537.79935780000005</v>
      </c>
      <c r="O143" s="3">
        <v>0.11944557</v>
      </c>
      <c r="P143" s="3">
        <v>0.14966499999999999</v>
      </c>
      <c r="Q143" s="3">
        <f t="shared" si="12"/>
        <v>2.2551973548607307E-3</v>
      </c>
      <c r="R143" s="3">
        <f t="shared" si="13"/>
        <v>20.78549035812005</v>
      </c>
      <c r="S143" s="3">
        <v>3.6199999999999999E-7</v>
      </c>
      <c r="T143">
        <f t="shared" si="14"/>
        <v>563881.15710908838</v>
      </c>
    </row>
    <row r="144" spans="1:20" x14ac:dyDescent="0.25">
      <c r="A144" s="1">
        <v>43374</v>
      </c>
      <c r="B144" s="2">
        <v>0.81221064814814825</v>
      </c>
      <c r="C144">
        <v>1</v>
      </c>
      <c r="D144">
        <v>6</v>
      </c>
      <c r="E144">
        <v>167</v>
      </c>
      <c r="F144">
        <v>10</v>
      </c>
      <c r="G144">
        <v>10</v>
      </c>
      <c r="H144" s="3">
        <v>135.05185</v>
      </c>
      <c r="I144" s="3">
        <v>41.188111999999997</v>
      </c>
      <c r="J144" s="3">
        <v>14.456462</v>
      </c>
      <c r="K144">
        <f t="shared" si="10"/>
        <v>2081.730528</v>
      </c>
      <c r="L144" s="3">
        <v>99.672967</v>
      </c>
      <c r="M144" s="3">
        <v>25.643293</v>
      </c>
      <c r="N144" s="3">
        <f t="shared" si="11"/>
        <v>537.82792739999991</v>
      </c>
      <c r="O144" s="3">
        <v>0.11881087</v>
      </c>
      <c r="P144" s="3">
        <v>0.14847195999999999</v>
      </c>
      <c r="Q144" s="3">
        <f t="shared" si="12"/>
        <v>2.2549654060895117E-3</v>
      </c>
      <c r="R144" s="3">
        <f t="shared" si="13"/>
        <v>20.564159488241817</v>
      </c>
      <c r="S144" s="3">
        <v>3.6199999999999999E-7</v>
      </c>
      <c r="T144">
        <f t="shared" si="14"/>
        <v>560842.08062318561</v>
      </c>
    </row>
    <row r="145" spans="1:21" x14ac:dyDescent="0.25">
      <c r="A145" s="1">
        <v>43374</v>
      </c>
      <c r="B145" s="2">
        <v>0.81231481481481482</v>
      </c>
      <c r="C145">
        <v>1</v>
      </c>
      <c r="D145">
        <v>6</v>
      </c>
      <c r="E145">
        <v>168</v>
      </c>
      <c r="F145">
        <v>11</v>
      </c>
      <c r="G145">
        <v>11</v>
      </c>
      <c r="H145" s="3">
        <v>133.95912999999999</v>
      </c>
      <c r="I145" s="3">
        <v>40.854855000000001</v>
      </c>
      <c r="J145" s="3">
        <v>14.455005</v>
      </c>
      <c r="K145">
        <f t="shared" si="10"/>
        <v>2081.52072</v>
      </c>
      <c r="L145" s="3">
        <v>99.662923000000006</v>
      </c>
      <c r="M145" s="3">
        <v>25.65485</v>
      </c>
      <c r="N145" s="3">
        <f t="shared" si="11"/>
        <v>537.84873000000005</v>
      </c>
      <c r="O145" s="3">
        <v>0.11784728</v>
      </c>
      <c r="P145" s="3">
        <v>0.14732318</v>
      </c>
      <c r="Q145" s="3">
        <f t="shared" si="12"/>
        <v>2.2546509310978546E-3</v>
      </c>
      <c r="R145" s="3">
        <f t="shared" si="13"/>
        <v>20.229910166236174</v>
      </c>
      <c r="S145" s="3">
        <v>3.6199999999999999E-7</v>
      </c>
      <c r="T145">
        <f t="shared" si="14"/>
        <v>556226.66147985007</v>
      </c>
    </row>
    <row r="146" spans="1:21" x14ac:dyDescent="0.25">
      <c r="A146" s="1">
        <v>43374</v>
      </c>
      <c r="B146" s="2">
        <v>0.81243055555555566</v>
      </c>
      <c r="C146">
        <v>1</v>
      </c>
      <c r="D146">
        <v>6</v>
      </c>
      <c r="E146">
        <v>169</v>
      </c>
      <c r="F146">
        <v>12</v>
      </c>
      <c r="G146">
        <v>12</v>
      </c>
      <c r="H146" s="3">
        <v>133.37989999999999</v>
      </c>
      <c r="I146" s="3">
        <v>40.678203000000003</v>
      </c>
      <c r="J146" s="3">
        <v>14.45402</v>
      </c>
      <c r="K146">
        <f t="shared" si="10"/>
        <v>2081.3788800000002</v>
      </c>
      <c r="L146" s="3">
        <v>99.656130000000005</v>
      </c>
      <c r="M146" s="3">
        <v>25.667656999999998</v>
      </c>
      <c r="N146" s="3">
        <f t="shared" si="11"/>
        <v>537.87178259999996</v>
      </c>
      <c r="O146" s="3">
        <v>0.11733521</v>
      </c>
      <c r="P146" s="3">
        <v>0.1467464</v>
      </c>
      <c r="Q146" s="3">
        <f t="shared" si="12"/>
        <v>2.2544006682709461E-3</v>
      </c>
      <c r="R146" s="3">
        <f t="shared" si="13"/>
        <v>20.053116818840202</v>
      </c>
      <c r="S146" s="3">
        <v>3.6199999999999999E-7</v>
      </c>
      <c r="T146">
        <f t="shared" si="14"/>
        <v>553760.10256705701</v>
      </c>
    </row>
    <row r="147" spans="1:21" x14ac:dyDescent="0.25">
      <c r="A147" s="1">
        <v>43374</v>
      </c>
      <c r="B147" s="2">
        <v>0.81253472222222223</v>
      </c>
      <c r="C147">
        <v>1</v>
      </c>
      <c r="D147">
        <v>6</v>
      </c>
      <c r="E147">
        <v>170</v>
      </c>
      <c r="F147">
        <v>13</v>
      </c>
      <c r="G147">
        <v>13</v>
      </c>
      <c r="H147" s="3">
        <v>132.60998000000001</v>
      </c>
      <c r="I147" s="3">
        <v>40.443390999999998</v>
      </c>
      <c r="J147" s="3">
        <v>14.452624</v>
      </c>
      <c r="K147">
        <f t="shared" si="10"/>
        <v>2081.1778560000002</v>
      </c>
      <c r="L147" s="3">
        <v>99.646510000000006</v>
      </c>
      <c r="M147" s="3">
        <v>25.681386</v>
      </c>
      <c r="N147" s="3">
        <f t="shared" si="11"/>
        <v>537.89649479999991</v>
      </c>
      <c r="O147" s="3">
        <v>0.11665522</v>
      </c>
      <c r="P147" s="3">
        <v>0.14580683999999999</v>
      </c>
      <c r="Q147" s="3">
        <f t="shared" si="12"/>
        <v>2.2540793711189168E-3</v>
      </c>
      <c r="R147" s="3">
        <f t="shared" si="13"/>
        <v>19.819451345348643</v>
      </c>
      <c r="S147" s="3">
        <v>3.6199999999999999E-7</v>
      </c>
      <c r="T147">
        <f t="shared" si="14"/>
        <v>550485.12029924896</v>
      </c>
    </row>
    <row r="148" spans="1:21" x14ac:dyDescent="0.25">
      <c r="A148" s="1">
        <v>43374</v>
      </c>
      <c r="B148" s="2">
        <v>0.81265046296296306</v>
      </c>
      <c r="C148">
        <v>1</v>
      </c>
      <c r="D148">
        <v>6</v>
      </c>
      <c r="E148">
        <v>171</v>
      </c>
      <c r="F148">
        <v>14</v>
      </c>
      <c r="G148">
        <v>14</v>
      </c>
      <c r="H148" s="3">
        <v>132.11259999999999</v>
      </c>
      <c r="I148" s="3">
        <v>40.291702000000001</v>
      </c>
      <c r="J148" s="3">
        <v>14.451948</v>
      </c>
      <c r="K148">
        <f t="shared" si="10"/>
        <v>2081.080512</v>
      </c>
      <c r="L148" s="3">
        <v>99.641846000000001</v>
      </c>
      <c r="M148" s="3">
        <v>25.694471</v>
      </c>
      <c r="N148" s="3">
        <f t="shared" si="11"/>
        <v>537.92004780000002</v>
      </c>
      <c r="O148" s="3">
        <v>0.11621515</v>
      </c>
      <c r="P148" s="3">
        <v>0.14550215</v>
      </c>
      <c r="Q148" s="3">
        <f t="shared" si="12"/>
        <v>2.2538752489433597E-3</v>
      </c>
      <c r="R148" s="3">
        <f t="shared" si="13"/>
        <v>19.669275255566319</v>
      </c>
      <c r="S148" s="3">
        <v>3.6199999999999999E-7</v>
      </c>
      <c r="T148">
        <f t="shared" si="14"/>
        <v>548370.75361612253</v>
      </c>
    </row>
    <row r="149" spans="1:21" x14ac:dyDescent="0.25">
      <c r="A149" s="1">
        <v>43374</v>
      </c>
      <c r="B149" s="2">
        <v>0.81275462962962963</v>
      </c>
      <c r="C149">
        <v>1</v>
      </c>
      <c r="D149">
        <v>6</v>
      </c>
      <c r="E149">
        <v>172</v>
      </c>
      <c r="F149">
        <v>15</v>
      </c>
      <c r="G149">
        <v>15</v>
      </c>
      <c r="H149" s="3">
        <v>131.03711000000001</v>
      </c>
      <c r="I149" s="3">
        <v>39.963697000000003</v>
      </c>
      <c r="J149" s="3">
        <v>14.450741000000001</v>
      </c>
      <c r="K149">
        <f t="shared" si="10"/>
        <v>2080.906704</v>
      </c>
      <c r="L149" s="3">
        <v>99.633525000000006</v>
      </c>
      <c r="M149" s="3">
        <v>25.706963999999999</v>
      </c>
      <c r="N149" s="3">
        <f t="shared" si="11"/>
        <v>537.94253519999995</v>
      </c>
      <c r="O149" s="3">
        <v>0.11526666000000001</v>
      </c>
      <c r="P149" s="3">
        <v>0.14411646</v>
      </c>
      <c r="Q149" s="3">
        <f t="shared" si="12"/>
        <v>2.2535927994553995E-3</v>
      </c>
      <c r="R149" s="3">
        <f t="shared" si="13"/>
        <v>19.347910206068288</v>
      </c>
      <c r="S149" s="3">
        <v>3.6199999999999999E-7</v>
      </c>
      <c r="T149">
        <f t="shared" si="14"/>
        <v>543838.46695662092</v>
      </c>
    </row>
    <row r="150" spans="1:21" x14ac:dyDescent="0.25">
      <c r="A150" s="1">
        <v>43374</v>
      </c>
      <c r="B150" s="2">
        <v>0.81287037037037047</v>
      </c>
      <c r="C150">
        <v>1</v>
      </c>
      <c r="D150">
        <v>6</v>
      </c>
      <c r="E150">
        <v>173</v>
      </c>
      <c r="F150">
        <v>16</v>
      </c>
      <c r="G150">
        <v>16</v>
      </c>
      <c r="H150" s="3">
        <v>130.73580999999999</v>
      </c>
      <c r="I150" s="3">
        <v>39.871805999999999</v>
      </c>
      <c r="J150" s="3">
        <v>14.453815000000001</v>
      </c>
      <c r="K150">
        <f t="shared" si="10"/>
        <v>2081.3493600000002</v>
      </c>
      <c r="L150" s="3">
        <v>99.654717000000005</v>
      </c>
      <c r="M150" s="3">
        <v>25.724657000000001</v>
      </c>
      <c r="N150" s="3">
        <f t="shared" si="11"/>
        <v>537.9743825999999</v>
      </c>
      <c r="O150" s="3">
        <v>0.11499821</v>
      </c>
      <c r="P150" s="3">
        <v>0.14417357</v>
      </c>
      <c r="Q150" s="3">
        <f t="shared" si="12"/>
        <v>2.2539387514901731E-3</v>
      </c>
      <c r="R150" s="3">
        <f t="shared" si="13"/>
        <v>19.26199379720023</v>
      </c>
      <c r="S150" s="3">
        <v>3.6199999999999999E-7</v>
      </c>
      <c r="T150">
        <f t="shared" si="14"/>
        <v>542671.28612607089</v>
      </c>
    </row>
    <row r="151" spans="1:21" x14ac:dyDescent="0.25">
      <c r="A151" s="1">
        <v>43374</v>
      </c>
      <c r="B151" s="2">
        <v>0.81297453703703704</v>
      </c>
      <c r="C151">
        <v>1</v>
      </c>
      <c r="D151">
        <v>6</v>
      </c>
      <c r="E151">
        <v>174</v>
      </c>
      <c r="F151">
        <v>17</v>
      </c>
      <c r="G151">
        <v>17</v>
      </c>
      <c r="H151" s="3">
        <v>130.78617</v>
      </c>
      <c r="I151" s="3">
        <v>39.887166999999998</v>
      </c>
      <c r="J151" s="3">
        <v>14.455476000000001</v>
      </c>
      <c r="K151">
        <f t="shared" si="10"/>
        <v>2081.5885440000002</v>
      </c>
      <c r="L151" s="3">
        <v>99.666173999999998</v>
      </c>
      <c r="M151" s="3">
        <v>25.740493000000001</v>
      </c>
      <c r="N151" s="3">
        <f t="shared" si="11"/>
        <v>538.00288739999996</v>
      </c>
      <c r="O151" s="3">
        <v>0.11503947</v>
      </c>
      <c r="P151" s="3">
        <v>0.14407629</v>
      </c>
      <c r="Q151" s="3">
        <f t="shared" si="12"/>
        <v>2.2540783357827732E-3</v>
      </c>
      <c r="R151" s="3">
        <f t="shared" si="13"/>
        <v>19.278030058358222</v>
      </c>
      <c r="S151" s="3">
        <v>3.6199999999999999E-7</v>
      </c>
      <c r="T151">
        <f t="shared" si="14"/>
        <v>542913.94551934232</v>
      </c>
    </row>
    <row r="152" spans="1:21" x14ac:dyDescent="0.25">
      <c r="A152" s="1">
        <v>43374</v>
      </c>
      <c r="B152" s="2">
        <v>0.81309027777777787</v>
      </c>
      <c r="C152">
        <v>1</v>
      </c>
      <c r="D152">
        <v>6</v>
      </c>
      <c r="E152">
        <v>175</v>
      </c>
      <c r="F152">
        <v>18</v>
      </c>
      <c r="G152">
        <v>18</v>
      </c>
      <c r="H152" s="3">
        <v>130.70428000000001</v>
      </c>
      <c r="I152" s="3">
        <v>39.862189999999998</v>
      </c>
      <c r="J152" s="3">
        <v>14.456490000000001</v>
      </c>
      <c r="K152">
        <f t="shared" si="10"/>
        <v>2081.7345599999999</v>
      </c>
      <c r="L152" s="3">
        <v>99.673162000000005</v>
      </c>
      <c r="M152" s="3">
        <v>25.760921</v>
      </c>
      <c r="N152" s="3">
        <f t="shared" si="11"/>
        <v>538.03965779999999</v>
      </c>
      <c r="O152" s="3">
        <v>0.1149635</v>
      </c>
      <c r="P152" s="3">
        <v>0.14384985</v>
      </c>
      <c r="Q152" s="3">
        <f t="shared" si="12"/>
        <v>2.2540823935811838E-3</v>
      </c>
      <c r="R152" s="3">
        <f t="shared" si="13"/>
        <v>19.253930919083555</v>
      </c>
      <c r="S152" s="3">
        <v>3.6199999999999999E-7</v>
      </c>
      <c r="T152">
        <f t="shared" si="14"/>
        <v>542574.98400314047</v>
      </c>
      <c r="U152">
        <f>AVERAGE(T130:T152)</f>
        <v>565775.24494418129</v>
      </c>
    </row>
    <row r="153" spans="1:21" x14ac:dyDescent="0.25">
      <c r="A153" s="1">
        <v>43374</v>
      </c>
      <c r="B153" s="2">
        <v>0.81364583333333329</v>
      </c>
      <c r="C153">
        <v>1</v>
      </c>
      <c r="D153">
        <v>6</v>
      </c>
      <c r="E153">
        <v>176</v>
      </c>
      <c r="F153">
        <v>18</v>
      </c>
      <c r="G153">
        <v>18</v>
      </c>
      <c r="H153" s="3">
        <v>0</v>
      </c>
      <c r="I153" s="3">
        <v>0</v>
      </c>
      <c r="J153" s="3">
        <v>14.33854</v>
      </c>
      <c r="K153">
        <f t="shared" si="10"/>
        <v>2064.7497600000002</v>
      </c>
      <c r="L153" s="3">
        <v>98.859931000000003</v>
      </c>
      <c r="M153" s="3">
        <v>25.781963999999999</v>
      </c>
      <c r="N153" s="3">
        <f t="shared" si="11"/>
        <v>538.07753520000006</v>
      </c>
      <c r="O153" s="3">
        <v>0</v>
      </c>
      <c r="P153" s="3">
        <v>0</v>
      </c>
      <c r="Q153" s="3">
        <f t="shared" si="12"/>
        <v>2.2355340344540151E-3</v>
      </c>
      <c r="R153" s="3">
        <f t="shared" si="13"/>
        <v>0</v>
      </c>
      <c r="S153" s="3">
        <v>3.6199999999999999E-7</v>
      </c>
      <c r="T153">
        <f t="shared" si="14"/>
        <v>0</v>
      </c>
    </row>
    <row r="154" spans="1:21" x14ac:dyDescent="0.25">
      <c r="A154" s="1">
        <v>43374</v>
      </c>
      <c r="B154" s="2">
        <v>0.81636574074074064</v>
      </c>
      <c r="C154">
        <v>1</v>
      </c>
      <c r="D154">
        <v>7</v>
      </c>
      <c r="E154">
        <v>177</v>
      </c>
      <c r="F154">
        <v>0</v>
      </c>
      <c r="G154">
        <v>0</v>
      </c>
      <c r="H154" s="3">
        <v>0</v>
      </c>
      <c r="I154" s="3">
        <v>0</v>
      </c>
      <c r="J154" s="3">
        <v>14.337759999999999</v>
      </c>
      <c r="K154">
        <f t="shared" si="10"/>
        <v>2064.63744</v>
      </c>
      <c r="L154" s="3">
        <v>98.854551999999998</v>
      </c>
      <c r="M154" s="3">
        <v>25.62895</v>
      </c>
      <c r="N154" s="3">
        <f t="shared" si="11"/>
        <v>537.80210999999997</v>
      </c>
      <c r="O154" s="3">
        <v>0</v>
      </c>
      <c r="P154" s="3">
        <v>1</v>
      </c>
      <c r="Q154" s="3">
        <f t="shared" si="12"/>
        <v>2.2365572482680269E-3</v>
      </c>
      <c r="R154" s="3">
        <f t="shared" si="13"/>
        <v>0</v>
      </c>
      <c r="S154" s="3">
        <v>3.6199999999999999E-7</v>
      </c>
      <c r="T154">
        <f t="shared" si="14"/>
        <v>0</v>
      </c>
    </row>
    <row r="155" spans="1:21" x14ac:dyDescent="0.25">
      <c r="A155" s="1">
        <v>43374</v>
      </c>
      <c r="B155" s="2">
        <v>0.81759259259259265</v>
      </c>
      <c r="C155">
        <v>1</v>
      </c>
      <c r="D155">
        <v>7</v>
      </c>
      <c r="E155">
        <v>178</v>
      </c>
      <c r="F155">
        <v>-4</v>
      </c>
      <c r="G155">
        <v>-4</v>
      </c>
      <c r="H155" s="3">
        <v>155.73129</v>
      </c>
      <c r="I155" s="3">
        <v>47.494928999999999</v>
      </c>
      <c r="J155" s="3">
        <v>14.494168</v>
      </c>
      <c r="K155">
        <f t="shared" si="10"/>
        <v>2087.1601919999998</v>
      </c>
      <c r="L155" s="3">
        <v>99.932939000000005</v>
      </c>
      <c r="M155" s="3">
        <v>25.702100000000002</v>
      </c>
      <c r="N155" s="3">
        <f t="shared" si="11"/>
        <v>537.93377999999996</v>
      </c>
      <c r="O155" s="3">
        <v>0.13698998000000001</v>
      </c>
      <c r="P155" s="3">
        <v>2</v>
      </c>
      <c r="Q155" s="3">
        <f t="shared" si="12"/>
        <v>2.2604020281469465E-3</v>
      </c>
      <c r="R155" s="3">
        <f t="shared" si="13"/>
        <v>27.409900234607306</v>
      </c>
      <c r="S155" s="3">
        <v>3.6199999999999999E-7</v>
      </c>
      <c r="T155">
        <f t="shared" si="14"/>
        <v>648278.68096121599</v>
      </c>
    </row>
    <row r="156" spans="1:21" x14ac:dyDescent="0.25">
      <c r="A156" s="1">
        <v>43374</v>
      </c>
      <c r="B156" s="2">
        <v>0.81769675925925922</v>
      </c>
      <c r="C156">
        <v>1</v>
      </c>
      <c r="D156">
        <v>7</v>
      </c>
      <c r="E156">
        <v>179</v>
      </c>
      <c r="F156">
        <v>-3</v>
      </c>
      <c r="G156">
        <v>-3</v>
      </c>
      <c r="H156" s="3">
        <v>156.11021</v>
      </c>
      <c r="I156" s="3">
        <v>47.610491000000003</v>
      </c>
      <c r="J156" s="3">
        <v>14.494066</v>
      </c>
      <c r="K156">
        <f t="shared" si="10"/>
        <v>2087.1455040000001</v>
      </c>
      <c r="L156" s="3">
        <v>99.932239999999993</v>
      </c>
      <c r="M156" s="3">
        <v>25.721</v>
      </c>
      <c r="N156" s="3">
        <f t="shared" si="11"/>
        <v>537.96780000000001</v>
      </c>
      <c r="O156" s="3">
        <v>0.13731895999999999</v>
      </c>
      <c r="P156" s="3">
        <v>3</v>
      </c>
      <c r="Q156" s="3">
        <f t="shared" si="12"/>
        <v>2.2602431787248707E-3</v>
      </c>
      <c r="R156" s="3">
        <f t="shared" si="13"/>
        <v>27.541512543970367</v>
      </c>
      <c r="S156" s="3">
        <v>3.6199999999999999E-7</v>
      </c>
      <c r="T156">
        <f t="shared" si="14"/>
        <v>649810.3817344514</v>
      </c>
    </row>
    <row r="157" spans="1:21" x14ac:dyDescent="0.25">
      <c r="A157" s="1">
        <v>43374</v>
      </c>
      <c r="B157" s="2">
        <v>0.81781250000000005</v>
      </c>
      <c r="C157">
        <v>1</v>
      </c>
      <c r="D157">
        <v>7</v>
      </c>
      <c r="E157">
        <v>180</v>
      </c>
      <c r="F157">
        <v>-2</v>
      </c>
      <c r="G157">
        <v>-2</v>
      </c>
      <c r="H157" s="3">
        <v>157.43366</v>
      </c>
      <c r="I157" s="3">
        <v>48.014116999999999</v>
      </c>
      <c r="J157" s="3">
        <v>14.496362</v>
      </c>
      <c r="K157">
        <f t="shared" si="10"/>
        <v>2087.4761279999998</v>
      </c>
      <c r="L157" s="3">
        <v>99.948069000000004</v>
      </c>
      <c r="M157" s="3">
        <v>25.744143000000001</v>
      </c>
      <c r="N157" s="3">
        <f t="shared" si="11"/>
        <v>538.00945739999997</v>
      </c>
      <c r="O157" s="3">
        <v>0.13847773999999999</v>
      </c>
      <c r="P157" s="3">
        <v>4</v>
      </c>
      <c r="Q157" s="3">
        <f t="shared" si="12"/>
        <v>2.2604261875399721E-3</v>
      </c>
      <c r="R157" s="3">
        <f t="shared" si="13"/>
        <v>28.012735355352749</v>
      </c>
      <c r="S157" s="3">
        <v>3.6199999999999999E-7</v>
      </c>
      <c r="T157">
        <f t="shared" si="14"/>
        <v>655372.31650877383</v>
      </c>
    </row>
    <row r="158" spans="1:21" x14ac:dyDescent="0.25">
      <c r="A158" s="1">
        <v>43374</v>
      </c>
      <c r="B158" s="2">
        <v>0.81791666666666663</v>
      </c>
      <c r="C158">
        <v>1</v>
      </c>
      <c r="D158">
        <v>7</v>
      </c>
      <c r="E158">
        <v>181</v>
      </c>
      <c r="F158">
        <v>-1</v>
      </c>
      <c r="G158">
        <v>-1</v>
      </c>
      <c r="H158" s="3">
        <v>158.65088</v>
      </c>
      <c r="I158" s="3">
        <v>48.385345999999998</v>
      </c>
      <c r="J158" s="3">
        <v>14.49912</v>
      </c>
      <c r="K158">
        <f t="shared" si="10"/>
        <v>2087.8732799999998</v>
      </c>
      <c r="L158" s="3">
        <v>99.967083000000002</v>
      </c>
      <c r="M158" s="3">
        <v>25.764264000000001</v>
      </c>
      <c r="N158" s="3">
        <f t="shared" si="11"/>
        <v>538.04567520000001</v>
      </c>
      <c r="O158" s="3">
        <v>0.13954370999999999</v>
      </c>
      <c r="P158" s="3">
        <v>5</v>
      </c>
      <c r="Q158" s="3">
        <f t="shared" si="12"/>
        <v>2.2607040576805254E-3</v>
      </c>
      <c r="R158" s="3">
        <f t="shared" si="13"/>
        <v>28.451075550714538</v>
      </c>
      <c r="S158" s="3">
        <v>3.6199999999999999E-7</v>
      </c>
      <c r="T158">
        <f t="shared" si="14"/>
        <v>660520.6043657203</v>
      </c>
    </row>
    <row r="159" spans="1:21" x14ac:dyDescent="0.25">
      <c r="A159" s="1">
        <v>43374</v>
      </c>
      <c r="B159" s="2">
        <v>0.81803240740740746</v>
      </c>
      <c r="C159">
        <v>1</v>
      </c>
      <c r="D159">
        <v>7</v>
      </c>
      <c r="E159">
        <v>182</v>
      </c>
      <c r="F159">
        <v>0</v>
      </c>
      <c r="G159">
        <v>0</v>
      </c>
      <c r="H159" s="3">
        <v>159.93201999999999</v>
      </c>
      <c r="I159" s="3">
        <v>48.776066</v>
      </c>
      <c r="J159" s="3">
        <v>14.501526999999999</v>
      </c>
      <c r="K159">
        <f t="shared" si="10"/>
        <v>2088.2198880000001</v>
      </c>
      <c r="L159" s="3">
        <v>99.983675000000005</v>
      </c>
      <c r="M159" s="3">
        <v>25.775229</v>
      </c>
      <c r="N159" s="3">
        <f t="shared" si="11"/>
        <v>538.06541219999997</v>
      </c>
      <c r="O159" s="3">
        <v>0.14066797</v>
      </c>
      <c r="P159" s="3">
        <v>6</v>
      </c>
      <c r="Q159" s="3">
        <f t="shared" si="12"/>
        <v>2.2609964177435194E-3</v>
      </c>
      <c r="R159" s="3">
        <f t="shared" si="13"/>
        <v>28.916166965629746</v>
      </c>
      <c r="S159" s="3">
        <v>3.6199999999999999E-7</v>
      </c>
      <c r="T159">
        <f t="shared" si="14"/>
        <v>665940.56040973275</v>
      </c>
    </row>
    <row r="160" spans="1:21" x14ac:dyDescent="0.25">
      <c r="A160" s="1">
        <v>43374</v>
      </c>
      <c r="B160" s="2">
        <v>0.81813657407407403</v>
      </c>
      <c r="C160">
        <v>1</v>
      </c>
      <c r="D160">
        <v>7</v>
      </c>
      <c r="E160">
        <v>183</v>
      </c>
      <c r="F160">
        <v>1</v>
      </c>
      <c r="G160">
        <v>1</v>
      </c>
      <c r="H160" s="3">
        <v>161.20438999999999</v>
      </c>
      <c r="I160" s="3">
        <v>49.164116</v>
      </c>
      <c r="J160" s="3">
        <v>14.503113000000001</v>
      </c>
      <c r="K160">
        <f t="shared" si="10"/>
        <v>2088.4482720000001</v>
      </c>
      <c r="L160" s="3">
        <v>99.994612000000004</v>
      </c>
      <c r="M160" s="3">
        <v>25.789549999999998</v>
      </c>
      <c r="N160" s="3">
        <f t="shared" si="11"/>
        <v>538.09118999999998</v>
      </c>
      <c r="O160" s="3">
        <v>0.14178368999999999</v>
      </c>
      <c r="P160" s="3">
        <v>7</v>
      </c>
      <c r="Q160" s="3">
        <f t="shared" si="12"/>
        <v>2.261135370776123E-3</v>
      </c>
      <c r="R160" s="3">
        <f t="shared" si="13"/>
        <v>29.379898909524321</v>
      </c>
      <c r="S160" s="3">
        <v>3.6199999999999999E-7</v>
      </c>
      <c r="T160">
        <f t="shared" si="14"/>
        <v>671279.8308533862</v>
      </c>
    </row>
    <row r="161" spans="1:20" x14ac:dyDescent="0.25">
      <c r="A161" s="1">
        <v>43374</v>
      </c>
      <c r="B161" s="2">
        <v>0.81825231481481486</v>
      </c>
      <c r="C161">
        <v>1</v>
      </c>
      <c r="D161">
        <v>7</v>
      </c>
      <c r="E161">
        <v>184</v>
      </c>
      <c r="F161">
        <v>2</v>
      </c>
      <c r="G161">
        <v>2</v>
      </c>
      <c r="H161" s="3">
        <v>161.47891999999999</v>
      </c>
      <c r="I161" s="3">
        <v>49.247841000000001</v>
      </c>
      <c r="J161" s="3">
        <v>14.504111999999999</v>
      </c>
      <c r="K161">
        <f t="shared" si="10"/>
        <v>2088.5921279999998</v>
      </c>
      <c r="L161" s="3">
        <v>100.00149999999999</v>
      </c>
      <c r="M161" s="3">
        <v>25.802970999999999</v>
      </c>
      <c r="N161" s="3">
        <f t="shared" si="11"/>
        <v>538.1153478</v>
      </c>
      <c r="O161" s="3">
        <v>0.14202195000000001</v>
      </c>
      <c r="P161" s="3">
        <v>8</v>
      </c>
      <c r="Q161" s="3">
        <f t="shared" si="12"/>
        <v>2.2611896048369707E-3</v>
      </c>
      <c r="R161" s="3">
        <f t="shared" si="13"/>
        <v>29.480758748663376</v>
      </c>
      <c r="S161" s="3">
        <v>3.6199999999999999E-7</v>
      </c>
      <c r="T161">
        <f t="shared" si="14"/>
        <v>672439.1442068154</v>
      </c>
    </row>
    <row r="162" spans="1:20" x14ac:dyDescent="0.25">
      <c r="A162" s="1">
        <v>43374</v>
      </c>
      <c r="B162" s="2">
        <v>0.81835648148148143</v>
      </c>
      <c r="C162">
        <v>1</v>
      </c>
      <c r="D162">
        <v>7</v>
      </c>
      <c r="E162">
        <v>185</v>
      </c>
      <c r="F162">
        <v>3</v>
      </c>
      <c r="G162">
        <v>3</v>
      </c>
      <c r="H162" s="3">
        <v>161.08897999999999</v>
      </c>
      <c r="I162" s="3">
        <v>49.128917000000001</v>
      </c>
      <c r="J162" s="3">
        <v>14.503907</v>
      </c>
      <c r="K162">
        <f t="shared" si="10"/>
        <v>2088.5626080000002</v>
      </c>
      <c r="L162" s="3">
        <v>100.00009</v>
      </c>
      <c r="M162" s="3">
        <v>25.822770999999999</v>
      </c>
      <c r="N162" s="3">
        <f t="shared" si="11"/>
        <v>538.15098779999994</v>
      </c>
      <c r="O162" s="3">
        <v>0.14167431</v>
      </c>
      <c r="P162" s="3">
        <v>9</v>
      </c>
      <c r="Q162" s="3">
        <f t="shared" si="12"/>
        <v>2.2610078961973557E-3</v>
      </c>
      <c r="R162" s="3">
        <f t="shared" si="13"/>
        <v>29.33619249106264</v>
      </c>
      <c r="S162" s="3">
        <v>3.6199999999999999E-7</v>
      </c>
      <c r="T162">
        <f t="shared" si="14"/>
        <v>670761.42867472908</v>
      </c>
    </row>
    <row r="163" spans="1:20" x14ac:dyDescent="0.25">
      <c r="A163" s="1">
        <v>43374</v>
      </c>
      <c r="B163" s="2">
        <v>0.81847222222222227</v>
      </c>
      <c r="C163">
        <v>1</v>
      </c>
      <c r="D163">
        <v>7</v>
      </c>
      <c r="E163">
        <v>186</v>
      </c>
      <c r="F163">
        <v>4</v>
      </c>
      <c r="G163">
        <v>4</v>
      </c>
      <c r="H163" s="3">
        <v>160.48849999999999</v>
      </c>
      <c r="I163" s="3">
        <v>48.945784000000003</v>
      </c>
      <c r="J163" s="3">
        <v>14.502528</v>
      </c>
      <c r="K163">
        <f t="shared" si="10"/>
        <v>2088.364032</v>
      </c>
      <c r="L163" s="3">
        <v>99.990582000000003</v>
      </c>
      <c r="M163" s="3">
        <v>25.843506999999999</v>
      </c>
      <c r="N163" s="3">
        <f t="shared" si="11"/>
        <v>538.1883125999999</v>
      </c>
      <c r="O163" s="3">
        <v>0.14114130999999999</v>
      </c>
      <c r="P163" s="3">
        <v>10</v>
      </c>
      <c r="Q163" s="3">
        <f t="shared" si="12"/>
        <v>2.260636132433031E-3</v>
      </c>
      <c r="R163" s="3">
        <f t="shared" si="13"/>
        <v>29.113103545597113</v>
      </c>
      <c r="S163" s="3">
        <v>3.6199999999999999E-7</v>
      </c>
      <c r="T163">
        <f t="shared" si="14"/>
        <v>668151.20062611136</v>
      </c>
    </row>
    <row r="164" spans="1:20" x14ac:dyDescent="0.25">
      <c r="A164" s="1">
        <v>43374</v>
      </c>
      <c r="B164" s="2">
        <v>0.81857638888888884</v>
      </c>
      <c r="C164">
        <v>1</v>
      </c>
      <c r="D164">
        <v>7</v>
      </c>
      <c r="E164">
        <v>187</v>
      </c>
      <c r="F164">
        <v>5</v>
      </c>
      <c r="G164">
        <v>5</v>
      </c>
      <c r="H164" s="3">
        <v>159.23139</v>
      </c>
      <c r="I164" s="3">
        <v>48.562390000000001</v>
      </c>
      <c r="J164" s="3">
        <v>14.499674000000001</v>
      </c>
      <c r="K164">
        <f t="shared" si="10"/>
        <v>2087.9530560000003</v>
      </c>
      <c r="L164" s="3">
        <v>99.970901999999995</v>
      </c>
      <c r="M164" s="3">
        <v>25.855699999999999</v>
      </c>
      <c r="N164" s="3">
        <f t="shared" si="11"/>
        <v>538.21025999999995</v>
      </c>
      <c r="O164" s="3">
        <v>0.14003288999999999</v>
      </c>
      <c r="P164" s="3">
        <v>11</v>
      </c>
      <c r="Q164" s="3">
        <f t="shared" si="12"/>
        <v>2.2600990872626635E-3</v>
      </c>
      <c r="R164" s="3">
        <f t="shared" si="13"/>
        <v>28.651994345022079</v>
      </c>
      <c r="S164" s="3">
        <v>3.6199999999999999E-7</v>
      </c>
      <c r="T164">
        <f t="shared" si="14"/>
        <v>662760.07219625276</v>
      </c>
    </row>
    <row r="165" spans="1:20" x14ac:dyDescent="0.25">
      <c r="A165" s="1">
        <v>43374</v>
      </c>
      <c r="B165" s="2">
        <v>0.81869212962962967</v>
      </c>
      <c r="C165">
        <v>1</v>
      </c>
      <c r="D165">
        <v>7</v>
      </c>
      <c r="E165">
        <v>188</v>
      </c>
      <c r="F165">
        <v>6</v>
      </c>
      <c r="G165">
        <v>6</v>
      </c>
      <c r="H165" s="3">
        <v>158.2987</v>
      </c>
      <c r="I165" s="3">
        <v>48.277937999999999</v>
      </c>
      <c r="J165" s="3">
        <v>14.497934000000001</v>
      </c>
      <c r="K165">
        <f t="shared" si="10"/>
        <v>2087.7024959999999</v>
      </c>
      <c r="L165" s="3">
        <v>99.958907999999994</v>
      </c>
      <c r="M165" s="3">
        <v>25.877635999999999</v>
      </c>
      <c r="N165" s="3">
        <f t="shared" si="11"/>
        <v>538.24974479999992</v>
      </c>
      <c r="O165" s="3">
        <v>0.13920755000000001</v>
      </c>
      <c r="P165" s="3">
        <v>12</v>
      </c>
      <c r="Q165" s="3">
        <f t="shared" si="12"/>
        <v>2.2596620933455101E-3</v>
      </c>
      <c r="R165" s="3">
        <f t="shared" si="13"/>
        <v>28.31184690320466</v>
      </c>
      <c r="S165" s="3">
        <v>3.6199999999999999E-7</v>
      </c>
      <c r="T165">
        <f t="shared" si="14"/>
        <v>658750.59266274935</v>
      </c>
    </row>
    <row r="166" spans="1:20" x14ac:dyDescent="0.25">
      <c r="A166" s="1">
        <v>43374</v>
      </c>
      <c r="B166" s="2">
        <v>0.81879629629629624</v>
      </c>
      <c r="C166">
        <v>1</v>
      </c>
      <c r="D166">
        <v>7</v>
      </c>
      <c r="E166">
        <v>189</v>
      </c>
      <c r="F166">
        <v>7</v>
      </c>
      <c r="G166">
        <v>7</v>
      </c>
      <c r="H166" s="3">
        <v>156.67478</v>
      </c>
      <c r="I166" s="3">
        <v>47.782676000000002</v>
      </c>
      <c r="J166" s="3">
        <v>14.495298999999999</v>
      </c>
      <c r="K166">
        <f t="shared" si="10"/>
        <v>2087.3230559999997</v>
      </c>
      <c r="L166" s="3">
        <v>99.940738999999994</v>
      </c>
      <c r="M166" s="3">
        <v>25.902335999999998</v>
      </c>
      <c r="N166" s="3">
        <f t="shared" si="11"/>
        <v>538.29420479999999</v>
      </c>
      <c r="O166" s="3">
        <v>0.13777379000000001</v>
      </c>
      <c r="P166" s="3">
        <v>13</v>
      </c>
      <c r="Q166" s="3">
        <f t="shared" si="12"/>
        <v>2.2590647985336028E-3</v>
      </c>
      <c r="R166" s="3">
        <f t="shared" si="13"/>
        <v>27.726616768521545</v>
      </c>
      <c r="S166" s="3">
        <v>3.6199999999999999E-7</v>
      </c>
      <c r="T166">
        <f t="shared" si="14"/>
        <v>651820.40573848365</v>
      </c>
    </row>
    <row r="167" spans="1:20" x14ac:dyDescent="0.25">
      <c r="A167" s="1">
        <v>43374</v>
      </c>
      <c r="B167" s="2">
        <v>0.81891203703703708</v>
      </c>
      <c r="C167">
        <v>1</v>
      </c>
      <c r="D167">
        <v>7</v>
      </c>
      <c r="E167">
        <v>190</v>
      </c>
      <c r="F167">
        <v>8</v>
      </c>
      <c r="G167">
        <v>8</v>
      </c>
      <c r="H167" s="3">
        <v>155.3228</v>
      </c>
      <c r="I167" s="3">
        <v>47.370348</v>
      </c>
      <c r="J167" s="3">
        <v>14.493335999999999</v>
      </c>
      <c r="K167">
        <f t="shared" si="10"/>
        <v>2087.0403839999999</v>
      </c>
      <c r="L167" s="3">
        <v>99.927201999999994</v>
      </c>
      <c r="M167" s="3">
        <v>25.922743000000001</v>
      </c>
      <c r="N167" s="3">
        <f t="shared" si="11"/>
        <v>538.33093740000004</v>
      </c>
      <c r="O167" s="3">
        <v>0.13658024999999999</v>
      </c>
      <c r="P167" s="3">
        <v>14</v>
      </c>
      <c r="Q167" s="3">
        <f t="shared" si="12"/>
        <v>2.2586047440298408E-3</v>
      </c>
      <c r="R167" s="3">
        <f t="shared" si="13"/>
        <v>27.244614190547725</v>
      </c>
      <c r="S167" s="3">
        <v>3.6199999999999999E-7</v>
      </c>
      <c r="T167">
        <f t="shared" si="14"/>
        <v>646064.11222099105</v>
      </c>
    </row>
    <row r="168" spans="1:20" x14ac:dyDescent="0.25">
      <c r="A168" s="1">
        <v>43374</v>
      </c>
      <c r="B168" s="2">
        <v>0.81901620370370365</v>
      </c>
      <c r="C168">
        <v>1</v>
      </c>
      <c r="D168">
        <v>7</v>
      </c>
      <c r="E168">
        <v>191</v>
      </c>
      <c r="F168">
        <v>9</v>
      </c>
      <c r="G168">
        <v>9</v>
      </c>
      <c r="H168" s="3">
        <v>154.58452</v>
      </c>
      <c r="I168" s="3">
        <v>47.145187</v>
      </c>
      <c r="J168" s="3">
        <v>14.491735</v>
      </c>
      <c r="K168">
        <f t="shared" si="10"/>
        <v>2086.8098399999999</v>
      </c>
      <c r="L168" s="3">
        <v>99.916167000000002</v>
      </c>
      <c r="M168" s="3">
        <v>25.943163999999999</v>
      </c>
      <c r="N168" s="3">
        <f t="shared" si="11"/>
        <v>538.36769520000007</v>
      </c>
      <c r="O168" s="3">
        <v>0.13592641</v>
      </c>
      <c r="P168" s="3">
        <v>15</v>
      </c>
      <c r="Q168" s="3">
        <f t="shared" si="12"/>
        <v>2.2582010559158362E-3</v>
      </c>
      <c r="R168" s="3">
        <f t="shared" si="13"/>
        <v>26.981408300540856</v>
      </c>
      <c r="S168" s="3">
        <v>3.6199999999999999E-7</v>
      </c>
      <c r="T168">
        <f t="shared" si="14"/>
        <v>642878.31729694793</v>
      </c>
    </row>
    <row r="169" spans="1:20" x14ac:dyDescent="0.25">
      <c r="A169" s="1">
        <v>43374</v>
      </c>
      <c r="B169" s="2">
        <v>0.81913194444444448</v>
      </c>
      <c r="C169">
        <v>1</v>
      </c>
      <c r="D169">
        <v>7</v>
      </c>
      <c r="E169">
        <v>192</v>
      </c>
      <c r="F169">
        <v>10</v>
      </c>
      <c r="G169">
        <v>10</v>
      </c>
      <c r="H169" s="3">
        <v>153.84137999999999</v>
      </c>
      <c r="I169" s="3">
        <v>46.918545000000002</v>
      </c>
      <c r="J169" s="3">
        <v>14.490224</v>
      </c>
      <c r="K169">
        <f t="shared" si="10"/>
        <v>2086.5922559999999</v>
      </c>
      <c r="L169" s="3">
        <v>99.905749999999998</v>
      </c>
      <c r="M169" s="3">
        <v>25.965706999999998</v>
      </c>
      <c r="N169" s="3">
        <f t="shared" si="11"/>
        <v>538.40827260000003</v>
      </c>
      <c r="O169" s="3">
        <v>0.13526787000000001</v>
      </c>
      <c r="P169" s="3">
        <v>16</v>
      </c>
      <c r="Q169" s="3">
        <f t="shared" si="12"/>
        <v>2.2577954289128483E-3</v>
      </c>
      <c r="R169" s="3">
        <f t="shared" si="13"/>
        <v>26.717814346774826</v>
      </c>
      <c r="S169" s="3">
        <v>3.6199999999999999E-7</v>
      </c>
      <c r="T169">
        <f t="shared" si="14"/>
        <v>639672.86287595669</v>
      </c>
    </row>
    <row r="170" spans="1:20" x14ac:dyDescent="0.25">
      <c r="A170" s="1">
        <v>43374</v>
      </c>
      <c r="B170" s="2">
        <v>0.81923611111111105</v>
      </c>
      <c r="C170">
        <v>1</v>
      </c>
      <c r="D170">
        <v>7</v>
      </c>
      <c r="E170">
        <v>193</v>
      </c>
      <c r="F170">
        <v>11</v>
      </c>
      <c r="G170">
        <v>11</v>
      </c>
      <c r="H170" s="3">
        <v>152.96638999999999</v>
      </c>
      <c r="I170" s="3">
        <v>46.651690000000002</v>
      </c>
      <c r="J170" s="3">
        <v>14.489003</v>
      </c>
      <c r="K170">
        <f t="shared" si="10"/>
        <v>2086.416432</v>
      </c>
      <c r="L170" s="3">
        <v>99.897332000000006</v>
      </c>
      <c r="M170" s="3">
        <v>25.982479000000001</v>
      </c>
      <c r="N170" s="3">
        <f t="shared" si="11"/>
        <v>538.4384622</v>
      </c>
      <c r="O170" s="3">
        <v>0.13449475</v>
      </c>
      <c r="P170" s="3">
        <v>17</v>
      </c>
      <c r="Q170" s="3">
        <f t="shared" si="12"/>
        <v>2.2574785974789797E-3</v>
      </c>
      <c r="R170" s="3">
        <f t="shared" si="13"/>
        <v>26.411050819336687</v>
      </c>
      <c r="S170" s="3">
        <v>3.6199999999999999E-7</v>
      </c>
      <c r="T170">
        <f t="shared" si="14"/>
        <v>635945.39881882619</v>
      </c>
    </row>
    <row r="171" spans="1:20" x14ac:dyDescent="0.25">
      <c r="A171" s="1">
        <v>43374</v>
      </c>
      <c r="B171" s="2">
        <v>0.81935185185185189</v>
      </c>
      <c r="C171">
        <v>1</v>
      </c>
      <c r="D171">
        <v>7</v>
      </c>
      <c r="E171">
        <v>194</v>
      </c>
      <c r="F171">
        <v>12</v>
      </c>
      <c r="G171">
        <v>12</v>
      </c>
      <c r="H171" s="3">
        <v>152.06031999999999</v>
      </c>
      <c r="I171" s="3">
        <v>46.375357000000001</v>
      </c>
      <c r="J171" s="3">
        <v>14.488301</v>
      </c>
      <c r="K171">
        <f t="shared" si="10"/>
        <v>2086.3153440000001</v>
      </c>
      <c r="L171" s="3">
        <v>99.892488999999998</v>
      </c>
      <c r="M171" s="3">
        <v>25.998936</v>
      </c>
      <c r="N171" s="3">
        <f t="shared" si="11"/>
        <v>538.46808480000004</v>
      </c>
      <c r="O171" s="3">
        <v>0.13369441000000001</v>
      </c>
      <c r="P171" s="3">
        <v>18</v>
      </c>
      <c r="Q171" s="3">
        <f t="shared" si="12"/>
        <v>2.2572450373787578E-3</v>
      </c>
      <c r="R171" s="3">
        <f t="shared" si="13"/>
        <v>26.09639464543466</v>
      </c>
      <c r="S171" s="3">
        <v>3.6199999999999999E-7</v>
      </c>
      <c r="T171">
        <f t="shared" si="14"/>
        <v>632113.08048292063</v>
      </c>
    </row>
    <row r="172" spans="1:20" x14ac:dyDescent="0.25">
      <c r="A172" s="1">
        <v>43374</v>
      </c>
      <c r="B172" s="2">
        <v>0.81945601851851846</v>
      </c>
      <c r="C172">
        <v>1</v>
      </c>
      <c r="D172">
        <v>7</v>
      </c>
      <c r="E172">
        <v>195</v>
      </c>
      <c r="F172">
        <v>13</v>
      </c>
      <c r="G172">
        <v>13</v>
      </c>
      <c r="H172" s="3">
        <v>151.08843999999999</v>
      </c>
      <c r="I172" s="3">
        <v>46.078952999999998</v>
      </c>
      <c r="J172" s="3">
        <v>14.486991</v>
      </c>
      <c r="K172">
        <f t="shared" si="10"/>
        <v>2086.1267039999998</v>
      </c>
      <c r="L172" s="3">
        <v>99.883453000000003</v>
      </c>
      <c r="M172" s="3">
        <v>26.016006999999998</v>
      </c>
      <c r="N172" s="3">
        <f t="shared" si="11"/>
        <v>538.49881259999995</v>
      </c>
      <c r="O172" s="3">
        <v>0.13283613</v>
      </c>
      <c r="P172" s="3">
        <v>19</v>
      </c>
      <c r="Q172" s="3">
        <f t="shared" si="12"/>
        <v>2.2569121511059041E-3</v>
      </c>
      <c r="R172" s="3">
        <f t="shared" si="13"/>
        <v>25.760075602960029</v>
      </c>
      <c r="S172" s="3">
        <v>3.6199999999999999E-7</v>
      </c>
      <c r="T172">
        <f t="shared" si="14"/>
        <v>627980.36119269859</v>
      </c>
    </row>
    <row r="173" spans="1:20" x14ac:dyDescent="0.25">
      <c r="A173" s="1">
        <v>43374</v>
      </c>
      <c r="B173" s="2">
        <v>0.81957175925925929</v>
      </c>
      <c r="C173">
        <v>1</v>
      </c>
      <c r="D173">
        <v>7</v>
      </c>
      <c r="E173">
        <v>196</v>
      </c>
      <c r="F173">
        <v>14</v>
      </c>
      <c r="G173">
        <v>14</v>
      </c>
      <c r="H173" s="3">
        <v>150.18072000000001</v>
      </c>
      <c r="I173" s="3">
        <v>45.802115999999998</v>
      </c>
      <c r="J173" s="3">
        <v>14.485110000000001</v>
      </c>
      <c r="K173">
        <f t="shared" si="10"/>
        <v>2085.8558400000002</v>
      </c>
      <c r="L173" s="3">
        <v>99.870485000000002</v>
      </c>
      <c r="M173" s="3">
        <v>26.026071000000002</v>
      </c>
      <c r="N173" s="3">
        <f t="shared" si="11"/>
        <v>538.51692779999996</v>
      </c>
      <c r="O173" s="3">
        <v>0.13203583999999999</v>
      </c>
      <c r="P173" s="3">
        <v>20</v>
      </c>
      <c r="Q173" s="3">
        <f t="shared" si="12"/>
        <v>2.2565432016841943E-3</v>
      </c>
      <c r="R173" s="3">
        <f t="shared" si="13"/>
        <v>25.447318241091207</v>
      </c>
      <c r="S173" s="3">
        <v>3.6199999999999999E-7</v>
      </c>
      <c r="T173">
        <f t="shared" si="14"/>
        <v>624105.49307557556</v>
      </c>
    </row>
    <row r="174" spans="1:20" x14ac:dyDescent="0.25">
      <c r="A174" s="1">
        <v>43374</v>
      </c>
      <c r="B174" s="2">
        <v>0.81967592592592586</v>
      </c>
      <c r="C174">
        <v>1</v>
      </c>
      <c r="D174">
        <v>7</v>
      </c>
      <c r="E174">
        <v>197</v>
      </c>
      <c r="F174">
        <v>15</v>
      </c>
      <c r="G174">
        <v>15</v>
      </c>
      <c r="H174" s="3">
        <v>149.77350999999999</v>
      </c>
      <c r="I174" s="3">
        <v>45.677925000000002</v>
      </c>
      <c r="J174" s="3">
        <v>14.484489999999999</v>
      </c>
      <c r="K174">
        <f t="shared" si="10"/>
        <v>2085.76656</v>
      </c>
      <c r="L174" s="3">
        <v>99.866211000000007</v>
      </c>
      <c r="M174" s="3">
        <v>26.042814</v>
      </c>
      <c r="N174" s="3">
        <f t="shared" si="11"/>
        <v>538.54706520000002</v>
      </c>
      <c r="O174" s="3">
        <v>0.13167414999999999</v>
      </c>
      <c r="P174" s="3">
        <v>21</v>
      </c>
      <c r="Q174" s="3">
        <f t="shared" si="12"/>
        <v>2.2563203437899844E-3</v>
      </c>
      <c r="R174" s="3">
        <f t="shared" si="13"/>
        <v>25.307006640482296</v>
      </c>
      <c r="S174" s="3">
        <v>3.6199999999999999E-7</v>
      </c>
      <c r="T174">
        <f t="shared" si="14"/>
        <v>622351.78190392756</v>
      </c>
    </row>
    <row r="175" spans="1:20" x14ac:dyDescent="0.25">
      <c r="A175" s="1">
        <v>43374</v>
      </c>
      <c r="B175" s="2">
        <v>0.8197916666666667</v>
      </c>
      <c r="C175">
        <v>1</v>
      </c>
      <c r="D175">
        <v>7</v>
      </c>
      <c r="E175">
        <v>198</v>
      </c>
      <c r="F175">
        <v>16</v>
      </c>
      <c r="G175">
        <v>16</v>
      </c>
      <c r="H175" s="3">
        <v>148.74478999999999</v>
      </c>
      <c r="I175" s="3">
        <v>45.364187000000001</v>
      </c>
      <c r="J175" s="3">
        <v>14.485758000000001</v>
      </c>
      <c r="K175">
        <f t="shared" si="10"/>
        <v>2085.9491520000001</v>
      </c>
      <c r="L175" s="3">
        <v>99.874954000000002</v>
      </c>
      <c r="M175" s="3">
        <v>26.056843000000001</v>
      </c>
      <c r="N175" s="3">
        <f t="shared" si="11"/>
        <v>538.57231739999997</v>
      </c>
      <c r="O175" s="3">
        <v>0.13076668</v>
      </c>
      <c r="P175" s="3">
        <v>22</v>
      </c>
      <c r="Q175" s="3">
        <f t="shared" si="12"/>
        <v>2.2564120643723761E-3</v>
      </c>
      <c r="R175" s="3">
        <f t="shared" si="13"/>
        <v>24.961572623524098</v>
      </c>
      <c r="S175" s="3">
        <v>3.6199999999999999E-7</v>
      </c>
      <c r="T175">
        <f t="shared" si="14"/>
        <v>618102.28115752409</v>
      </c>
    </row>
    <row r="176" spans="1:20" x14ac:dyDescent="0.25">
      <c r="A176" s="1">
        <v>43374</v>
      </c>
      <c r="B176" s="2">
        <v>0.81989583333333327</v>
      </c>
      <c r="C176">
        <v>1</v>
      </c>
      <c r="D176">
        <v>7</v>
      </c>
      <c r="E176">
        <v>199</v>
      </c>
      <c r="F176">
        <v>17</v>
      </c>
      <c r="G176">
        <v>17</v>
      </c>
      <c r="H176" s="3">
        <v>149.29238000000001</v>
      </c>
      <c r="I176" s="3">
        <v>45.531191</v>
      </c>
      <c r="J176" s="3">
        <v>14.490524000000001</v>
      </c>
      <c r="K176">
        <f t="shared" si="10"/>
        <v>2086.635456</v>
      </c>
      <c r="L176" s="3">
        <v>99.907814000000002</v>
      </c>
      <c r="M176" s="3">
        <v>26.072379000000002</v>
      </c>
      <c r="N176" s="3">
        <f t="shared" si="11"/>
        <v>538.60028220000004</v>
      </c>
      <c r="O176" s="3">
        <v>0.13124468</v>
      </c>
      <c r="P176" s="3">
        <v>23</v>
      </c>
      <c r="Q176" s="3">
        <f t="shared" si="12"/>
        <v>2.2570372585737834E-3</v>
      </c>
      <c r="R176" s="3">
        <f t="shared" si="13"/>
        <v>25.152665531910113</v>
      </c>
      <c r="S176" s="3">
        <v>3.6199999999999999E-7</v>
      </c>
      <c r="T176">
        <f t="shared" si="14"/>
        <v>620549.65760802128</v>
      </c>
    </row>
    <row r="177" spans="1:21" x14ac:dyDescent="0.25">
      <c r="A177" s="1">
        <v>43374</v>
      </c>
      <c r="B177" s="2">
        <v>0.8200115740740741</v>
      </c>
      <c r="C177">
        <v>1</v>
      </c>
      <c r="D177">
        <v>7</v>
      </c>
      <c r="E177">
        <v>200</v>
      </c>
      <c r="F177">
        <v>18</v>
      </c>
      <c r="G177">
        <v>18</v>
      </c>
      <c r="H177" s="3">
        <v>148.81494000000001</v>
      </c>
      <c r="I177" s="3">
        <v>45.385581000000002</v>
      </c>
      <c r="J177" s="3">
        <v>14.490847</v>
      </c>
      <c r="K177">
        <f t="shared" si="10"/>
        <v>2086.6819679999999</v>
      </c>
      <c r="L177" s="3">
        <v>99.910041000000007</v>
      </c>
      <c r="M177" s="3">
        <v>26.086707000000001</v>
      </c>
      <c r="N177" s="3">
        <f t="shared" si="11"/>
        <v>538.62607259999993</v>
      </c>
      <c r="O177" s="3">
        <v>0.13082182000000001</v>
      </c>
      <c r="P177" s="3">
        <v>24</v>
      </c>
      <c r="Q177" s="3">
        <f t="shared" si="12"/>
        <v>2.2569794954283946E-3</v>
      </c>
      <c r="R177" s="3">
        <f t="shared" si="13"/>
        <v>24.991405719432873</v>
      </c>
      <c r="S177" s="3">
        <v>3.6199999999999999E-7</v>
      </c>
      <c r="T177" s="3">
        <f>Q177*H177*8/12/S177</f>
        <v>618549.29685710289</v>
      </c>
      <c r="U177">
        <f>AVERAGE(T155:T177)</f>
        <v>646269.47227951814</v>
      </c>
    </row>
    <row r="178" spans="1:21" x14ac:dyDescent="0.25">
      <c r="A178" s="1">
        <v>43374</v>
      </c>
      <c r="B178" s="2">
        <v>0.82052083333333325</v>
      </c>
      <c r="C178">
        <v>1</v>
      </c>
      <c r="D178">
        <v>7</v>
      </c>
      <c r="E178">
        <v>201</v>
      </c>
      <c r="F178">
        <v>18</v>
      </c>
      <c r="G178">
        <v>18</v>
      </c>
      <c r="H178" s="3">
        <v>0</v>
      </c>
      <c r="I178" s="3">
        <v>0</v>
      </c>
      <c r="J178" s="3">
        <v>14.338905</v>
      </c>
      <c r="K178">
        <f t="shared" si="10"/>
        <v>2064.8023200000002</v>
      </c>
      <c r="L178" s="3">
        <v>98.862449999999995</v>
      </c>
      <c r="M178" s="3">
        <v>26.1053</v>
      </c>
      <c r="N178" s="3">
        <f t="shared" si="11"/>
        <v>538.65953999999999</v>
      </c>
      <c r="O178" s="3">
        <v>0</v>
      </c>
      <c r="P178" s="3">
        <v>25</v>
      </c>
      <c r="Q178" s="3">
        <f t="shared" si="12"/>
        <v>2.233175455765075E-3</v>
      </c>
      <c r="R178" s="3">
        <f t="shared" si="13"/>
        <v>0</v>
      </c>
      <c r="S178" s="3">
        <v>3.6199999999999999E-7</v>
      </c>
      <c r="T178">
        <f t="shared" si="14"/>
        <v>0</v>
      </c>
    </row>
    <row r="179" spans="1:21" x14ac:dyDescent="0.25">
      <c r="A179" s="1">
        <v>43374</v>
      </c>
      <c r="B179" s="2">
        <v>0.82184027777777768</v>
      </c>
      <c r="C179">
        <v>1</v>
      </c>
      <c r="D179">
        <v>7</v>
      </c>
      <c r="E179">
        <v>202</v>
      </c>
      <c r="F179">
        <v>0</v>
      </c>
      <c r="G179">
        <v>0</v>
      </c>
      <c r="H179" s="3">
        <v>0</v>
      </c>
      <c r="I179" s="3">
        <v>0</v>
      </c>
      <c r="J179" s="3">
        <v>14.339048999999999</v>
      </c>
      <c r="K179">
        <f t="shared" si="10"/>
        <v>2064.8230559999997</v>
      </c>
      <c r="L179" s="3">
        <v>98.863440999999995</v>
      </c>
      <c r="M179" s="3">
        <v>26.065999999999999</v>
      </c>
      <c r="N179" s="3">
        <f t="shared" si="11"/>
        <v>538.58879999999988</v>
      </c>
      <c r="O179" s="3">
        <v>0</v>
      </c>
      <c r="P179" s="3">
        <v>26</v>
      </c>
      <c r="Q179" s="3">
        <f t="shared" si="12"/>
        <v>2.2334911981241328E-3</v>
      </c>
      <c r="R179" s="3">
        <f t="shared" si="13"/>
        <v>0</v>
      </c>
      <c r="S179" s="3">
        <v>3.6199999999999999E-7</v>
      </c>
      <c r="T179">
        <f t="shared" si="14"/>
        <v>0</v>
      </c>
    </row>
    <row r="180" spans="1:21" x14ac:dyDescent="0.25">
      <c r="A180" s="1">
        <v>43374</v>
      </c>
      <c r="B180" s="2">
        <v>0.82317129629629626</v>
      </c>
      <c r="C180">
        <v>1</v>
      </c>
      <c r="D180">
        <v>8</v>
      </c>
      <c r="E180">
        <v>203</v>
      </c>
      <c r="F180">
        <v>-4</v>
      </c>
      <c r="G180">
        <v>-4</v>
      </c>
      <c r="H180" s="3">
        <v>175.67731000000001</v>
      </c>
      <c r="I180" s="3">
        <v>53.578065000000002</v>
      </c>
      <c r="J180" s="3">
        <v>14.535045999999999</v>
      </c>
      <c r="K180">
        <f t="shared" si="10"/>
        <v>2093.0466240000001</v>
      </c>
      <c r="L180" s="3">
        <v>100.21478</v>
      </c>
      <c r="M180" s="3">
        <v>26.132107000000001</v>
      </c>
      <c r="N180" s="3">
        <f t="shared" si="11"/>
        <v>538.70779260000006</v>
      </c>
      <c r="O180" s="3">
        <v>0.15442455999999999</v>
      </c>
      <c r="P180" s="3">
        <v>27</v>
      </c>
      <c r="Q180" s="3">
        <f t="shared" si="12"/>
        <v>2.2635201615940691E-3</v>
      </c>
      <c r="R180" s="3">
        <f t="shared" si="13"/>
        <v>34.928965015142616</v>
      </c>
      <c r="S180" s="3">
        <v>3.6199999999999999E-7</v>
      </c>
      <c r="T180">
        <f t="shared" si="14"/>
        <v>732318.84552414622</v>
      </c>
    </row>
    <row r="181" spans="1:21" x14ac:dyDescent="0.25">
      <c r="A181" s="1">
        <v>43374</v>
      </c>
      <c r="B181" s="2">
        <v>0.82328703703703709</v>
      </c>
      <c r="C181">
        <v>1</v>
      </c>
      <c r="D181">
        <v>8</v>
      </c>
      <c r="E181">
        <v>204</v>
      </c>
      <c r="F181">
        <v>-3</v>
      </c>
      <c r="G181">
        <v>-3</v>
      </c>
      <c r="H181" s="3">
        <v>176.50354999999999</v>
      </c>
      <c r="I181" s="3">
        <v>53.830052999999999</v>
      </c>
      <c r="J181" s="3">
        <v>14.535784</v>
      </c>
      <c r="K181">
        <f t="shared" si="10"/>
        <v>2093.1528960000001</v>
      </c>
      <c r="L181" s="3">
        <v>100.21987</v>
      </c>
      <c r="M181" s="3">
        <v>26.153749999999999</v>
      </c>
      <c r="N181" s="3">
        <f t="shared" si="11"/>
        <v>538.74675000000002</v>
      </c>
      <c r="O181" s="3">
        <v>0.15514523999999999</v>
      </c>
      <c r="P181" s="3">
        <v>28</v>
      </c>
      <c r="Q181" s="3">
        <f t="shared" si="12"/>
        <v>2.2634714031201488E-3</v>
      </c>
      <c r="R181" s="3">
        <f t="shared" si="13"/>
        <v>35.257531757781933</v>
      </c>
      <c r="S181" s="3">
        <v>3.6199999999999999E-7</v>
      </c>
      <c r="T181">
        <f t="shared" si="14"/>
        <v>735747.21542207606</v>
      </c>
    </row>
    <row r="182" spans="1:21" x14ac:dyDescent="0.25">
      <c r="A182" s="1">
        <v>43374</v>
      </c>
      <c r="B182" s="2">
        <v>0.82339120370370367</v>
      </c>
      <c r="C182">
        <v>1</v>
      </c>
      <c r="D182">
        <v>8</v>
      </c>
      <c r="E182">
        <v>205</v>
      </c>
      <c r="F182">
        <v>-2</v>
      </c>
      <c r="G182">
        <v>-2</v>
      </c>
      <c r="H182" s="3">
        <v>177.77215000000001</v>
      </c>
      <c r="I182" s="3">
        <v>54.216951000000002</v>
      </c>
      <c r="J182" s="3">
        <v>14.538023000000001</v>
      </c>
      <c r="K182">
        <f t="shared" si="10"/>
        <v>2093.475312</v>
      </c>
      <c r="L182" s="3">
        <v>100.23531</v>
      </c>
      <c r="M182" s="3">
        <v>26.172035999999999</v>
      </c>
      <c r="N182" s="3">
        <f t="shared" si="11"/>
        <v>538.77966479999998</v>
      </c>
      <c r="O182" s="3">
        <v>0.15625555999999999</v>
      </c>
      <c r="P182" s="3">
        <v>29</v>
      </c>
      <c r="Q182" s="3">
        <f t="shared" si="12"/>
        <v>2.2636817539834694E-3</v>
      </c>
      <c r="R182" s="3">
        <f t="shared" si="13"/>
        <v>35.769496286828996</v>
      </c>
      <c r="S182" s="3">
        <v>3.6199999999999999E-7</v>
      </c>
      <c r="T182">
        <f t="shared" si="14"/>
        <v>741104.18475398247</v>
      </c>
    </row>
    <row r="183" spans="1:21" x14ac:dyDescent="0.25">
      <c r="A183" s="1">
        <v>43374</v>
      </c>
      <c r="B183" s="2">
        <v>0.8235069444444445</v>
      </c>
      <c r="C183">
        <v>1</v>
      </c>
      <c r="D183">
        <v>8</v>
      </c>
      <c r="E183">
        <v>206</v>
      </c>
      <c r="F183">
        <v>-1</v>
      </c>
      <c r="G183">
        <v>-1</v>
      </c>
      <c r="H183" s="3">
        <v>179.35017999999999</v>
      </c>
      <c r="I183" s="3">
        <v>54.698217999999997</v>
      </c>
      <c r="J183" s="3">
        <v>14.541022</v>
      </c>
      <c r="K183">
        <f t="shared" si="10"/>
        <v>2093.9071680000002</v>
      </c>
      <c r="L183" s="3">
        <v>100.25597999999999</v>
      </c>
      <c r="M183" s="3">
        <v>26.19275</v>
      </c>
      <c r="N183" s="3">
        <f t="shared" si="11"/>
        <v>538.81694999999991</v>
      </c>
      <c r="O183" s="3">
        <v>0.15763712999999999</v>
      </c>
      <c r="P183" s="3">
        <v>30</v>
      </c>
      <c r="Q183" s="3">
        <f t="shared" si="12"/>
        <v>2.2639920461282347E-3</v>
      </c>
      <c r="R183" s="3">
        <f t="shared" si="13"/>
        <v>36.412335434692046</v>
      </c>
      <c r="S183" s="3">
        <v>3.6199999999999999E-7</v>
      </c>
      <c r="T183">
        <f t="shared" si="14"/>
        <v>747785.23202885303</v>
      </c>
    </row>
    <row r="184" spans="1:21" x14ac:dyDescent="0.25">
      <c r="A184" s="1">
        <v>43374</v>
      </c>
      <c r="B184" s="2">
        <v>0.82361111111111107</v>
      </c>
      <c r="C184">
        <v>1</v>
      </c>
      <c r="D184">
        <v>8</v>
      </c>
      <c r="E184">
        <v>207</v>
      </c>
      <c r="F184">
        <v>0</v>
      </c>
      <c r="G184">
        <v>0</v>
      </c>
      <c r="H184" s="3">
        <v>180.54106999999999</v>
      </c>
      <c r="I184" s="3">
        <v>55.061416000000001</v>
      </c>
      <c r="J184" s="3">
        <v>14.543407</v>
      </c>
      <c r="K184">
        <f t="shared" si="10"/>
        <v>2094.2506079999998</v>
      </c>
      <c r="L184" s="3">
        <v>100.27243</v>
      </c>
      <c r="M184" s="3">
        <v>26.206800000000001</v>
      </c>
      <c r="N184" s="3">
        <f t="shared" si="11"/>
        <v>538.84223999999995</v>
      </c>
      <c r="O184" s="3">
        <v>0.15868013</v>
      </c>
      <c r="P184" s="3">
        <v>31</v>
      </c>
      <c r="Q184" s="3">
        <f t="shared" si="12"/>
        <v>2.2642571076945169E-3</v>
      </c>
      <c r="R184" s="3">
        <f t="shared" si="13"/>
        <v>36.901818469708253</v>
      </c>
      <c r="S184" s="3">
        <v>3.6199999999999999E-7</v>
      </c>
      <c r="T184">
        <f t="shared" si="14"/>
        <v>752838.67583475763</v>
      </c>
    </row>
    <row r="185" spans="1:21" x14ac:dyDescent="0.25">
      <c r="A185" s="1">
        <v>43374</v>
      </c>
      <c r="B185" s="2">
        <v>0.8237268518518519</v>
      </c>
      <c r="C185">
        <v>1</v>
      </c>
      <c r="D185">
        <v>8</v>
      </c>
      <c r="E185">
        <v>208</v>
      </c>
      <c r="F185">
        <v>1</v>
      </c>
      <c r="G185">
        <v>1</v>
      </c>
      <c r="H185" s="3">
        <v>181.77970999999999</v>
      </c>
      <c r="I185" s="3">
        <v>55.439174999999999</v>
      </c>
      <c r="J185" s="3">
        <v>14.545766</v>
      </c>
      <c r="K185">
        <f t="shared" si="10"/>
        <v>2094.5903040000003</v>
      </c>
      <c r="L185" s="3">
        <v>100.28870000000001</v>
      </c>
      <c r="M185" s="3">
        <v>26.228121000000002</v>
      </c>
      <c r="N185" s="3">
        <f t="shared" si="11"/>
        <v>538.88061779999998</v>
      </c>
      <c r="O185" s="3">
        <v>0.15976309</v>
      </c>
      <c r="P185" s="3">
        <v>32</v>
      </c>
      <c r="Q185" s="3">
        <f t="shared" si="12"/>
        <v>2.2644630982637075E-3</v>
      </c>
      <c r="R185" s="3">
        <f t="shared" si="13"/>
        <v>37.413304157201665</v>
      </c>
      <c r="S185" s="3">
        <v>3.6199999999999999E-7</v>
      </c>
      <c r="T185">
        <f t="shared" si="14"/>
        <v>758072.64329296176</v>
      </c>
    </row>
    <row r="186" spans="1:21" x14ac:dyDescent="0.25">
      <c r="A186" s="1">
        <v>43374</v>
      </c>
      <c r="B186" s="2">
        <v>0.82383101851851848</v>
      </c>
      <c r="C186">
        <v>1</v>
      </c>
      <c r="D186">
        <v>8</v>
      </c>
      <c r="E186">
        <v>209</v>
      </c>
      <c r="F186">
        <v>2</v>
      </c>
      <c r="G186">
        <v>2</v>
      </c>
      <c r="H186" s="3">
        <v>182.51365999999999</v>
      </c>
      <c r="I186" s="3">
        <v>55.663015999999999</v>
      </c>
      <c r="J186" s="3">
        <v>14.547190000000001</v>
      </c>
      <c r="K186">
        <f t="shared" si="10"/>
        <v>2094.7953600000001</v>
      </c>
      <c r="L186" s="3">
        <v>100.29850999999999</v>
      </c>
      <c r="M186" s="3">
        <v>26.255542999999999</v>
      </c>
      <c r="N186" s="3">
        <f t="shared" si="11"/>
        <v>538.92997739999998</v>
      </c>
      <c r="O186" s="3">
        <v>0.16040081</v>
      </c>
      <c r="P186" s="3">
        <v>33</v>
      </c>
      <c r="Q186" s="3">
        <f t="shared" si="12"/>
        <v>2.2644773661627897E-3</v>
      </c>
      <c r="R186" s="3">
        <f t="shared" si="13"/>
        <v>37.716270078500429</v>
      </c>
      <c r="S186" s="3">
        <v>3.6199999999999999E-7</v>
      </c>
      <c r="T186">
        <f t="shared" si="14"/>
        <v>761138.21746874938</v>
      </c>
    </row>
    <row r="187" spans="1:21" x14ac:dyDescent="0.25">
      <c r="A187" s="1">
        <v>43374</v>
      </c>
      <c r="B187" s="2">
        <v>0.82394675925925931</v>
      </c>
      <c r="C187">
        <v>1</v>
      </c>
      <c r="D187">
        <v>8</v>
      </c>
      <c r="E187">
        <v>210</v>
      </c>
      <c r="F187">
        <v>3</v>
      </c>
      <c r="G187">
        <v>3</v>
      </c>
      <c r="H187" s="3">
        <v>182.12166999999999</v>
      </c>
      <c r="I187" s="3">
        <v>55.543467999999997</v>
      </c>
      <c r="J187" s="3">
        <v>14.546785</v>
      </c>
      <c r="K187">
        <f t="shared" si="10"/>
        <v>2094.73704</v>
      </c>
      <c r="L187" s="3">
        <v>100.29572</v>
      </c>
      <c r="M187" s="3">
        <v>26.276586000000002</v>
      </c>
      <c r="N187" s="3">
        <f t="shared" si="11"/>
        <v>538.96785479999994</v>
      </c>
      <c r="O187" s="3">
        <v>0.16005069</v>
      </c>
      <c r="P187" s="3">
        <v>34</v>
      </c>
      <c r="Q187" s="3">
        <f t="shared" si="12"/>
        <v>2.2642551844017666E-3</v>
      </c>
      <c r="R187" s="3">
        <f t="shared" si="13"/>
        <v>37.55075065456159</v>
      </c>
      <c r="S187" s="3">
        <v>3.6199999999999999E-7</v>
      </c>
      <c r="T187">
        <f t="shared" si="14"/>
        <v>759428.9788018557</v>
      </c>
    </row>
    <row r="188" spans="1:21" x14ac:dyDescent="0.25">
      <c r="A188" s="1">
        <v>43374</v>
      </c>
      <c r="B188" s="2">
        <v>0.82405092592592588</v>
      </c>
      <c r="C188">
        <v>1</v>
      </c>
      <c r="D188">
        <v>8</v>
      </c>
      <c r="E188">
        <v>211</v>
      </c>
      <c r="F188">
        <v>4</v>
      </c>
      <c r="G188">
        <v>4</v>
      </c>
      <c r="H188" s="3">
        <v>180.89628999999999</v>
      </c>
      <c r="I188" s="3">
        <v>55.169750000000001</v>
      </c>
      <c r="J188" s="3">
        <v>14.544582999999999</v>
      </c>
      <c r="K188">
        <f t="shared" si="10"/>
        <v>2094.4199519999997</v>
      </c>
      <c r="L188" s="3">
        <v>100.28054</v>
      </c>
      <c r="M188" s="3">
        <v>26.295479</v>
      </c>
      <c r="N188" s="3">
        <f t="shared" si="11"/>
        <v>539.00186220000001</v>
      </c>
      <c r="O188" s="3">
        <v>0.15896879</v>
      </c>
      <c r="P188" s="3">
        <v>35</v>
      </c>
      <c r="Q188" s="3">
        <f t="shared" si="12"/>
        <v>2.2637695981403438E-3</v>
      </c>
      <c r="R188" s="3">
        <f t="shared" si="13"/>
        <v>37.039195702974595</v>
      </c>
      <c r="S188" s="3">
        <v>3.6199999999999999E-7</v>
      </c>
      <c r="T188">
        <f t="shared" si="14"/>
        <v>754157.49856055086</v>
      </c>
    </row>
    <row r="189" spans="1:21" x14ac:dyDescent="0.25">
      <c r="A189" s="1">
        <v>43374</v>
      </c>
      <c r="B189" s="2">
        <v>0.82416666666666671</v>
      </c>
      <c r="C189">
        <v>1</v>
      </c>
      <c r="D189">
        <v>8</v>
      </c>
      <c r="E189">
        <v>212</v>
      </c>
      <c r="F189">
        <v>5</v>
      </c>
      <c r="G189">
        <v>5</v>
      </c>
      <c r="H189" s="3">
        <v>179.93778</v>
      </c>
      <c r="I189" s="3">
        <v>54.877425000000002</v>
      </c>
      <c r="J189" s="3">
        <v>14.542415</v>
      </c>
      <c r="K189">
        <f t="shared" si="10"/>
        <v>2094.1077599999999</v>
      </c>
      <c r="L189" s="3">
        <v>100.26559</v>
      </c>
      <c r="M189" s="3">
        <v>26.312228999999999</v>
      </c>
      <c r="N189" s="3">
        <f t="shared" si="11"/>
        <v>539.03201219999994</v>
      </c>
      <c r="O189" s="3">
        <v>0.15812204999999999</v>
      </c>
      <c r="P189" s="3">
        <v>36</v>
      </c>
      <c r="Q189" s="3">
        <f t="shared" si="12"/>
        <v>2.2633055611578383E-3</v>
      </c>
      <c r="R189" s="3">
        <f t="shared" si="13"/>
        <v>36.640206354793783</v>
      </c>
      <c r="S189" s="3">
        <v>3.6199999999999999E-7</v>
      </c>
      <c r="T189">
        <f t="shared" si="14"/>
        <v>750007.69454216515</v>
      </c>
    </row>
    <row r="190" spans="1:21" x14ac:dyDescent="0.25">
      <c r="A190" s="1">
        <v>43374</v>
      </c>
      <c r="B190" s="2">
        <v>0.82427083333333329</v>
      </c>
      <c r="C190">
        <v>1</v>
      </c>
      <c r="D190">
        <v>8</v>
      </c>
      <c r="E190">
        <v>213</v>
      </c>
      <c r="F190">
        <v>6</v>
      </c>
      <c r="G190">
        <v>6</v>
      </c>
      <c r="H190" s="3">
        <v>178.45375999999999</v>
      </c>
      <c r="I190" s="3">
        <v>54.424827999999998</v>
      </c>
      <c r="J190" s="3">
        <v>14.539313</v>
      </c>
      <c r="K190">
        <f t="shared" si="10"/>
        <v>2093.6610719999999</v>
      </c>
      <c r="L190" s="3">
        <v>100.24420000000001</v>
      </c>
      <c r="M190" s="3">
        <v>26.328986</v>
      </c>
      <c r="N190" s="3">
        <f t="shared" si="11"/>
        <v>539.06217479999998</v>
      </c>
      <c r="O190" s="3">
        <v>0.15681355999999999</v>
      </c>
      <c r="P190" s="3">
        <v>37</v>
      </c>
      <c r="Q190" s="3">
        <f t="shared" si="12"/>
        <v>2.2626961684404172E-3</v>
      </c>
      <c r="R190" s="3">
        <f t="shared" si="13"/>
        <v>36.028621983280296</v>
      </c>
      <c r="S190" s="3">
        <v>3.6199999999999999E-7</v>
      </c>
      <c r="T190">
        <f t="shared" si="14"/>
        <v>743621.80293883197</v>
      </c>
    </row>
    <row r="191" spans="1:21" x14ac:dyDescent="0.25">
      <c r="A191" s="1">
        <v>43374</v>
      </c>
      <c r="B191" s="2">
        <v>0.82438657407407412</v>
      </c>
      <c r="C191">
        <v>1</v>
      </c>
      <c r="D191">
        <v>8</v>
      </c>
      <c r="E191">
        <v>214</v>
      </c>
      <c r="F191">
        <v>7</v>
      </c>
      <c r="G191">
        <v>7</v>
      </c>
      <c r="H191" s="3">
        <v>176.65870000000001</v>
      </c>
      <c r="I191" s="3">
        <v>53.877372000000001</v>
      </c>
      <c r="J191" s="3">
        <v>14.535301</v>
      </c>
      <c r="K191">
        <f t="shared" si="10"/>
        <v>2093.0833440000001</v>
      </c>
      <c r="L191" s="3">
        <v>100.21653999999999</v>
      </c>
      <c r="M191" s="3">
        <v>26.347878999999999</v>
      </c>
      <c r="N191" s="3">
        <f t="shared" si="11"/>
        <v>539.09618219999993</v>
      </c>
      <c r="O191" s="3">
        <v>0.15523128999999999</v>
      </c>
      <c r="P191" s="3">
        <v>38</v>
      </c>
      <c r="Q191" s="3">
        <f t="shared" si="12"/>
        <v>2.2619291000624642E-3</v>
      </c>
      <c r="R191" s="3">
        <f t="shared" si="13"/>
        <v>35.29547676598677</v>
      </c>
      <c r="S191" s="3">
        <v>3.6199999999999999E-7</v>
      </c>
      <c r="T191">
        <f t="shared" si="14"/>
        <v>735892.18104825937</v>
      </c>
    </row>
    <row r="192" spans="1:21" x14ac:dyDescent="0.25">
      <c r="A192" s="1">
        <v>43374</v>
      </c>
      <c r="B192" s="2">
        <v>0.82449074074074069</v>
      </c>
      <c r="C192">
        <v>1</v>
      </c>
      <c r="D192">
        <v>8</v>
      </c>
      <c r="E192">
        <v>215</v>
      </c>
      <c r="F192">
        <v>8</v>
      </c>
      <c r="G192">
        <v>8</v>
      </c>
      <c r="H192" s="3">
        <v>175.28196</v>
      </c>
      <c r="I192" s="3">
        <v>53.457492000000002</v>
      </c>
      <c r="J192" s="3">
        <v>14.533111</v>
      </c>
      <c r="K192">
        <f t="shared" si="10"/>
        <v>2092.7679840000001</v>
      </c>
      <c r="L192" s="3">
        <v>100.20144000000001</v>
      </c>
      <c r="M192" s="3">
        <v>26.365863999999998</v>
      </c>
      <c r="N192" s="3">
        <f t="shared" si="11"/>
        <v>539.12855519999994</v>
      </c>
      <c r="O192" s="3">
        <v>0.15401690000000001</v>
      </c>
      <c r="P192" s="3">
        <v>39</v>
      </c>
      <c r="Q192" s="3">
        <f t="shared" si="12"/>
        <v>2.2614524990919888E-3</v>
      </c>
      <c r="R192" s="3">
        <f t="shared" si="13"/>
        <v>34.740168137375669</v>
      </c>
      <c r="S192" s="3">
        <v>3.6199999999999999E-7</v>
      </c>
      <c r="T192">
        <f t="shared" si="14"/>
        <v>730003.36369749915</v>
      </c>
    </row>
    <row r="193" spans="1:21" x14ac:dyDescent="0.25">
      <c r="A193" s="1">
        <v>43374</v>
      </c>
      <c r="B193" s="2">
        <v>0.82460648148148152</v>
      </c>
      <c r="C193">
        <v>1</v>
      </c>
      <c r="D193">
        <v>8</v>
      </c>
      <c r="E193">
        <v>216</v>
      </c>
      <c r="F193">
        <v>9</v>
      </c>
      <c r="G193">
        <v>9</v>
      </c>
      <c r="H193" s="3">
        <v>174.35239000000001</v>
      </c>
      <c r="I193" s="3">
        <v>53.173993000000003</v>
      </c>
      <c r="J193" s="3">
        <v>14.531499</v>
      </c>
      <c r="K193">
        <f t="shared" si="10"/>
        <v>2092.535856</v>
      </c>
      <c r="L193" s="3">
        <v>100.19033</v>
      </c>
      <c r="M193" s="3">
        <v>26.385064</v>
      </c>
      <c r="N193" s="3">
        <f t="shared" si="11"/>
        <v>539.16311519999999</v>
      </c>
      <c r="O193" s="3">
        <v>0.1531952</v>
      </c>
      <c r="P193" s="3">
        <v>40</v>
      </c>
      <c r="Q193" s="3">
        <f t="shared" si="12"/>
        <v>2.2610567192179122E-3</v>
      </c>
      <c r="R193" s="3">
        <f t="shared" si="13"/>
        <v>34.366655640324076</v>
      </c>
      <c r="S193" s="3">
        <v>3.6199999999999999E-7</v>
      </c>
      <c r="T193">
        <f t="shared" si="14"/>
        <v>726004.86725819879</v>
      </c>
    </row>
    <row r="194" spans="1:21" x14ac:dyDescent="0.25">
      <c r="A194" s="1">
        <v>43374</v>
      </c>
      <c r="B194" s="2">
        <v>0.8247106481481481</v>
      </c>
      <c r="C194">
        <v>1</v>
      </c>
      <c r="D194">
        <v>8</v>
      </c>
      <c r="E194">
        <v>217</v>
      </c>
      <c r="F194">
        <v>10</v>
      </c>
      <c r="G194">
        <v>10</v>
      </c>
      <c r="H194" s="3">
        <v>173.38211999999999</v>
      </c>
      <c r="I194" s="3">
        <v>52.878079</v>
      </c>
      <c r="J194" s="3">
        <v>14.530052</v>
      </c>
      <c r="K194">
        <f t="shared" si="10"/>
        <v>2092.3274879999999</v>
      </c>
      <c r="L194" s="3">
        <v>100.18035</v>
      </c>
      <c r="M194" s="3">
        <v>26.400907</v>
      </c>
      <c r="N194" s="3">
        <f t="shared" si="11"/>
        <v>539.19163260000005</v>
      </c>
      <c r="O194" s="3">
        <v>0.15233864</v>
      </c>
      <c r="P194" s="3">
        <v>41</v>
      </c>
      <c r="Q194" s="3">
        <f t="shared" si="12"/>
        <v>2.260711996937591E-3</v>
      </c>
      <c r="R194" s="3">
        <f t="shared" si="13"/>
        <v>33.980038073299283</v>
      </c>
      <c r="S194" s="3">
        <v>3.6199999999999999E-7</v>
      </c>
      <c r="T194">
        <f t="shared" si="14"/>
        <v>721854.58331210504</v>
      </c>
    </row>
    <row r="195" spans="1:21" x14ac:dyDescent="0.25">
      <c r="A195" s="1">
        <v>43374</v>
      </c>
      <c r="B195" s="2">
        <v>0.82482638888888893</v>
      </c>
      <c r="C195">
        <v>1</v>
      </c>
      <c r="D195">
        <v>8</v>
      </c>
      <c r="E195">
        <v>218</v>
      </c>
      <c r="F195">
        <v>11</v>
      </c>
      <c r="G195">
        <v>11</v>
      </c>
      <c r="H195" s="3">
        <v>172.25802999999999</v>
      </c>
      <c r="I195" s="3">
        <v>52.535252999999997</v>
      </c>
      <c r="J195" s="3">
        <v>14.527659</v>
      </c>
      <c r="K195">
        <f t="shared" si="10"/>
        <v>2091.982896</v>
      </c>
      <c r="L195" s="3">
        <v>100.16385</v>
      </c>
      <c r="M195" s="3">
        <v>26.417679</v>
      </c>
      <c r="N195" s="3">
        <f t="shared" si="11"/>
        <v>539.22182220000002</v>
      </c>
      <c r="O195" s="3">
        <v>0.15134674000000001</v>
      </c>
      <c r="P195" s="3">
        <v>42</v>
      </c>
      <c r="Q195" s="3">
        <f t="shared" si="12"/>
        <v>2.2602131227381101E-3</v>
      </c>
      <c r="R195" s="3">
        <f t="shared" si="13"/>
        <v>33.533458633684681</v>
      </c>
      <c r="S195" s="3">
        <v>3.6199999999999999E-7</v>
      </c>
      <c r="T195">
        <f t="shared" si="14"/>
        <v>717016.31658013817</v>
      </c>
    </row>
    <row r="196" spans="1:21" x14ac:dyDescent="0.25">
      <c r="A196" s="1">
        <v>43374</v>
      </c>
      <c r="B196" s="2">
        <v>0.8249305555555555</v>
      </c>
      <c r="C196">
        <v>1</v>
      </c>
      <c r="D196">
        <v>8</v>
      </c>
      <c r="E196">
        <v>219</v>
      </c>
      <c r="F196">
        <v>12</v>
      </c>
      <c r="G196">
        <v>12</v>
      </c>
      <c r="H196" s="3">
        <v>171.45972</v>
      </c>
      <c r="I196" s="3">
        <v>52.291784999999997</v>
      </c>
      <c r="J196" s="3">
        <v>14.526396</v>
      </c>
      <c r="K196">
        <f t="shared" si="10"/>
        <v>2091.8010239999999</v>
      </c>
      <c r="L196" s="3">
        <v>100.15514</v>
      </c>
      <c r="M196" s="3">
        <v>26.437186000000001</v>
      </c>
      <c r="N196" s="3">
        <f t="shared" si="11"/>
        <v>539.25693479999995</v>
      </c>
      <c r="O196" s="3">
        <v>0.15064043999999999</v>
      </c>
      <c r="P196" s="3">
        <v>43</v>
      </c>
      <c r="Q196" s="3">
        <f t="shared" si="12"/>
        <v>2.2598694688954089E-3</v>
      </c>
      <c r="R196" s="3">
        <f t="shared" si="13"/>
        <v>33.218313503065673</v>
      </c>
      <c r="S196" s="3">
        <v>3.6199999999999999E-7</v>
      </c>
      <c r="T196">
        <f t="shared" si="14"/>
        <v>713584.87361575617</v>
      </c>
    </row>
    <row r="197" spans="1:21" x14ac:dyDescent="0.25">
      <c r="A197" s="1">
        <v>43374</v>
      </c>
      <c r="B197" s="2">
        <v>0.82503472222222218</v>
      </c>
      <c r="C197">
        <v>1</v>
      </c>
      <c r="D197">
        <v>8</v>
      </c>
      <c r="E197">
        <v>220</v>
      </c>
      <c r="F197">
        <v>13</v>
      </c>
      <c r="G197">
        <v>13</v>
      </c>
      <c r="H197" s="3">
        <v>170.65989999999999</v>
      </c>
      <c r="I197" s="3">
        <v>52.047857</v>
      </c>
      <c r="J197" s="3">
        <v>14.524779000000001</v>
      </c>
      <c r="K197">
        <f t="shared" ref="K197:K253" si="15">J197*144</f>
        <v>2091.5681760000002</v>
      </c>
      <c r="L197" s="3">
        <v>100.14399</v>
      </c>
      <c r="M197" s="3">
        <v>26.456085999999999</v>
      </c>
      <c r="N197" s="3">
        <f t="shared" ref="N197:N253" si="16">CONVERT(M197,"C","Rank")</f>
        <v>539.29095480000001</v>
      </c>
      <c r="O197" s="3">
        <v>0.14993301000000001</v>
      </c>
      <c r="P197" s="3">
        <v>44</v>
      </c>
      <c r="Q197" s="3">
        <f t="shared" ref="Q197:Q253" si="17">K197/(N197*1716.49)</f>
        <v>2.2594753693290152E-3</v>
      </c>
      <c r="R197" s="3">
        <f t="shared" ref="R197:R253" si="18">0.5*Q197*H197^2</f>
        <v>32.903385776783068</v>
      </c>
      <c r="S197" s="3">
        <v>3.6199999999999999E-7</v>
      </c>
      <c r="T197">
        <f t="shared" ref="T197:T253" si="19">Q197*H197*8/12/S197</f>
        <v>710132.30309788731</v>
      </c>
    </row>
    <row r="198" spans="1:21" x14ac:dyDescent="0.25">
      <c r="A198" s="1">
        <v>43374</v>
      </c>
      <c r="B198" s="2">
        <v>0.82515046296296291</v>
      </c>
      <c r="C198">
        <v>1</v>
      </c>
      <c r="D198">
        <v>8</v>
      </c>
      <c r="E198">
        <v>221</v>
      </c>
      <c r="F198">
        <v>14</v>
      </c>
      <c r="G198">
        <v>14</v>
      </c>
      <c r="H198" s="3">
        <v>169.66005000000001</v>
      </c>
      <c r="I198" s="3">
        <v>51.742924000000002</v>
      </c>
      <c r="J198" s="3">
        <v>14.523237999999999</v>
      </c>
      <c r="K198">
        <f t="shared" si="15"/>
        <v>2091.3462719999998</v>
      </c>
      <c r="L198" s="3">
        <v>100.13337</v>
      </c>
      <c r="M198" s="3">
        <v>26.476192999999999</v>
      </c>
      <c r="N198" s="3">
        <f t="shared" si="16"/>
        <v>539.32714740000006</v>
      </c>
      <c r="O198" s="3">
        <v>0.1490496</v>
      </c>
      <c r="P198" s="3">
        <v>45</v>
      </c>
      <c r="Q198" s="3">
        <f t="shared" si="17"/>
        <v>2.2590840408753974E-3</v>
      </c>
      <c r="R198" s="3">
        <f t="shared" si="18"/>
        <v>32.513339071957205</v>
      </c>
      <c r="S198" s="3">
        <v>3.6199999999999999E-7</v>
      </c>
      <c r="T198">
        <f t="shared" si="19"/>
        <v>705849.56045878818</v>
      </c>
    </row>
    <row r="199" spans="1:21" x14ac:dyDescent="0.25">
      <c r="A199" s="1">
        <v>43374</v>
      </c>
      <c r="B199" s="2">
        <v>0.82525462962962959</v>
      </c>
      <c r="C199">
        <v>1</v>
      </c>
      <c r="D199">
        <v>8</v>
      </c>
      <c r="E199">
        <v>222</v>
      </c>
      <c r="F199">
        <v>15</v>
      </c>
      <c r="G199">
        <v>15</v>
      </c>
      <c r="H199" s="3">
        <v>168.92344</v>
      </c>
      <c r="I199" s="3">
        <v>51.518270000000001</v>
      </c>
      <c r="J199" s="3">
        <v>14.522501999999999</v>
      </c>
      <c r="K199">
        <f t="shared" si="15"/>
        <v>2091.240288</v>
      </c>
      <c r="L199" s="3">
        <v>100.1283</v>
      </c>
      <c r="M199" s="3">
        <v>26.498443000000002</v>
      </c>
      <c r="N199" s="3">
        <f t="shared" si="16"/>
        <v>539.36719740000001</v>
      </c>
      <c r="O199" s="3">
        <v>0.14839695</v>
      </c>
      <c r="P199" s="3">
        <v>46</v>
      </c>
      <c r="Q199" s="3">
        <f t="shared" si="17"/>
        <v>2.2588018195551225E-3</v>
      </c>
      <c r="R199" s="3">
        <f t="shared" si="18"/>
        <v>32.227600180490796</v>
      </c>
      <c r="S199" s="3">
        <v>3.6199999999999999E-7</v>
      </c>
      <c r="T199">
        <f t="shared" si="19"/>
        <v>702697.18901935651</v>
      </c>
    </row>
    <row r="200" spans="1:21" x14ac:dyDescent="0.25">
      <c r="A200" s="1">
        <v>43374</v>
      </c>
      <c r="B200" s="2">
        <v>0.82537037037037031</v>
      </c>
      <c r="C200">
        <v>1</v>
      </c>
      <c r="D200">
        <v>8</v>
      </c>
      <c r="E200">
        <v>223</v>
      </c>
      <c r="F200">
        <v>16</v>
      </c>
      <c r="G200">
        <v>16</v>
      </c>
      <c r="H200" s="3">
        <v>167.58269000000001</v>
      </c>
      <c r="I200" s="3">
        <v>51.109369999999998</v>
      </c>
      <c r="J200" s="3">
        <v>14.521152000000001</v>
      </c>
      <c r="K200">
        <f t="shared" si="15"/>
        <v>2091.0458880000001</v>
      </c>
      <c r="L200" s="3">
        <v>100.11897999999999</v>
      </c>
      <c r="M200" s="3">
        <v>26.519470999999999</v>
      </c>
      <c r="N200" s="3">
        <f t="shared" si="16"/>
        <v>539.40504780000003</v>
      </c>
      <c r="O200" s="3">
        <v>0.14721396</v>
      </c>
      <c r="P200" s="3">
        <v>47</v>
      </c>
      <c r="Q200" s="3">
        <f t="shared" si="17"/>
        <v>2.2584333563252126E-3</v>
      </c>
      <c r="R200" s="3">
        <f t="shared" si="18"/>
        <v>31.712873748456637</v>
      </c>
      <c r="S200" s="3">
        <v>3.6199999999999999E-7</v>
      </c>
      <c r="T200">
        <f t="shared" si="19"/>
        <v>697006.14555931429</v>
      </c>
    </row>
    <row r="201" spans="1:21" x14ac:dyDescent="0.25">
      <c r="A201" s="1">
        <v>43374</v>
      </c>
      <c r="B201" s="2">
        <v>0.82547453703703699</v>
      </c>
      <c r="C201">
        <v>1</v>
      </c>
      <c r="D201">
        <v>8</v>
      </c>
      <c r="E201">
        <v>224</v>
      </c>
      <c r="F201">
        <v>17</v>
      </c>
      <c r="G201">
        <v>17</v>
      </c>
      <c r="H201" s="3">
        <v>166.99333999999999</v>
      </c>
      <c r="I201" s="3">
        <v>50.929627000000004</v>
      </c>
      <c r="J201" s="3">
        <v>14.524404000000001</v>
      </c>
      <c r="K201">
        <f t="shared" si="15"/>
        <v>2091.5141760000001</v>
      </c>
      <c r="L201" s="3">
        <v>100.14140999999999</v>
      </c>
      <c r="M201" s="3">
        <v>26.556964000000001</v>
      </c>
      <c r="N201" s="3">
        <f t="shared" si="16"/>
        <v>539.47253519999992</v>
      </c>
      <c r="O201" s="3">
        <v>0.14668706000000001</v>
      </c>
      <c r="P201" s="3">
        <v>48</v>
      </c>
      <c r="Q201" s="3">
        <f t="shared" si="17"/>
        <v>2.2586565398969418E-3</v>
      </c>
      <c r="R201" s="3">
        <f t="shared" si="18"/>
        <v>31.493324047708128</v>
      </c>
      <c r="S201" s="3">
        <v>3.6199999999999999E-7</v>
      </c>
      <c r="T201">
        <f t="shared" si="19"/>
        <v>694623.57184205065</v>
      </c>
    </row>
    <row r="202" spans="1:21" x14ac:dyDescent="0.25">
      <c r="A202" s="1">
        <v>43374</v>
      </c>
      <c r="B202" s="2">
        <v>0.82559027777777771</v>
      </c>
      <c r="C202">
        <v>1</v>
      </c>
      <c r="D202">
        <v>8</v>
      </c>
      <c r="E202">
        <v>225</v>
      </c>
      <c r="F202">
        <v>18</v>
      </c>
      <c r="G202">
        <v>18</v>
      </c>
      <c r="H202" s="3">
        <v>167.31010000000001</v>
      </c>
      <c r="I202" s="3">
        <v>51.026234000000002</v>
      </c>
      <c r="J202" s="3">
        <v>14.528943999999999</v>
      </c>
      <c r="K202">
        <f t="shared" si="15"/>
        <v>2092.1679359999998</v>
      </c>
      <c r="L202" s="3">
        <v>100.17271</v>
      </c>
      <c r="M202" s="3">
        <v>26.582550000000001</v>
      </c>
      <c r="N202" s="3">
        <f t="shared" si="16"/>
        <v>539.51859000000002</v>
      </c>
      <c r="O202" s="3">
        <v>0.14695904000000001</v>
      </c>
      <c r="P202" s="3">
        <v>49</v>
      </c>
      <c r="Q202" s="3">
        <f t="shared" si="17"/>
        <v>2.2591696793776489E-3</v>
      </c>
      <c r="R202" s="3">
        <f t="shared" si="18"/>
        <v>31.620095159665304</v>
      </c>
      <c r="S202" s="3">
        <v>3.6199999999999999E-7</v>
      </c>
      <c r="T202">
        <f t="shared" si="19"/>
        <v>696099.27251131192</v>
      </c>
    </row>
    <row r="203" spans="1:21" x14ac:dyDescent="0.25">
      <c r="A203" s="1">
        <v>43374</v>
      </c>
      <c r="B203" s="2">
        <v>0.82579861111111119</v>
      </c>
      <c r="C203">
        <v>1</v>
      </c>
      <c r="D203">
        <v>8</v>
      </c>
      <c r="E203">
        <v>226</v>
      </c>
      <c r="F203">
        <v>18</v>
      </c>
      <c r="G203">
        <v>18</v>
      </c>
      <c r="H203" s="3">
        <v>52.142353</v>
      </c>
      <c r="I203" s="3">
        <v>15.902374999999999</v>
      </c>
      <c r="J203" s="3">
        <v>14.361057000000001</v>
      </c>
      <c r="K203">
        <f t="shared" si="15"/>
        <v>2067.9922080000001</v>
      </c>
      <c r="L203" s="3">
        <v>99.015180000000001</v>
      </c>
      <c r="M203" s="3">
        <v>26.603300000000001</v>
      </c>
      <c r="N203" s="3">
        <f t="shared" si="16"/>
        <v>539.55593999999996</v>
      </c>
      <c r="O203" s="3">
        <v>4.5798339E-2</v>
      </c>
      <c r="P203" s="3">
        <v>50</v>
      </c>
      <c r="Q203" s="3">
        <f t="shared" si="17"/>
        <v>2.2329096074389762E-3</v>
      </c>
      <c r="R203" s="3">
        <f t="shared" si="18"/>
        <v>3.0354452053481888</v>
      </c>
      <c r="S203" s="3">
        <v>3.6199999999999999E-7</v>
      </c>
      <c r="T203">
        <f t="shared" si="19"/>
        <v>214418.34432444666</v>
      </c>
      <c r="U203">
        <f>AVERAGE(T181:T203)</f>
        <v>707351.5093899956</v>
      </c>
    </row>
    <row r="204" spans="1:21" x14ac:dyDescent="0.25">
      <c r="A204" s="1">
        <v>43374</v>
      </c>
      <c r="B204" s="2">
        <v>0.82747685185185194</v>
      </c>
      <c r="C204">
        <v>1</v>
      </c>
      <c r="D204">
        <v>9</v>
      </c>
      <c r="E204">
        <v>227</v>
      </c>
      <c r="F204">
        <v>0</v>
      </c>
      <c r="G204">
        <v>0</v>
      </c>
      <c r="H204" s="3">
        <v>0</v>
      </c>
      <c r="I204" s="3">
        <v>0</v>
      </c>
      <c r="J204" s="3">
        <v>14.339358000000001</v>
      </c>
      <c r="K204">
        <f t="shared" si="15"/>
        <v>2064.8675520000002</v>
      </c>
      <c r="L204" s="3">
        <v>98.865570000000005</v>
      </c>
      <c r="M204" s="3">
        <v>26.555413999999999</v>
      </c>
      <c r="N204" s="3">
        <f t="shared" si="16"/>
        <v>539.46974519999992</v>
      </c>
      <c r="O204" s="3">
        <v>0</v>
      </c>
      <c r="P204" s="3">
        <v>51</v>
      </c>
      <c r="Q204" s="3">
        <f t="shared" si="17"/>
        <v>2.2298919959450746E-3</v>
      </c>
      <c r="R204" s="3">
        <f t="shared" si="18"/>
        <v>0</v>
      </c>
      <c r="S204" s="3">
        <v>3.6199999999999999E-7</v>
      </c>
      <c r="T204">
        <f t="shared" si="19"/>
        <v>0</v>
      </c>
    </row>
    <row r="205" spans="1:21" x14ac:dyDescent="0.25">
      <c r="A205" s="1">
        <v>43374</v>
      </c>
      <c r="B205" s="2">
        <v>0.82900462962962962</v>
      </c>
      <c r="C205">
        <v>1</v>
      </c>
      <c r="D205">
        <v>9</v>
      </c>
      <c r="E205">
        <v>228</v>
      </c>
      <c r="F205">
        <v>-4</v>
      </c>
      <c r="G205">
        <v>-4</v>
      </c>
      <c r="H205" s="3">
        <v>194.29948999999999</v>
      </c>
      <c r="I205" s="3">
        <v>59.257457000000002</v>
      </c>
      <c r="J205" s="3">
        <v>14.576076</v>
      </c>
      <c r="K205">
        <f t="shared" si="15"/>
        <v>2098.9549440000001</v>
      </c>
      <c r="L205" s="3">
        <v>100.49767</v>
      </c>
      <c r="M205" s="3">
        <v>26.670635999999998</v>
      </c>
      <c r="N205" s="3">
        <f t="shared" si="16"/>
        <v>539.67714479999995</v>
      </c>
      <c r="O205" s="3">
        <v>0.17064045</v>
      </c>
      <c r="P205" s="3">
        <v>52</v>
      </c>
      <c r="Q205" s="3">
        <f t="shared" si="17"/>
        <v>2.2658325548543449E-3</v>
      </c>
      <c r="R205" s="3">
        <f t="shared" si="18"/>
        <v>42.770185906555866</v>
      </c>
      <c r="S205" s="3">
        <v>3.6199999999999999E-7</v>
      </c>
      <c r="T205">
        <f t="shared" si="19"/>
        <v>810773.68293479981</v>
      </c>
    </row>
    <row r="206" spans="1:21" x14ac:dyDescent="0.25">
      <c r="A206" s="1">
        <v>43374</v>
      </c>
      <c r="B206" s="2">
        <v>0.8291087962962963</v>
      </c>
      <c r="C206">
        <v>1</v>
      </c>
      <c r="D206">
        <v>9</v>
      </c>
      <c r="E206">
        <v>229</v>
      </c>
      <c r="F206">
        <v>-3</v>
      </c>
      <c r="G206">
        <v>-3</v>
      </c>
      <c r="H206" s="3">
        <v>195.25877</v>
      </c>
      <c r="I206" s="3">
        <v>59.550021000000001</v>
      </c>
      <c r="J206" s="3">
        <v>14.577593999999999</v>
      </c>
      <c r="K206">
        <f t="shared" si="15"/>
        <v>2099.1735359999998</v>
      </c>
      <c r="L206" s="3">
        <v>100.50814</v>
      </c>
      <c r="M206" s="3">
        <v>26.696235999999999</v>
      </c>
      <c r="N206" s="3">
        <f t="shared" si="16"/>
        <v>539.72322480000003</v>
      </c>
      <c r="O206" s="3">
        <v>0.17147560000000001</v>
      </c>
      <c r="P206" s="3">
        <v>53</v>
      </c>
      <c r="Q206" s="3">
        <f t="shared" si="17"/>
        <v>2.2658750556884604E-3</v>
      </c>
      <c r="R206" s="3">
        <f t="shared" si="18"/>
        <v>43.194361755132213</v>
      </c>
      <c r="S206" s="3">
        <v>3.6199999999999999E-7</v>
      </c>
      <c r="T206">
        <f t="shared" si="19"/>
        <v>814791.85331014777</v>
      </c>
    </row>
    <row r="207" spans="1:21" x14ac:dyDescent="0.25">
      <c r="A207" s="1">
        <v>43374</v>
      </c>
      <c r="B207" s="2">
        <v>0.82922453703703702</v>
      </c>
      <c r="C207">
        <v>1</v>
      </c>
      <c r="D207">
        <v>9</v>
      </c>
      <c r="E207">
        <v>230</v>
      </c>
      <c r="F207">
        <v>-2</v>
      </c>
      <c r="G207">
        <v>-2</v>
      </c>
      <c r="H207" s="3">
        <v>196.03738000000001</v>
      </c>
      <c r="I207" s="3">
        <v>59.787481</v>
      </c>
      <c r="J207" s="3">
        <v>14.580161</v>
      </c>
      <c r="K207">
        <f t="shared" si="15"/>
        <v>2099.5431840000001</v>
      </c>
      <c r="L207" s="3">
        <v>100.52583</v>
      </c>
      <c r="M207" s="3">
        <v>26.722757000000001</v>
      </c>
      <c r="N207" s="3">
        <f t="shared" si="16"/>
        <v>539.77096259999996</v>
      </c>
      <c r="O207" s="3">
        <v>0.17215175999999999</v>
      </c>
      <c r="P207" s="3">
        <v>54</v>
      </c>
      <c r="Q207" s="3">
        <f t="shared" si="17"/>
        <v>2.2660736273263922E-3</v>
      </c>
      <c r="R207" s="3">
        <f t="shared" si="18"/>
        <v>43.543346159946488</v>
      </c>
      <c r="S207" s="3">
        <v>3.6199999999999999E-7</v>
      </c>
      <c r="T207">
        <f t="shared" si="19"/>
        <v>818112.5907700964</v>
      </c>
    </row>
    <row r="208" spans="1:21" x14ac:dyDescent="0.25">
      <c r="A208" s="1">
        <v>43374</v>
      </c>
      <c r="B208" s="2">
        <v>0.82932870370370371</v>
      </c>
      <c r="C208">
        <v>1</v>
      </c>
      <c r="D208">
        <v>9</v>
      </c>
      <c r="E208">
        <v>231</v>
      </c>
      <c r="F208">
        <v>-1</v>
      </c>
      <c r="G208">
        <v>-1</v>
      </c>
      <c r="H208" s="3">
        <v>198.43924000000001</v>
      </c>
      <c r="I208" s="3">
        <v>60.520001000000001</v>
      </c>
      <c r="J208" s="3">
        <v>14.584512</v>
      </c>
      <c r="K208">
        <f t="shared" si="15"/>
        <v>2100.1697279999998</v>
      </c>
      <c r="L208" s="3">
        <v>100.55583</v>
      </c>
      <c r="M208" s="3">
        <v>26.748643000000001</v>
      </c>
      <c r="N208" s="3">
        <f t="shared" si="16"/>
        <v>539.81755740000006</v>
      </c>
      <c r="O208" s="3">
        <v>0.17425346</v>
      </c>
      <c r="P208" s="3">
        <v>55</v>
      </c>
      <c r="Q208" s="3">
        <f t="shared" si="17"/>
        <v>2.2665542108142502E-3</v>
      </c>
      <c r="R208" s="3">
        <f t="shared" si="18"/>
        <v>44.626335417315893</v>
      </c>
      <c r="S208" s="3">
        <v>3.6199999999999999E-7</v>
      </c>
      <c r="T208">
        <f t="shared" si="19"/>
        <v>828311.7771874395</v>
      </c>
    </row>
    <row r="209" spans="1:20" x14ac:dyDescent="0.25">
      <c r="A209" s="1">
        <v>43374</v>
      </c>
      <c r="B209" s="2">
        <v>0.82944444444444443</v>
      </c>
      <c r="C209">
        <v>1</v>
      </c>
      <c r="D209">
        <v>9</v>
      </c>
      <c r="E209">
        <v>232</v>
      </c>
      <c r="F209">
        <v>0</v>
      </c>
      <c r="G209">
        <v>0</v>
      </c>
      <c r="H209" s="3">
        <v>199.62063000000001</v>
      </c>
      <c r="I209" s="3">
        <v>60.880299999999998</v>
      </c>
      <c r="J209" s="3">
        <v>14.587123999999999</v>
      </c>
      <c r="K209">
        <f t="shared" si="15"/>
        <v>2100.5458559999997</v>
      </c>
      <c r="L209" s="3">
        <v>100.57384</v>
      </c>
      <c r="M209" s="3">
        <v>26.771493</v>
      </c>
      <c r="N209" s="3">
        <f t="shared" si="16"/>
        <v>539.85868740000001</v>
      </c>
      <c r="O209" s="3">
        <v>0.17528418000000001</v>
      </c>
      <c r="P209" s="3">
        <v>56</v>
      </c>
      <c r="Q209" s="3">
        <f t="shared" si="17"/>
        <v>2.2667874252987512E-3</v>
      </c>
      <c r="R209" s="3">
        <f t="shared" si="18"/>
        <v>45.16392139670095</v>
      </c>
      <c r="S209" s="3">
        <v>3.6199999999999999E-7</v>
      </c>
      <c r="T209">
        <f t="shared" si="19"/>
        <v>833328.79173888522</v>
      </c>
    </row>
    <row r="210" spans="1:20" x14ac:dyDescent="0.25">
      <c r="A210" s="1">
        <v>43374</v>
      </c>
      <c r="B210" s="2">
        <v>0.82954861111111111</v>
      </c>
      <c r="C210">
        <v>1</v>
      </c>
      <c r="D210">
        <v>9</v>
      </c>
      <c r="E210">
        <v>233</v>
      </c>
      <c r="F210">
        <v>1</v>
      </c>
      <c r="G210">
        <v>1</v>
      </c>
      <c r="H210" s="3">
        <v>201.21239</v>
      </c>
      <c r="I210" s="3">
        <v>61.365754000000003</v>
      </c>
      <c r="J210" s="3">
        <v>14.59085</v>
      </c>
      <c r="K210">
        <f t="shared" si="15"/>
        <v>2101.0823999999998</v>
      </c>
      <c r="L210" s="3">
        <v>100.59953</v>
      </c>
      <c r="M210" s="3">
        <v>26.797713999999999</v>
      </c>
      <c r="N210" s="3">
        <f t="shared" si="16"/>
        <v>539.90588519999994</v>
      </c>
      <c r="O210" s="3">
        <v>0.17667416</v>
      </c>
      <c r="P210" s="3">
        <v>57</v>
      </c>
      <c r="Q210" s="3">
        <f t="shared" si="17"/>
        <v>2.2671682225777721E-3</v>
      </c>
      <c r="R210" s="3">
        <f t="shared" si="18"/>
        <v>45.894769111225926</v>
      </c>
      <c r="S210" s="3">
        <v>3.6199999999999999E-7</v>
      </c>
      <c r="T210">
        <f t="shared" si="19"/>
        <v>840114.80036266195</v>
      </c>
    </row>
    <row r="211" spans="1:20" x14ac:dyDescent="0.25">
      <c r="A211" s="1">
        <v>43374</v>
      </c>
      <c r="B211" s="2">
        <v>0.82966435185185183</v>
      </c>
      <c r="C211">
        <v>1</v>
      </c>
      <c r="D211">
        <v>9</v>
      </c>
      <c r="E211">
        <v>234</v>
      </c>
      <c r="F211">
        <v>2</v>
      </c>
      <c r="G211">
        <v>2</v>
      </c>
      <c r="H211" s="3">
        <v>201.33346</v>
      </c>
      <c r="I211" s="3">
        <v>61.402678000000002</v>
      </c>
      <c r="J211" s="3">
        <v>14.591735999999999</v>
      </c>
      <c r="K211">
        <f t="shared" si="15"/>
        <v>2101.2099840000001</v>
      </c>
      <c r="L211" s="3">
        <v>100.60563999999999</v>
      </c>
      <c r="M211" s="3">
        <v>26.818736000000001</v>
      </c>
      <c r="N211" s="3">
        <f t="shared" si="16"/>
        <v>539.94372479999993</v>
      </c>
      <c r="O211" s="3">
        <v>0.17677427000000001</v>
      </c>
      <c r="P211" s="3">
        <v>58</v>
      </c>
      <c r="Q211" s="3">
        <f t="shared" si="17"/>
        <v>2.2671469975646527E-3</v>
      </c>
      <c r="R211" s="3">
        <f t="shared" si="18"/>
        <v>45.949585543057303</v>
      </c>
      <c r="S211" s="3">
        <v>3.6199999999999999E-7</v>
      </c>
      <c r="T211">
        <f t="shared" si="19"/>
        <v>840612.42973904801</v>
      </c>
    </row>
    <row r="212" spans="1:20" x14ac:dyDescent="0.25">
      <c r="A212" s="1">
        <v>43374</v>
      </c>
      <c r="B212" s="2">
        <v>0.82976851851851852</v>
      </c>
      <c r="C212">
        <v>1</v>
      </c>
      <c r="D212">
        <v>9</v>
      </c>
      <c r="E212">
        <v>235</v>
      </c>
      <c r="F212">
        <v>3</v>
      </c>
      <c r="G212">
        <v>3</v>
      </c>
      <c r="H212" s="3">
        <v>201.15682000000001</v>
      </c>
      <c r="I212" s="3">
        <v>61.348807000000001</v>
      </c>
      <c r="J212" s="3">
        <v>14.590603</v>
      </c>
      <c r="K212">
        <f t="shared" si="15"/>
        <v>2101.046832</v>
      </c>
      <c r="L212" s="3">
        <v>100.59783</v>
      </c>
      <c r="M212" s="3">
        <v>26.836106999999998</v>
      </c>
      <c r="N212" s="3">
        <f t="shared" si="16"/>
        <v>539.97499259999995</v>
      </c>
      <c r="O212" s="3">
        <v>0.17661405999999999</v>
      </c>
      <c r="P212" s="3">
        <v>59</v>
      </c>
      <c r="Q212" s="3">
        <f t="shared" si="17"/>
        <v>2.2668396898504308E-3</v>
      </c>
      <c r="R212" s="3">
        <f t="shared" si="18"/>
        <v>45.862775674297858</v>
      </c>
      <c r="S212" s="3">
        <v>3.6199999999999999E-7</v>
      </c>
      <c r="T212">
        <f t="shared" si="19"/>
        <v>839761.07451215293</v>
      </c>
    </row>
    <row r="213" spans="1:20" x14ac:dyDescent="0.25">
      <c r="A213" s="1">
        <v>43374</v>
      </c>
      <c r="B213" s="2">
        <v>0.82988425925925924</v>
      </c>
      <c r="C213">
        <v>1</v>
      </c>
      <c r="D213">
        <v>9</v>
      </c>
      <c r="E213">
        <v>236</v>
      </c>
      <c r="F213">
        <v>4</v>
      </c>
      <c r="G213">
        <v>4</v>
      </c>
      <c r="H213" s="3">
        <v>200.26175000000001</v>
      </c>
      <c r="I213" s="3">
        <v>61.075826999999997</v>
      </c>
      <c r="J213" s="3">
        <v>14.588825</v>
      </c>
      <c r="K213">
        <f t="shared" si="15"/>
        <v>2100.7907999999998</v>
      </c>
      <c r="L213" s="3">
        <v>100.58557</v>
      </c>
      <c r="M213" s="3">
        <v>26.856221000000001</v>
      </c>
      <c r="N213" s="3">
        <f t="shared" si="16"/>
        <v>540.01119779999999</v>
      </c>
      <c r="O213" s="3">
        <v>0.17582229999999999</v>
      </c>
      <c r="P213" s="3">
        <v>60</v>
      </c>
      <c r="Q213" s="3">
        <f t="shared" si="17"/>
        <v>2.266411492083203E-3</v>
      </c>
      <c r="R213" s="3">
        <f t="shared" si="18"/>
        <v>45.446954122670725</v>
      </c>
      <c r="S213" s="3">
        <v>3.6199999999999999E-7</v>
      </c>
      <c r="T213">
        <f t="shared" si="19"/>
        <v>835866.54074529174</v>
      </c>
    </row>
    <row r="214" spans="1:20" x14ac:dyDescent="0.25">
      <c r="A214" s="1">
        <v>43374</v>
      </c>
      <c r="B214" s="2">
        <v>0.82998842592592592</v>
      </c>
      <c r="C214">
        <v>1</v>
      </c>
      <c r="D214">
        <v>9</v>
      </c>
      <c r="E214">
        <v>237</v>
      </c>
      <c r="F214">
        <v>5</v>
      </c>
      <c r="G214">
        <v>5</v>
      </c>
      <c r="H214" s="3">
        <v>199.13151999999999</v>
      </c>
      <c r="I214" s="3">
        <v>60.73113</v>
      </c>
      <c r="J214" s="3">
        <v>14.586800999999999</v>
      </c>
      <c r="K214">
        <f t="shared" si="15"/>
        <v>2100.4993439999998</v>
      </c>
      <c r="L214" s="3">
        <v>100.57161000000001</v>
      </c>
      <c r="M214" s="3">
        <v>26.880607000000001</v>
      </c>
      <c r="N214" s="3">
        <f t="shared" si="16"/>
        <v>540.05509259999997</v>
      </c>
      <c r="O214" s="3">
        <v>0.17482289000000001</v>
      </c>
      <c r="P214" s="3">
        <v>61</v>
      </c>
      <c r="Q214" s="3">
        <f t="shared" si="17"/>
        <v>2.2659128737915692E-3</v>
      </c>
      <c r="R214" s="3">
        <f t="shared" si="18"/>
        <v>44.925532014206759</v>
      </c>
      <c r="S214" s="3">
        <v>3.6199999999999999E-7</v>
      </c>
      <c r="T214">
        <f t="shared" si="19"/>
        <v>830966.25183367089</v>
      </c>
    </row>
    <row r="215" spans="1:20" x14ac:dyDescent="0.25">
      <c r="A215" s="1">
        <v>43374</v>
      </c>
      <c r="B215" s="2">
        <v>0.83010416666666664</v>
      </c>
      <c r="C215">
        <v>1</v>
      </c>
      <c r="D215">
        <v>9</v>
      </c>
      <c r="E215">
        <v>238</v>
      </c>
      <c r="F215">
        <v>6</v>
      </c>
      <c r="G215">
        <v>6</v>
      </c>
      <c r="H215" s="3">
        <v>197.28298000000001</v>
      </c>
      <c r="I215" s="3">
        <v>60.167363999999999</v>
      </c>
      <c r="J215" s="3">
        <v>14.582098</v>
      </c>
      <c r="K215">
        <f t="shared" si="15"/>
        <v>2099.8221119999998</v>
      </c>
      <c r="L215" s="3">
        <v>100.53919</v>
      </c>
      <c r="M215" s="3">
        <v>26.906828999999998</v>
      </c>
      <c r="N215" s="3">
        <f t="shared" si="16"/>
        <v>540.10229219999997</v>
      </c>
      <c r="O215" s="3">
        <v>0.17319245</v>
      </c>
      <c r="P215" s="3">
        <v>62</v>
      </c>
      <c r="Q215" s="3">
        <f t="shared" si="17"/>
        <v>2.2649843554908367E-3</v>
      </c>
      <c r="R215" s="3">
        <f t="shared" si="18"/>
        <v>44.077245832233224</v>
      </c>
      <c r="S215" s="3">
        <v>3.6199999999999999E-7</v>
      </c>
      <c r="T215">
        <f t="shared" si="19"/>
        <v>822915.0337101504</v>
      </c>
    </row>
    <row r="216" spans="1:20" x14ac:dyDescent="0.25">
      <c r="A216" s="1">
        <v>43374</v>
      </c>
      <c r="B216" s="2">
        <v>0.83020833333333333</v>
      </c>
      <c r="C216">
        <v>1</v>
      </c>
      <c r="D216">
        <v>9</v>
      </c>
      <c r="E216">
        <v>239</v>
      </c>
      <c r="F216">
        <v>7</v>
      </c>
      <c r="G216">
        <v>7</v>
      </c>
      <c r="H216" s="3">
        <v>195.12656999999999</v>
      </c>
      <c r="I216" s="3">
        <v>59.509701</v>
      </c>
      <c r="J216" s="3">
        <v>14.577344</v>
      </c>
      <c r="K216">
        <f t="shared" si="15"/>
        <v>2099.1375360000002</v>
      </c>
      <c r="L216" s="3">
        <v>100.50641</v>
      </c>
      <c r="M216" s="3">
        <v>26.929986</v>
      </c>
      <c r="N216" s="3">
        <f t="shared" si="16"/>
        <v>540.14397479999991</v>
      </c>
      <c r="O216" s="3">
        <v>0.17129274999999999</v>
      </c>
      <c r="P216" s="3">
        <v>63</v>
      </c>
      <c r="Q216" s="3">
        <f t="shared" si="17"/>
        <v>2.2640712033688685E-3</v>
      </c>
      <c r="R216" s="3">
        <f t="shared" si="18"/>
        <v>43.101551770202242</v>
      </c>
      <c r="S216" s="3">
        <v>3.6199999999999999E-7</v>
      </c>
      <c r="T216">
        <f t="shared" si="19"/>
        <v>813591.98554169387</v>
      </c>
    </row>
    <row r="217" spans="1:20" x14ac:dyDescent="0.25">
      <c r="A217" s="1">
        <v>43374</v>
      </c>
      <c r="B217" s="2">
        <v>0.83032407407407405</v>
      </c>
      <c r="C217">
        <v>1</v>
      </c>
      <c r="D217">
        <v>9</v>
      </c>
      <c r="E217">
        <v>240</v>
      </c>
      <c r="F217">
        <v>8</v>
      </c>
      <c r="G217">
        <v>8</v>
      </c>
      <c r="H217" s="3">
        <v>193.98390000000001</v>
      </c>
      <c r="I217" s="3">
        <v>59.161211000000002</v>
      </c>
      <c r="J217" s="3">
        <v>14.575319</v>
      </c>
      <c r="K217">
        <f t="shared" si="15"/>
        <v>2098.8459360000002</v>
      </c>
      <c r="L217" s="3">
        <v>100.49245000000001</v>
      </c>
      <c r="M217" s="3">
        <v>26.954979000000002</v>
      </c>
      <c r="N217" s="3">
        <f t="shared" si="16"/>
        <v>540.18896219999999</v>
      </c>
      <c r="O217" s="3">
        <v>0.17028256999999999</v>
      </c>
      <c r="P217" s="3">
        <v>64</v>
      </c>
      <c r="Q217" s="3">
        <f t="shared" si="17"/>
        <v>2.2635681641427902E-3</v>
      </c>
      <c r="R217" s="3">
        <f t="shared" si="18"/>
        <v>42.588755977404901</v>
      </c>
      <c r="S217" s="3">
        <v>3.6199999999999999E-7</v>
      </c>
      <c r="T217">
        <f t="shared" si="19"/>
        <v>808647.84603362542</v>
      </c>
    </row>
    <row r="218" spans="1:20" x14ac:dyDescent="0.25">
      <c r="A218" s="1">
        <v>43374</v>
      </c>
      <c r="B218" s="2">
        <v>0.83042824074074073</v>
      </c>
      <c r="C218">
        <v>1</v>
      </c>
      <c r="D218">
        <v>9</v>
      </c>
      <c r="E218">
        <v>241</v>
      </c>
      <c r="F218">
        <v>9</v>
      </c>
      <c r="G218">
        <v>9</v>
      </c>
      <c r="H218" s="3">
        <v>192.81007</v>
      </c>
      <c r="I218" s="3">
        <v>58.803215000000002</v>
      </c>
      <c r="J218" s="3">
        <v>14.573356</v>
      </c>
      <c r="K218">
        <f t="shared" si="15"/>
        <v>2098.5632639999999</v>
      </c>
      <c r="L218" s="3">
        <v>100.47892</v>
      </c>
      <c r="M218" s="3">
        <v>26.979970999999999</v>
      </c>
      <c r="N218" s="3">
        <f t="shared" si="16"/>
        <v>540.2339477999999</v>
      </c>
      <c r="O218" s="3">
        <v>0.16924511</v>
      </c>
      <c r="P218" s="3">
        <v>65</v>
      </c>
      <c r="Q218" s="3">
        <f t="shared" si="17"/>
        <v>2.2630748441251625E-3</v>
      </c>
      <c r="R218" s="3">
        <f t="shared" si="18"/>
        <v>42.065721872423751</v>
      </c>
      <c r="S218" s="3">
        <v>3.6199999999999999E-7</v>
      </c>
      <c r="T218">
        <f t="shared" si="19"/>
        <v>803579.40904422035</v>
      </c>
    </row>
    <row r="219" spans="1:20" x14ac:dyDescent="0.25">
      <c r="A219" s="1">
        <v>43374</v>
      </c>
      <c r="B219" s="2">
        <v>0.8305324074074073</v>
      </c>
      <c r="C219">
        <v>1</v>
      </c>
      <c r="D219">
        <v>9</v>
      </c>
      <c r="E219">
        <v>242</v>
      </c>
      <c r="F219">
        <v>10</v>
      </c>
      <c r="G219">
        <v>10</v>
      </c>
      <c r="H219" s="3">
        <v>191.57963000000001</v>
      </c>
      <c r="I219" s="3">
        <v>58.427954999999997</v>
      </c>
      <c r="J219" s="3">
        <v>14.570354999999999</v>
      </c>
      <c r="K219">
        <f t="shared" si="15"/>
        <v>2098.13112</v>
      </c>
      <c r="L219" s="3">
        <v>100.45823</v>
      </c>
      <c r="M219" s="3">
        <v>27.000986000000001</v>
      </c>
      <c r="N219" s="3">
        <f t="shared" si="16"/>
        <v>540.2717748</v>
      </c>
      <c r="O219" s="3">
        <v>0.16815916</v>
      </c>
      <c r="P219" s="3">
        <v>66</v>
      </c>
      <c r="Q219" s="3">
        <f t="shared" si="17"/>
        <v>2.2624504072655911E-3</v>
      </c>
      <c r="R219" s="3">
        <f t="shared" si="18"/>
        <v>41.51908108126613</v>
      </c>
      <c r="S219" s="3">
        <v>3.6199999999999999E-7</v>
      </c>
      <c r="T219">
        <f t="shared" si="19"/>
        <v>798230.96117364883</v>
      </c>
    </row>
    <row r="220" spans="1:20" x14ac:dyDescent="0.25">
      <c r="A220" s="1">
        <v>43374</v>
      </c>
      <c r="B220" s="2">
        <v>0.83064814814814814</v>
      </c>
      <c r="C220">
        <v>1</v>
      </c>
      <c r="D220">
        <v>9</v>
      </c>
      <c r="E220">
        <v>243</v>
      </c>
      <c r="F220">
        <v>11</v>
      </c>
      <c r="G220">
        <v>11</v>
      </c>
      <c r="H220" s="3">
        <v>190.59885</v>
      </c>
      <c r="I220" s="3">
        <v>58.128836999999997</v>
      </c>
      <c r="J220" s="3">
        <v>14.568384999999999</v>
      </c>
      <c r="K220">
        <f t="shared" si="15"/>
        <v>2097.84744</v>
      </c>
      <c r="L220" s="3">
        <v>100.44464000000001</v>
      </c>
      <c r="M220" s="3">
        <v>27.013171</v>
      </c>
      <c r="N220" s="3">
        <f t="shared" si="16"/>
        <v>540.29370779999999</v>
      </c>
      <c r="O220" s="3">
        <v>0.16729488000000001</v>
      </c>
      <c r="P220" s="3">
        <v>67</v>
      </c>
      <c r="Q220" s="3">
        <f t="shared" si="17"/>
        <v>2.2620526794830385E-3</v>
      </c>
      <c r="R220" s="3">
        <f t="shared" si="18"/>
        <v>41.087836221781188</v>
      </c>
      <c r="S220" s="3">
        <v>3.6199999999999999E-7</v>
      </c>
      <c r="T220">
        <f t="shared" si="19"/>
        <v>794004.86067934753</v>
      </c>
    </row>
    <row r="221" spans="1:20" x14ac:dyDescent="0.25">
      <c r="A221" s="1">
        <v>43374</v>
      </c>
      <c r="B221" s="2">
        <v>0.83075231481481471</v>
      </c>
      <c r="C221">
        <v>1</v>
      </c>
      <c r="D221">
        <v>9</v>
      </c>
      <c r="E221">
        <v>244</v>
      </c>
      <c r="F221">
        <v>12</v>
      </c>
      <c r="G221">
        <v>12</v>
      </c>
      <c r="H221" s="3">
        <v>188.96620999999999</v>
      </c>
      <c r="I221" s="3">
        <v>57.630915000000002</v>
      </c>
      <c r="J221" s="3">
        <v>14.565618000000001</v>
      </c>
      <c r="K221">
        <f t="shared" si="15"/>
        <v>2097.4489920000001</v>
      </c>
      <c r="L221" s="3">
        <v>100.42556</v>
      </c>
      <c r="M221" s="3">
        <v>27.033000000000001</v>
      </c>
      <c r="N221" s="3">
        <f t="shared" si="16"/>
        <v>540.32939999999996</v>
      </c>
      <c r="O221" s="3">
        <v>0.16585638</v>
      </c>
      <c r="P221" s="3">
        <v>68</v>
      </c>
      <c r="Q221" s="3">
        <f t="shared" si="17"/>
        <v>2.26147364906794E-3</v>
      </c>
      <c r="R221" s="3">
        <f t="shared" si="18"/>
        <v>40.376608928432873</v>
      </c>
      <c r="S221" s="3">
        <v>3.6199999999999999E-7</v>
      </c>
      <c r="T221">
        <f t="shared" si="19"/>
        <v>787002.03403174703</v>
      </c>
    </row>
    <row r="222" spans="1:20" x14ac:dyDescent="0.25">
      <c r="A222" s="1">
        <v>43374</v>
      </c>
      <c r="B222" s="2">
        <v>0.83086805555555554</v>
      </c>
      <c r="C222">
        <v>1</v>
      </c>
      <c r="D222">
        <v>9</v>
      </c>
      <c r="E222">
        <v>245</v>
      </c>
      <c r="F222">
        <v>13</v>
      </c>
      <c r="G222">
        <v>13</v>
      </c>
      <c r="H222" s="3">
        <v>188.35256999999999</v>
      </c>
      <c r="I222" s="3">
        <v>57.443767000000001</v>
      </c>
      <c r="J222" s="3">
        <v>14.564748</v>
      </c>
      <c r="K222">
        <f t="shared" si="15"/>
        <v>2097.3237119999999</v>
      </c>
      <c r="L222" s="3">
        <v>100.41956999999999</v>
      </c>
      <c r="M222" s="3">
        <v>27.052206999999999</v>
      </c>
      <c r="N222" s="3">
        <f t="shared" si="16"/>
        <v>540.36397260000001</v>
      </c>
      <c r="O222" s="3">
        <v>0.1653125</v>
      </c>
      <c r="P222" s="3">
        <v>69</v>
      </c>
      <c r="Q222" s="3">
        <f t="shared" si="17"/>
        <v>2.2611938910094493E-3</v>
      </c>
      <c r="R222" s="3">
        <f t="shared" si="18"/>
        <v>40.109838057924996</v>
      </c>
      <c r="S222" s="3">
        <v>3.6199999999999999E-7</v>
      </c>
      <c r="T222">
        <f t="shared" si="19"/>
        <v>784349.31977887591</v>
      </c>
    </row>
    <row r="223" spans="1:20" x14ac:dyDescent="0.25">
      <c r="A223" s="1">
        <v>43374</v>
      </c>
      <c r="B223" s="2">
        <v>0.83097222222222233</v>
      </c>
      <c r="C223">
        <v>1</v>
      </c>
      <c r="D223">
        <v>9</v>
      </c>
      <c r="E223">
        <v>246</v>
      </c>
      <c r="F223">
        <v>14</v>
      </c>
      <c r="G223">
        <v>14</v>
      </c>
      <c r="H223" s="3">
        <v>187.12487999999999</v>
      </c>
      <c r="I223" s="3">
        <v>57.069347</v>
      </c>
      <c r="J223" s="3">
        <v>14.563138</v>
      </c>
      <c r="K223">
        <f t="shared" si="15"/>
        <v>2097.091872</v>
      </c>
      <c r="L223" s="3">
        <v>100.40846999999999</v>
      </c>
      <c r="M223" s="3">
        <v>27.077786</v>
      </c>
      <c r="N223" s="3">
        <f t="shared" si="16"/>
        <v>540.4100148</v>
      </c>
      <c r="O223" s="3">
        <v>0.16422798999999999</v>
      </c>
      <c r="P223" s="3">
        <v>70</v>
      </c>
      <c r="Q223" s="3">
        <f t="shared" si="17"/>
        <v>2.2607513073007236E-3</v>
      </c>
      <c r="R223" s="3">
        <f t="shared" si="18"/>
        <v>39.580918191272907</v>
      </c>
      <c r="S223" s="3">
        <v>3.6199999999999999E-7</v>
      </c>
      <c r="T223">
        <f t="shared" si="19"/>
        <v>779084.37769519526</v>
      </c>
    </row>
    <row r="224" spans="1:20" x14ac:dyDescent="0.25">
      <c r="A224" s="1">
        <v>43374</v>
      </c>
      <c r="B224" s="2">
        <v>0.83108796296296295</v>
      </c>
      <c r="C224">
        <v>1</v>
      </c>
      <c r="D224">
        <v>9</v>
      </c>
      <c r="E224">
        <v>247</v>
      </c>
      <c r="F224">
        <v>15</v>
      </c>
      <c r="G224">
        <v>15</v>
      </c>
      <c r="H224" s="3">
        <v>186.60811000000001</v>
      </c>
      <c r="I224" s="3">
        <v>56.911740999999999</v>
      </c>
      <c r="J224" s="3">
        <v>14.562313</v>
      </c>
      <c r="K224">
        <f t="shared" si="15"/>
        <v>2096.9730719999998</v>
      </c>
      <c r="L224" s="3">
        <v>100.40278000000001</v>
      </c>
      <c r="M224" s="3">
        <v>27.101264</v>
      </c>
      <c r="N224" s="3">
        <f t="shared" si="16"/>
        <v>540.45227520000003</v>
      </c>
      <c r="O224" s="3">
        <v>0.16376805</v>
      </c>
      <c r="P224" s="3">
        <v>71</v>
      </c>
      <c r="Q224" s="3">
        <f t="shared" si="17"/>
        <v>2.2604464676908476E-3</v>
      </c>
      <c r="R224" s="3">
        <f t="shared" si="18"/>
        <v>39.357296571023085</v>
      </c>
      <c r="S224" s="3">
        <v>3.6199999999999999E-7</v>
      </c>
      <c r="T224">
        <f t="shared" si="19"/>
        <v>776828.07199256937</v>
      </c>
    </row>
    <row r="225" spans="1:21" x14ac:dyDescent="0.25">
      <c r="A225" s="1">
        <v>43374</v>
      </c>
      <c r="B225" s="2">
        <v>0.83119212962962974</v>
      </c>
      <c r="C225">
        <v>1</v>
      </c>
      <c r="D225">
        <v>9</v>
      </c>
      <c r="E225">
        <v>248</v>
      </c>
      <c r="F225">
        <v>16</v>
      </c>
      <c r="G225">
        <v>16</v>
      </c>
      <c r="H225" s="3">
        <v>185.31707</v>
      </c>
      <c r="I225" s="3">
        <v>56.518000999999998</v>
      </c>
      <c r="J225" s="3">
        <v>14.560917999999999</v>
      </c>
      <c r="K225">
        <f t="shared" si="15"/>
        <v>2096.7721919999999</v>
      </c>
      <c r="L225" s="3">
        <v>100.39315999999999</v>
      </c>
      <c r="M225" s="3">
        <v>27.119543</v>
      </c>
      <c r="N225" s="3">
        <f t="shared" si="16"/>
        <v>540.4851774</v>
      </c>
      <c r="O225" s="3">
        <v>0.16263008000000001</v>
      </c>
      <c r="P225" s="3">
        <v>72</v>
      </c>
      <c r="Q225" s="3">
        <f t="shared" si="17"/>
        <v>2.2600923355345641E-3</v>
      </c>
      <c r="R225" s="3">
        <f t="shared" si="18"/>
        <v>38.808516082414741</v>
      </c>
      <c r="S225" s="3">
        <v>3.6199999999999999E-7</v>
      </c>
      <c r="T225">
        <f t="shared" si="19"/>
        <v>771332.76160354016</v>
      </c>
    </row>
    <row r="226" spans="1:21" x14ac:dyDescent="0.25">
      <c r="A226" s="1">
        <v>43374</v>
      </c>
      <c r="B226" s="2">
        <v>0.83130787037037035</v>
      </c>
      <c r="C226">
        <v>1</v>
      </c>
      <c r="D226">
        <v>9</v>
      </c>
      <c r="E226">
        <v>249</v>
      </c>
      <c r="F226">
        <v>17</v>
      </c>
      <c r="G226">
        <v>17</v>
      </c>
      <c r="H226" s="3">
        <v>184.69578999999999</v>
      </c>
      <c r="I226" s="3">
        <v>56.328521000000002</v>
      </c>
      <c r="J226" s="3">
        <v>14.564969</v>
      </c>
      <c r="K226">
        <f t="shared" si="15"/>
        <v>2097.355536</v>
      </c>
      <c r="L226" s="3">
        <v>100.42109000000001</v>
      </c>
      <c r="M226" s="3">
        <v>27.139664</v>
      </c>
      <c r="N226" s="3">
        <f t="shared" si="16"/>
        <v>540.52139519999992</v>
      </c>
      <c r="O226" s="3">
        <v>0.16207942</v>
      </c>
      <c r="P226" s="3">
        <v>73</v>
      </c>
      <c r="Q226" s="3">
        <f t="shared" si="17"/>
        <v>2.2605696366062391E-3</v>
      </c>
      <c r="R226" s="3">
        <f t="shared" si="18"/>
        <v>38.556880247697528</v>
      </c>
      <c r="S226" s="3">
        <v>3.6199999999999999E-7</v>
      </c>
      <c r="T226">
        <f t="shared" si="19"/>
        <v>768909.19867956219</v>
      </c>
    </row>
    <row r="227" spans="1:21" x14ac:dyDescent="0.25">
      <c r="A227" s="1">
        <v>43374</v>
      </c>
      <c r="B227" s="2">
        <v>0.83141203703703714</v>
      </c>
      <c r="C227">
        <v>1</v>
      </c>
      <c r="D227">
        <v>9</v>
      </c>
      <c r="E227">
        <v>250</v>
      </c>
      <c r="F227">
        <v>18</v>
      </c>
      <c r="G227">
        <v>18</v>
      </c>
      <c r="H227" s="3">
        <v>184.95102</v>
      </c>
      <c r="I227" s="3">
        <v>56.406360999999997</v>
      </c>
      <c r="J227" s="3">
        <v>14.567397</v>
      </c>
      <c r="K227">
        <f t="shared" si="15"/>
        <v>2097.705168</v>
      </c>
      <c r="L227" s="3">
        <v>100.43783000000001</v>
      </c>
      <c r="M227" s="3">
        <v>27.160692999999998</v>
      </c>
      <c r="N227" s="3">
        <f t="shared" si="16"/>
        <v>540.55924739999989</v>
      </c>
      <c r="O227" s="3">
        <v>0.16229772000000001</v>
      </c>
      <c r="P227" s="3">
        <v>74</v>
      </c>
      <c r="Q227" s="3">
        <f t="shared" si="17"/>
        <v>2.260788155769613E-3</v>
      </c>
      <c r="R227" s="3">
        <f t="shared" si="18"/>
        <v>38.667254347752689</v>
      </c>
      <c r="S227" s="3">
        <v>3.6199999999999999E-7</v>
      </c>
      <c r="T227">
        <f t="shared" si="19"/>
        <v>770046.17939872714</v>
      </c>
      <c r="U227">
        <f>AVERAGE(T205:T227)</f>
        <v>807441.81880422158</v>
      </c>
    </row>
    <row r="228" spans="1:21" x14ac:dyDescent="0.25">
      <c r="A228" s="1">
        <v>43374</v>
      </c>
      <c r="B228" s="2">
        <v>0.83206018518518521</v>
      </c>
      <c r="C228">
        <v>1</v>
      </c>
      <c r="D228">
        <v>9</v>
      </c>
      <c r="E228">
        <v>251</v>
      </c>
      <c r="F228">
        <v>18</v>
      </c>
      <c r="G228">
        <v>18</v>
      </c>
      <c r="H228" s="3">
        <v>0</v>
      </c>
      <c r="I228" s="3">
        <v>0</v>
      </c>
      <c r="J228" s="3">
        <v>14.341519</v>
      </c>
      <c r="K228">
        <f t="shared" si="15"/>
        <v>2065.1787359999998</v>
      </c>
      <c r="L228" s="3">
        <v>98.880472999999995</v>
      </c>
      <c r="M228" s="3">
        <v>27.187813999999999</v>
      </c>
      <c r="N228" s="3">
        <f t="shared" si="16"/>
        <v>540.60806519999994</v>
      </c>
      <c r="O228" s="3">
        <v>0</v>
      </c>
      <c r="P228" s="3">
        <v>75</v>
      </c>
      <c r="Q228" s="3">
        <f t="shared" si="17"/>
        <v>2.2255320170279603E-3</v>
      </c>
      <c r="R228" s="3">
        <f t="shared" si="18"/>
        <v>0</v>
      </c>
      <c r="S228" s="3">
        <v>3.6199999999999999E-7</v>
      </c>
      <c r="T228">
        <f t="shared" si="19"/>
        <v>0</v>
      </c>
    </row>
    <row r="229" spans="1:21" x14ac:dyDescent="0.25">
      <c r="A229" s="1">
        <v>43374</v>
      </c>
      <c r="B229" s="2">
        <v>0.83399305555555558</v>
      </c>
      <c r="C229">
        <v>1</v>
      </c>
      <c r="D229">
        <v>9</v>
      </c>
      <c r="E229">
        <v>252</v>
      </c>
      <c r="F229">
        <v>0</v>
      </c>
      <c r="G229">
        <v>0</v>
      </c>
      <c r="H229" s="3">
        <v>0</v>
      </c>
      <c r="I229" s="3">
        <v>0</v>
      </c>
      <c r="J229" s="3">
        <v>14.341467</v>
      </c>
      <c r="K229">
        <f t="shared" si="15"/>
        <v>2065.1712480000001</v>
      </c>
      <c r="L229" s="3">
        <v>98.880115000000004</v>
      </c>
      <c r="M229" s="3">
        <v>27.033293</v>
      </c>
      <c r="N229" s="3">
        <f t="shared" si="16"/>
        <v>540.32992739999997</v>
      </c>
      <c r="O229" s="3">
        <v>0</v>
      </c>
      <c r="P229" s="3">
        <v>76</v>
      </c>
      <c r="Q229" s="3">
        <f t="shared" si="17"/>
        <v>2.2266695482976253E-3</v>
      </c>
      <c r="R229" s="3">
        <f t="shared" si="18"/>
        <v>0</v>
      </c>
      <c r="S229" s="3">
        <v>3.6199999999999999E-7</v>
      </c>
      <c r="T229">
        <f t="shared" si="19"/>
        <v>0</v>
      </c>
    </row>
    <row r="230" spans="1:21" x14ac:dyDescent="0.25">
      <c r="A230" s="1">
        <v>43374</v>
      </c>
      <c r="B230" s="2">
        <v>0.83490740740740732</v>
      </c>
      <c r="C230">
        <v>1</v>
      </c>
      <c r="D230">
        <v>10</v>
      </c>
      <c r="E230">
        <v>253</v>
      </c>
      <c r="F230">
        <v>-4</v>
      </c>
      <c r="G230">
        <v>-4</v>
      </c>
      <c r="H230" s="3">
        <v>217.06900999999999</v>
      </c>
      <c r="I230" s="3">
        <v>66.201706999999999</v>
      </c>
      <c r="J230" s="3">
        <v>14.633791</v>
      </c>
      <c r="K230">
        <f t="shared" si="15"/>
        <v>2107.2659039999999</v>
      </c>
      <c r="L230" s="3">
        <v>100.8956</v>
      </c>
      <c r="M230" s="3">
        <v>27.014700000000001</v>
      </c>
      <c r="N230" s="3">
        <f t="shared" si="16"/>
        <v>540.29646000000002</v>
      </c>
      <c r="O230" s="3">
        <v>0.19052812999999999</v>
      </c>
      <c r="P230" s="3">
        <v>77</v>
      </c>
      <c r="Q230" s="3">
        <f t="shared" si="17"/>
        <v>2.2721967824976359E-3</v>
      </c>
      <c r="R230" s="3">
        <f t="shared" si="18"/>
        <v>53.53176908913931</v>
      </c>
      <c r="S230" s="3">
        <v>3.6199999999999999E-7</v>
      </c>
      <c r="T230">
        <f t="shared" si="19"/>
        <v>908330.58213986584</v>
      </c>
    </row>
    <row r="231" spans="1:21" x14ac:dyDescent="0.25">
      <c r="A231" s="1">
        <v>43374</v>
      </c>
      <c r="B231" s="2">
        <v>0.83502314814814815</v>
      </c>
      <c r="C231">
        <v>1</v>
      </c>
      <c r="D231">
        <v>10</v>
      </c>
      <c r="E231">
        <v>254</v>
      </c>
      <c r="F231">
        <v>-3</v>
      </c>
      <c r="G231">
        <v>-3</v>
      </c>
      <c r="H231" s="3">
        <v>220.48734999999999</v>
      </c>
      <c r="I231" s="3">
        <v>67.244230999999999</v>
      </c>
      <c r="J231" s="3">
        <v>14.642922</v>
      </c>
      <c r="K231">
        <f t="shared" si="15"/>
        <v>2108.5807680000003</v>
      </c>
      <c r="L231" s="3">
        <v>100.95856000000001</v>
      </c>
      <c r="M231" s="3">
        <v>27.03755</v>
      </c>
      <c r="N231" s="3">
        <f t="shared" si="16"/>
        <v>540.33758999999998</v>
      </c>
      <c r="O231" s="3">
        <v>0.19352114000000001</v>
      </c>
      <c r="P231" s="3">
        <v>78</v>
      </c>
      <c r="Q231" s="3">
        <f t="shared" si="17"/>
        <v>2.2734414924456096E-3</v>
      </c>
      <c r="R231" s="3">
        <f t="shared" si="18"/>
        <v>55.2613056762493</v>
      </c>
      <c r="S231" s="3">
        <v>3.6199999999999999E-7</v>
      </c>
      <c r="T231">
        <f t="shared" si="19"/>
        <v>923140.12900437845</v>
      </c>
    </row>
    <row r="232" spans="1:21" x14ac:dyDescent="0.25">
      <c r="A232" s="1">
        <v>43374</v>
      </c>
      <c r="B232" s="2">
        <v>0.83512731481481473</v>
      </c>
      <c r="C232">
        <v>1</v>
      </c>
      <c r="D232">
        <v>10</v>
      </c>
      <c r="E232">
        <v>255</v>
      </c>
      <c r="F232">
        <v>-2</v>
      </c>
      <c r="G232">
        <v>-2</v>
      </c>
      <c r="H232" s="3">
        <v>222.68440000000001</v>
      </c>
      <c r="I232" s="3">
        <v>67.914288999999997</v>
      </c>
      <c r="J232" s="3">
        <v>14.646988</v>
      </c>
      <c r="K232">
        <f t="shared" si="15"/>
        <v>2109.1662719999999</v>
      </c>
      <c r="L232" s="3">
        <v>100.98659000000001</v>
      </c>
      <c r="M232" s="3">
        <v>27.067129000000001</v>
      </c>
      <c r="N232" s="3">
        <f t="shared" si="16"/>
        <v>540.39083219999998</v>
      </c>
      <c r="O232" s="3">
        <v>0.19543985999999999</v>
      </c>
      <c r="P232" s="3">
        <v>79</v>
      </c>
      <c r="Q232" s="3">
        <f t="shared" si="17"/>
        <v>2.273848720613762E-3</v>
      </c>
      <c r="R232" s="3">
        <f t="shared" si="18"/>
        <v>56.378194010848908</v>
      </c>
      <c r="S232" s="3">
        <v>3.6199999999999999E-7</v>
      </c>
      <c r="T232">
        <f t="shared" si="19"/>
        <v>932505.7790803744</v>
      </c>
    </row>
    <row r="233" spans="1:21" x14ac:dyDescent="0.25">
      <c r="A233" s="1">
        <v>43374</v>
      </c>
      <c r="B233" s="2">
        <v>0.83524305555555556</v>
      </c>
      <c r="C233">
        <v>1</v>
      </c>
      <c r="D233">
        <v>10</v>
      </c>
      <c r="E233">
        <v>256</v>
      </c>
      <c r="F233">
        <v>-1</v>
      </c>
      <c r="G233">
        <v>-1</v>
      </c>
      <c r="H233" s="3">
        <v>224.0496</v>
      </c>
      <c r="I233" s="3">
        <v>68.330646999999999</v>
      </c>
      <c r="J233" s="3">
        <v>14.650601999999999</v>
      </c>
      <c r="K233">
        <f t="shared" si="15"/>
        <v>2109.6866879999998</v>
      </c>
      <c r="L233" s="3">
        <v>101.0115</v>
      </c>
      <c r="M233" s="3">
        <v>27.098514000000002</v>
      </c>
      <c r="N233" s="3">
        <f t="shared" si="16"/>
        <v>540.44732520000002</v>
      </c>
      <c r="O233" s="3">
        <v>0.19662776000000001</v>
      </c>
      <c r="P233" s="3">
        <v>80</v>
      </c>
      <c r="Q233" s="3">
        <f t="shared" si="17"/>
        <v>2.2741720261594037E-3</v>
      </c>
      <c r="R233" s="3">
        <f t="shared" si="18"/>
        <v>57.079697550580086</v>
      </c>
      <c r="S233" s="3">
        <v>3.6199999999999999E-7</v>
      </c>
      <c r="T233">
        <f t="shared" si="19"/>
        <v>938356.04565783427</v>
      </c>
    </row>
    <row r="234" spans="1:21" x14ac:dyDescent="0.25">
      <c r="A234" s="1">
        <v>43374</v>
      </c>
      <c r="B234" s="2">
        <v>0.83534722222222213</v>
      </c>
      <c r="C234">
        <v>1</v>
      </c>
      <c r="D234">
        <v>10</v>
      </c>
      <c r="E234">
        <v>257</v>
      </c>
      <c r="F234">
        <v>0</v>
      </c>
      <c r="G234">
        <v>0</v>
      </c>
      <c r="H234" s="3">
        <v>226.03560999999999</v>
      </c>
      <c r="I234" s="3">
        <v>68.936339000000004</v>
      </c>
      <c r="J234" s="3">
        <v>14.655837</v>
      </c>
      <c r="K234">
        <f t="shared" si="15"/>
        <v>2110.4405280000001</v>
      </c>
      <c r="L234" s="3">
        <v>101.0476</v>
      </c>
      <c r="M234" s="3">
        <v>27.121679</v>
      </c>
      <c r="N234" s="3">
        <f t="shared" si="16"/>
        <v>540.48902219999991</v>
      </c>
      <c r="O234" s="3">
        <v>0.19836303999999999</v>
      </c>
      <c r="P234" s="3">
        <v>81</v>
      </c>
      <c r="Q234" s="3">
        <f t="shared" si="17"/>
        <v>2.2748091327955242E-3</v>
      </c>
      <c r="R234" s="3">
        <f t="shared" si="18"/>
        <v>58.112384421070544</v>
      </c>
      <c r="S234" s="3">
        <v>3.6199999999999999E-7</v>
      </c>
      <c r="T234">
        <f t="shared" si="19"/>
        <v>946938.98704421241</v>
      </c>
    </row>
    <row r="235" spans="1:21" x14ac:dyDescent="0.25">
      <c r="A235" s="1">
        <v>43374</v>
      </c>
      <c r="B235" s="2">
        <v>0.83546296296296296</v>
      </c>
      <c r="C235">
        <v>1</v>
      </c>
      <c r="D235">
        <v>10</v>
      </c>
      <c r="E235">
        <v>258</v>
      </c>
      <c r="F235">
        <v>1</v>
      </c>
      <c r="G235">
        <v>1</v>
      </c>
      <c r="H235" s="3">
        <v>227.87440000000001</v>
      </c>
      <c r="I235" s="3">
        <v>69.497135999999998</v>
      </c>
      <c r="J235" s="3">
        <v>14.659394000000001</v>
      </c>
      <c r="K235">
        <f t="shared" si="15"/>
        <v>2110.9527360000002</v>
      </c>
      <c r="L235" s="3">
        <v>101.07212</v>
      </c>
      <c r="M235" s="3">
        <v>27.150321000000002</v>
      </c>
      <c r="N235" s="3">
        <f t="shared" si="16"/>
        <v>540.54057780000005</v>
      </c>
      <c r="O235" s="3">
        <v>0.19996718999999999</v>
      </c>
      <c r="P235" s="3">
        <v>82</v>
      </c>
      <c r="Q235" s="3">
        <f t="shared" si="17"/>
        <v>2.2751442143037655E-3</v>
      </c>
      <c r="R235" s="3">
        <f t="shared" si="18"/>
        <v>59.070413513956822</v>
      </c>
      <c r="S235" s="3">
        <v>3.6199999999999999E-7</v>
      </c>
      <c r="T235">
        <f t="shared" si="19"/>
        <v>954782.91482125607</v>
      </c>
    </row>
    <row r="236" spans="1:21" x14ac:dyDescent="0.25">
      <c r="A236" s="1">
        <v>43374</v>
      </c>
      <c r="B236" s="2">
        <v>0.83556712962962953</v>
      </c>
      <c r="C236">
        <v>1</v>
      </c>
      <c r="D236">
        <v>10</v>
      </c>
      <c r="E236">
        <v>259</v>
      </c>
      <c r="F236">
        <v>2</v>
      </c>
      <c r="G236">
        <v>2</v>
      </c>
      <c r="H236" s="3">
        <v>227.96529000000001</v>
      </c>
      <c r="I236" s="3">
        <v>69.524852999999993</v>
      </c>
      <c r="J236" s="3">
        <v>14.660638000000001</v>
      </c>
      <c r="K236">
        <f t="shared" si="15"/>
        <v>2111.1318719999999</v>
      </c>
      <c r="L236" s="3">
        <v>101.08069999999999</v>
      </c>
      <c r="M236" s="3">
        <v>27.181407</v>
      </c>
      <c r="N236" s="3">
        <f t="shared" si="16"/>
        <v>540.59653259999993</v>
      </c>
      <c r="O236" s="3">
        <v>0.20003658999999999</v>
      </c>
      <c r="P236" s="3">
        <v>83</v>
      </c>
      <c r="Q236" s="3">
        <f t="shared" si="17"/>
        <v>2.2751017733519826E-3</v>
      </c>
      <c r="R236" s="3">
        <f t="shared" si="18"/>
        <v>59.116441781045864</v>
      </c>
      <c r="S236" s="3">
        <v>3.6199999999999999E-7</v>
      </c>
      <c r="T236">
        <f t="shared" si="19"/>
        <v>955145.9218079173</v>
      </c>
    </row>
    <row r="237" spans="1:21" x14ac:dyDescent="0.25">
      <c r="A237" s="1">
        <v>43374</v>
      </c>
      <c r="B237" s="2">
        <v>0.83568287037037037</v>
      </c>
      <c r="C237">
        <v>1</v>
      </c>
      <c r="D237">
        <v>10</v>
      </c>
      <c r="E237">
        <v>260</v>
      </c>
      <c r="F237">
        <v>3</v>
      </c>
      <c r="G237">
        <v>3</v>
      </c>
      <c r="H237" s="3">
        <v>227.73696000000001</v>
      </c>
      <c r="I237" s="3">
        <v>69.455218000000002</v>
      </c>
      <c r="J237" s="3">
        <v>14.659924</v>
      </c>
      <c r="K237">
        <f t="shared" si="15"/>
        <v>2111.0290559999999</v>
      </c>
      <c r="L237" s="3">
        <v>101.07577999999999</v>
      </c>
      <c r="M237" s="3">
        <v>27.207614</v>
      </c>
      <c r="N237" s="3">
        <f t="shared" si="16"/>
        <v>540.64370519999989</v>
      </c>
      <c r="O237" s="3">
        <v>0.19982751000000001</v>
      </c>
      <c r="P237" s="3">
        <v>84</v>
      </c>
      <c r="Q237" s="3">
        <f t="shared" si="17"/>
        <v>2.2747924727086937E-3</v>
      </c>
      <c r="R237" s="3">
        <f t="shared" si="18"/>
        <v>58.99005824519643</v>
      </c>
      <c r="S237" s="3">
        <v>3.6199999999999999E-7</v>
      </c>
      <c r="T237">
        <f t="shared" si="19"/>
        <v>954059.52553510305</v>
      </c>
    </row>
    <row r="238" spans="1:21" x14ac:dyDescent="0.25">
      <c r="A238" s="1">
        <v>43374</v>
      </c>
      <c r="B238" s="2">
        <v>0.83578703703703694</v>
      </c>
      <c r="C238">
        <v>1</v>
      </c>
      <c r="D238">
        <v>10</v>
      </c>
      <c r="E238">
        <v>261</v>
      </c>
      <c r="F238">
        <v>4</v>
      </c>
      <c r="G238">
        <v>4</v>
      </c>
      <c r="H238" s="3">
        <v>226.49118000000001</v>
      </c>
      <c r="I238" s="3">
        <v>69.075280000000006</v>
      </c>
      <c r="J238" s="3">
        <v>14.656622</v>
      </c>
      <c r="K238">
        <f t="shared" si="15"/>
        <v>2110.5535680000003</v>
      </c>
      <c r="L238" s="3">
        <v>101.05301</v>
      </c>
      <c r="M238" s="3">
        <v>27.233529000000001</v>
      </c>
      <c r="N238" s="3">
        <f t="shared" si="16"/>
        <v>540.69035219999989</v>
      </c>
      <c r="O238" s="3">
        <v>0.19872582999999999</v>
      </c>
      <c r="P238" s="3">
        <v>85</v>
      </c>
      <c r="Q238" s="3">
        <f t="shared" si="17"/>
        <v>2.2740838895947213E-3</v>
      </c>
      <c r="R238" s="3">
        <f t="shared" si="18"/>
        <v>58.328267195324869</v>
      </c>
      <c r="S238" s="3">
        <v>3.6199999999999999E-7</v>
      </c>
      <c r="T238">
        <f t="shared" si="19"/>
        <v>948545.01578876295</v>
      </c>
    </row>
    <row r="239" spans="1:21" x14ac:dyDescent="0.25">
      <c r="A239" s="1">
        <v>43374</v>
      </c>
      <c r="B239" s="2">
        <v>0.83590277777777777</v>
      </c>
      <c r="C239">
        <v>1</v>
      </c>
      <c r="D239">
        <v>10</v>
      </c>
      <c r="E239">
        <v>262</v>
      </c>
      <c r="F239">
        <v>5</v>
      </c>
      <c r="G239">
        <v>5</v>
      </c>
      <c r="H239" s="3">
        <v>224.73788999999999</v>
      </c>
      <c r="I239" s="3">
        <v>68.540561999999994</v>
      </c>
      <c r="J239" s="3">
        <v>14.652901999999999</v>
      </c>
      <c r="K239">
        <f t="shared" si="15"/>
        <v>2110.0178879999999</v>
      </c>
      <c r="L239" s="3">
        <v>101.02737</v>
      </c>
      <c r="M239" s="3">
        <v>27.260356999999999</v>
      </c>
      <c r="N239" s="3">
        <f t="shared" si="16"/>
        <v>540.73864259999993</v>
      </c>
      <c r="O239" s="3">
        <v>0.19717867</v>
      </c>
      <c r="P239" s="3">
        <v>86</v>
      </c>
      <c r="Q239" s="3">
        <f t="shared" si="17"/>
        <v>2.2733036695286751E-3</v>
      </c>
      <c r="R239" s="3">
        <f t="shared" si="18"/>
        <v>57.409009709218957</v>
      </c>
      <c r="S239" s="3">
        <v>3.6199999999999999E-7</v>
      </c>
      <c r="T239">
        <f t="shared" si="19"/>
        <v>940879.31863560155</v>
      </c>
    </row>
    <row r="240" spans="1:21" x14ac:dyDescent="0.25">
      <c r="A240" s="1">
        <v>43374</v>
      </c>
      <c r="B240" s="2">
        <v>0.83600694444444434</v>
      </c>
      <c r="C240">
        <v>1</v>
      </c>
      <c r="D240">
        <v>10</v>
      </c>
      <c r="E240">
        <v>263</v>
      </c>
      <c r="F240">
        <v>6</v>
      </c>
      <c r="G240">
        <v>6</v>
      </c>
      <c r="H240" s="3">
        <v>222.98474999999999</v>
      </c>
      <c r="I240" s="3">
        <v>68.005889999999994</v>
      </c>
      <c r="J240" s="3">
        <v>14.648348</v>
      </c>
      <c r="K240">
        <f t="shared" si="15"/>
        <v>2109.3621120000003</v>
      </c>
      <c r="L240" s="3">
        <v>100.99597</v>
      </c>
      <c r="M240" s="3">
        <v>27.294785999999998</v>
      </c>
      <c r="N240" s="3">
        <f t="shared" si="16"/>
        <v>540.80061479999995</v>
      </c>
      <c r="O240" s="3">
        <v>0.19562931</v>
      </c>
      <c r="P240" s="3">
        <v>87</v>
      </c>
      <c r="Q240" s="3">
        <f t="shared" si="17"/>
        <v>2.2723367209537696E-3</v>
      </c>
      <c r="R240" s="3">
        <f t="shared" si="18"/>
        <v>56.492789013281367</v>
      </c>
      <c r="S240" s="3">
        <v>3.6199999999999999E-7</v>
      </c>
      <c r="T240">
        <f t="shared" si="19"/>
        <v>933142.60706758033</v>
      </c>
    </row>
    <row r="241" spans="1:21" x14ac:dyDescent="0.25">
      <c r="A241" s="1">
        <v>43374</v>
      </c>
      <c r="B241" s="2">
        <v>0.83612268518518518</v>
      </c>
      <c r="C241">
        <v>1</v>
      </c>
      <c r="D241">
        <v>10</v>
      </c>
      <c r="E241">
        <v>264</v>
      </c>
      <c r="F241">
        <v>7</v>
      </c>
      <c r="G241">
        <v>7</v>
      </c>
      <c r="H241" s="3">
        <v>221.14400000000001</v>
      </c>
      <c r="I241" s="3">
        <v>67.444497999999996</v>
      </c>
      <c r="J241" s="3">
        <v>14.643274</v>
      </c>
      <c r="K241">
        <f t="shared" si="15"/>
        <v>2108.6314560000001</v>
      </c>
      <c r="L241" s="3">
        <v>100.96098000000001</v>
      </c>
      <c r="M241" s="3">
        <v>27.329521</v>
      </c>
      <c r="N241" s="3">
        <f t="shared" si="16"/>
        <v>540.8631378</v>
      </c>
      <c r="O241" s="3">
        <v>0.19400317</v>
      </c>
      <c r="P241" s="3">
        <v>88</v>
      </c>
      <c r="Q241" s="3">
        <f t="shared" si="17"/>
        <v>2.2712870247734002E-3</v>
      </c>
      <c r="R241" s="3">
        <f t="shared" si="18"/>
        <v>55.538269775459078</v>
      </c>
      <c r="S241" s="3">
        <v>3.6199999999999999E-7</v>
      </c>
      <c r="T241">
        <f t="shared" si="19"/>
        <v>925011.96649445442</v>
      </c>
    </row>
    <row r="242" spans="1:21" x14ac:dyDescent="0.25">
      <c r="A242" s="1">
        <v>43374</v>
      </c>
      <c r="B242" s="2">
        <v>0.83622685185185175</v>
      </c>
      <c r="C242">
        <v>1</v>
      </c>
      <c r="D242">
        <v>10</v>
      </c>
      <c r="E242">
        <v>265</v>
      </c>
      <c r="F242">
        <v>8</v>
      </c>
      <c r="G242">
        <v>8</v>
      </c>
      <c r="H242" s="3">
        <v>219.06716</v>
      </c>
      <c r="I242" s="3">
        <v>66.811104</v>
      </c>
      <c r="J242" s="3">
        <v>14.638526000000001</v>
      </c>
      <c r="K242">
        <f t="shared" si="15"/>
        <v>2107.9477440000001</v>
      </c>
      <c r="L242" s="3">
        <v>100.92825000000001</v>
      </c>
      <c r="M242" s="3">
        <v>27.363350000000001</v>
      </c>
      <c r="N242" s="3">
        <f t="shared" si="16"/>
        <v>540.92403000000002</v>
      </c>
      <c r="O242" s="3">
        <v>0.19217039999999999</v>
      </c>
      <c r="P242" s="3">
        <v>89</v>
      </c>
      <c r="Q242" s="3">
        <f t="shared" si="17"/>
        <v>2.270294975130387E-3</v>
      </c>
      <c r="R242" s="3">
        <f t="shared" si="18"/>
        <v>54.47620536046395</v>
      </c>
      <c r="S242" s="3">
        <v>3.6199999999999999E-7</v>
      </c>
      <c r="T242">
        <f t="shared" si="19"/>
        <v>915924.62718984263</v>
      </c>
    </row>
    <row r="243" spans="1:21" x14ac:dyDescent="0.25">
      <c r="A243" s="1">
        <v>43374</v>
      </c>
      <c r="B243" s="2">
        <v>0.83633101851851854</v>
      </c>
      <c r="C243">
        <v>1</v>
      </c>
      <c r="D243">
        <v>10</v>
      </c>
      <c r="E243">
        <v>266</v>
      </c>
      <c r="F243">
        <v>9</v>
      </c>
      <c r="G243">
        <v>9</v>
      </c>
      <c r="H243" s="3">
        <v>217.54998000000001</v>
      </c>
      <c r="I243" s="3">
        <v>66.348393000000002</v>
      </c>
      <c r="J243" s="3">
        <v>14.635949999999999</v>
      </c>
      <c r="K243">
        <f t="shared" si="15"/>
        <v>2107.5767999999998</v>
      </c>
      <c r="L243" s="3">
        <v>100.91049</v>
      </c>
      <c r="M243" s="3">
        <v>27.391992999999999</v>
      </c>
      <c r="N243" s="3">
        <f t="shared" si="16"/>
        <v>540.97558739999999</v>
      </c>
      <c r="O243" s="3">
        <v>0.19083040000000001</v>
      </c>
      <c r="P243" s="3">
        <v>90</v>
      </c>
      <c r="Q243" s="3">
        <f t="shared" si="17"/>
        <v>2.2696791310193895E-3</v>
      </c>
      <c r="R243" s="3">
        <f t="shared" si="18"/>
        <v>53.709679918168305</v>
      </c>
      <c r="S243" s="3">
        <v>3.6199999999999999E-7</v>
      </c>
      <c r="T243">
        <f t="shared" si="19"/>
        <v>909334.52957584825</v>
      </c>
    </row>
    <row r="244" spans="1:21" x14ac:dyDescent="0.25">
      <c r="A244" s="1">
        <v>43374</v>
      </c>
      <c r="B244" s="2">
        <v>0.83644675925925915</v>
      </c>
      <c r="C244">
        <v>1</v>
      </c>
      <c r="D244">
        <v>10</v>
      </c>
      <c r="E244">
        <v>267</v>
      </c>
      <c r="F244">
        <v>10</v>
      </c>
      <c r="G244">
        <v>10</v>
      </c>
      <c r="H244" s="3">
        <v>216.30796000000001</v>
      </c>
      <c r="I244" s="3">
        <v>65.969601999999995</v>
      </c>
      <c r="J244" s="3">
        <v>14.633152000000001</v>
      </c>
      <c r="K244">
        <f t="shared" si="15"/>
        <v>2107.1738880000003</v>
      </c>
      <c r="L244" s="3">
        <v>100.8912</v>
      </c>
      <c r="M244" s="3">
        <v>27.414857000000001</v>
      </c>
      <c r="N244" s="3">
        <f t="shared" si="16"/>
        <v>541.01674259999993</v>
      </c>
      <c r="O244" s="3">
        <v>0.18973371</v>
      </c>
      <c r="P244" s="3">
        <v>91</v>
      </c>
      <c r="Q244" s="3">
        <f t="shared" si="17"/>
        <v>2.2690726076923834E-3</v>
      </c>
      <c r="R244" s="3">
        <f t="shared" si="18"/>
        <v>53.083970648603923</v>
      </c>
      <c r="S244" s="3">
        <v>3.6199999999999999E-7</v>
      </c>
      <c r="T244">
        <f t="shared" si="19"/>
        <v>903901.41226854478</v>
      </c>
    </row>
    <row r="245" spans="1:21" x14ac:dyDescent="0.25">
      <c r="A245" s="1">
        <v>43374</v>
      </c>
      <c r="B245" s="2">
        <v>0.83655092592592595</v>
      </c>
      <c r="C245">
        <v>1</v>
      </c>
      <c r="D245">
        <v>10</v>
      </c>
      <c r="E245">
        <v>268</v>
      </c>
      <c r="F245">
        <v>11</v>
      </c>
      <c r="G245">
        <v>11</v>
      </c>
      <c r="H245" s="3">
        <v>214.97923</v>
      </c>
      <c r="I245" s="3">
        <v>65.564366000000007</v>
      </c>
      <c r="J245" s="3">
        <v>14.629619</v>
      </c>
      <c r="K245">
        <f t="shared" si="15"/>
        <v>2106.6651360000001</v>
      </c>
      <c r="L245" s="3">
        <v>100.86682999999999</v>
      </c>
      <c r="M245" s="3">
        <v>27.441679000000001</v>
      </c>
      <c r="N245" s="3">
        <f t="shared" si="16"/>
        <v>541.06502220000004</v>
      </c>
      <c r="O245" s="3">
        <v>0.1885598</v>
      </c>
      <c r="P245" s="3">
        <v>92</v>
      </c>
      <c r="Q245" s="3">
        <f t="shared" si="17"/>
        <v>2.2683223451695294E-3</v>
      </c>
      <c r="R245" s="3">
        <f t="shared" si="18"/>
        <v>52.416471385151354</v>
      </c>
      <c r="S245" s="3">
        <v>3.6199999999999999E-7</v>
      </c>
      <c r="T245">
        <f t="shared" si="19"/>
        <v>898051.91741499014</v>
      </c>
    </row>
    <row r="246" spans="1:21" x14ac:dyDescent="0.25">
      <c r="A246" s="1">
        <v>43374</v>
      </c>
      <c r="B246" s="2">
        <v>0.83665509259259263</v>
      </c>
      <c r="C246">
        <v>1</v>
      </c>
      <c r="D246">
        <v>10</v>
      </c>
      <c r="E246">
        <v>269</v>
      </c>
      <c r="F246">
        <v>12</v>
      </c>
      <c r="G246">
        <v>12</v>
      </c>
      <c r="H246" s="3">
        <v>213.68799999999999</v>
      </c>
      <c r="I246" s="3">
        <v>65.170567000000005</v>
      </c>
      <c r="J246" s="3">
        <v>14.627781000000001</v>
      </c>
      <c r="K246">
        <f t="shared" si="15"/>
        <v>2106.4004640000003</v>
      </c>
      <c r="L246" s="3">
        <v>100.85415999999999</v>
      </c>
      <c r="M246" s="3">
        <v>27.466971000000001</v>
      </c>
      <c r="N246" s="3">
        <f t="shared" si="16"/>
        <v>541.11054779999995</v>
      </c>
      <c r="O246" s="3">
        <v>0.18741937</v>
      </c>
      <c r="P246" s="3">
        <v>93</v>
      </c>
      <c r="Q246" s="3">
        <f t="shared" si="17"/>
        <v>2.2678465450407712E-3</v>
      </c>
      <c r="R246" s="3">
        <f t="shared" si="18"/>
        <v>51.777840990851331</v>
      </c>
      <c r="S246" s="3">
        <v>3.6199999999999999E-7</v>
      </c>
      <c r="T246">
        <f t="shared" si="19"/>
        <v>892470.70445059356</v>
      </c>
    </row>
    <row r="247" spans="1:21" x14ac:dyDescent="0.25">
      <c r="A247" s="1">
        <v>43374</v>
      </c>
      <c r="B247" s="2">
        <v>0.83677083333333335</v>
      </c>
      <c r="C247">
        <v>1</v>
      </c>
      <c r="D247">
        <v>10</v>
      </c>
      <c r="E247">
        <v>270</v>
      </c>
      <c r="F247">
        <v>13</v>
      </c>
      <c r="G247">
        <v>13</v>
      </c>
      <c r="H247" s="3">
        <v>212.27199999999999</v>
      </c>
      <c r="I247" s="3">
        <v>64.738713000000004</v>
      </c>
      <c r="J247" s="3">
        <v>14.625181</v>
      </c>
      <c r="K247">
        <f t="shared" si="15"/>
        <v>2106.0260640000001</v>
      </c>
      <c r="L247" s="3">
        <v>100.83623</v>
      </c>
      <c r="M247" s="3">
        <v>27.496528999999999</v>
      </c>
      <c r="N247" s="3">
        <f t="shared" si="16"/>
        <v>541.16375219999998</v>
      </c>
      <c r="O247" s="3">
        <v>0.18616827999999999</v>
      </c>
      <c r="P247" s="3">
        <v>94</v>
      </c>
      <c r="Q247" s="3">
        <f t="shared" si="17"/>
        <v>2.2672205257481346E-3</v>
      </c>
      <c r="R247" s="3">
        <f t="shared" si="18"/>
        <v>51.079800528030503</v>
      </c>
      <c r="S247" s="3">
        <v>3.6199999999999999E-7</v>
      </c>
      <c r="T247">
        <f t="shared" si="19"/>
        <v>886312.03580406634</v>
      </c>
    </row>
    <row r="248" spans="1:21" x14ac:dyDescent="0.25">
      <c r="A248" s="1">
        <v>43374</v>
      </c>
      <c r="B248" s="2">
        <v>0.83687500000000004</v>
      </c>
      <c r="C248">
        <v>1</v>
      </c>
      <c r="D248">
        <v>10</v>
      </c>
      <c r="E248">
        <v>271</v>
      </c>
      <c r="F248">
        <v>14</v>
      </c>
      <c r="G248">
        <v>14</v>
      </c>
      <c r="H248" s="3">
        <v>211.53879000000001</v>
      </c>
      <c r="I248" s="3">
        <v>64.515099000000006</v>
      </c>
      <c r="J248" s="3">
        <v>14.623716999999999</v>
      </c>
      <c r="K248">
        <f t="shared" si="15"/>
        <v>2105.8152479999999</v>
      </c>
      <c r="L248" s="3">
        <v>100.82614</v>
      </c>
      <c r="M248" s="3">
        <v>27.525479000000001</v>
      </c>
      <c r="N248" s="3">
        <f t="shared" si="16"/>
        <v>541.21586220000006</v>
      </c>
      <c r="O248" s="3">
        <v>0.18551630999999999</v>
      </c>
      <c r="P248" s="3">
        <v>95</v>
      </c>
      <c r="Q248" s="3">
        <f t="shared" si="17"/>
        <v>2.2667753005526994E-3</v>
      </c>
      <c r="R248" s="3">
        <f t="shared" si="18"/>
        <v>50.71757824168359</v>
      </c>
      <c r="S248" s="3">
        <v>3.6199999999999999E-7</v>
      </c>
      <c r="T248">
        <f t="shared" si="19"/>
        <v>883077.17178785335</v>
      </c>
    </row>
    <row r="249" spans="1:21" x14ac:dyDescent="0.25">
      <c r="A249" s="1">
        <v>43374</v>
      </c>
      <c r="B249" s="2">
        <v>0.83699074074074076</v>
      </c>
      <c r="C249">
        <v>1</v>
      </c>
      <c r="D249">
        <v>10</v>
      </c>
      <c r="E249">
        <v>272</v>
      </c>
      <c r="F249">
        <v>15</v>
      </c>
      <c r="G249">
        <v>15</v>
      </c>
      <c r="H249" s="3">
        <v>210.92983000000001</v>
      </c>
      <c r="I249" s="3">
        <v>64.329379000000003</v>
      </c>
      <c r="J249" s="3">
        <v>14.622866</v>
      </c>
      <c r="K249">
        <f t="shared" si="15"/>
        <v>2105.692704</v>
      </c>
      <c r="L249" s="3">
        <v>100.82028</v>
      </c>
      <c r="M249" s="3">
        <v>27.557793</v>
      </c>
      <c r="N249" s="3">
        <f t="shared" si="16"/>
        <v>541.27402740000002</v>
      </c>
      <c r="O249" s="3">
        <v>0.18497232</v>
      </c>
      <c r="P249" s="3">
        <v>96</v>
      </c>
      <c r="Q249" s="3">
        <f t="shared" si="17"/>
        <v>2.2663998167312877E-3</v>
      </c>
      <c r="R249" s="3">
        <f t="shared" si="18"/>
        <v>50.417642678974751</v>
      </c>
      <c r="S249" s="3">
        <v>3.6199999999999999E-7</v>
      </c>
      <c r="T249">
        <f t="shared" si="19"/>
        <v>880389.18610527029</v>
      </c>
    </row>
    <row r="250" spans="1:21" x14ac:dyDescent="0.25">
      <c r="A250" s="1">
        <v>43374</v>
      </c>
      <c r="B250" s="2">
        <v>0.83709490740740744</v>
      </c>
      <c r="C250">
        <v>1</v>
      </c>
      <c r="D250">
        <v>10</v>
      </c>
      <c r="E250">
        <v>273</v>
      </c>
      <c r="F250">
        <v>16</v>
      </c>
      <c r="G250">
        <v>16</v>
      </c>
      <c r="H250" s="3">
        <v>210.03762</v>
      </c>
      <c r="I250" s="3">
        <v>64.057275000000004</v>
      </c>
      <c r="J250" s="3">
        <v>14.623379999999999</v>
      </c>
      <c r="K250">
        <f t="shared" si="15"/>
        <v>2105.7667200000001</v>
      </c>
      <c r="L250" s="3">
        <v>100.82382</v>
      </c>
      <c r="M250" s="3">
        <v>27.587043000000001</v>
      </c>
      <c r="N250" s="3">
        <f t="shared" si="16"/>
        <v>541.32667739999999</v>
      </c>
      <c r="O250" s="3">
        <v>0.18418096</v>
      </c>
      <c r="P250" s="3">
        <v>97</v>
      </c>
      <c r="Q250" s="3">
        <f t="shared" si="17"/>
        <v>2.2662590414852524E-3</v>
      </c>
      <c r="R250" s="3">
        <f t="shared" si="18"/>
        <v>49.988917368107231</v>
      </c>
      <c r="S250" s="3">
        <v>3.6199999999999999E-7</v>
      </c>
      <c r="T250">
        <f t="shared" si="19"/>
        <v>876610.78338313755</v>
      </c>
    </row>
    <row r="251" spans="1:21" x14ac:dyDescent="0.25">
      <c r="A251" s="1">
        <v>43374</v>
      </c>
      <c r="B251" s="2">
        <v>0.83719907407407401</v>
      </c>
      <c r="C251">
        <v>1</v>
      </c>
      <c r="D251">
        <v>10</v>
      </c>
      <c r="E251">
        <v>274</v>
      </c>
      <c r="F251">
        <v>17</v>
      </c>
      <c r="G251">
        <v>17</v>
      </c>
      <c r="H251" s="3">
        <v>208.59629000000001</v>
      </c>
      <c r="I251" s="3">
        <v>63.617697999999997</v>
      </c>
      <c r="J251" s="3">
        <v>14.625683</v>
      </c>
      <c r="K251">
        <f t="shared" si="15"/>
        <v>2106.098352</v>
      </c>
      <c r="L251" s="3">
        <v>100.83969999999999</v>
      </c>
      <c r="M251" s="3">
        <v>27.610206999999999</v>
      </c>
      <c r="N251" s="3">
        <f t="shared" si="16"/>
        <v>541.36837259999993</v>
      </c>
      <c r="O251" s="3">
        <v>0.18291002000000001</v>
      </c>
      <c r="P251" s="3">
        <v>98</v>
      </c>
      <c r="Q251" s="3">
        <f t="shared" si="17"/>
        <v>2.266441378417766E-3</v>
      </c>
      <c r="R251" s="3">
        <f t="shared" si="18"/>
        <v>49.309165744424128</v>
      </c>
      <c r="S251" s="3">
        <v>3.6199999999999999E-7</v>
      </c>
      <c r="T251">
        <f t="shared" si="19"/>
        <v>870665.3094667258</v>
      </c>
    </row>
    <row r="252" spans="1:21" x14ac:dyDescent="0.25">
      <c r="A252" s="1">
        <v>43374</v>
      </c>
      <c r="B252" s="2">
        <v>0.83731481481481485</v>
      </c>
      <c r="C252">
        <v>1</v>
      </c>
      <c r="D252">
        <v>10</v>
      </c>
      <c r="E252">
        <v>275</v>
      </c>
      <c r="F252">
        <v>18</v>
      </c>
      <c r="G252">
        <v>18</v>
      </c>
      <c r="H252" s="3">
        <v>207.96316999999999</v>
      </c>
      <c r="I252" s="3">
        <v>63.424607999999999</v>
      </c>
      <c r="J252" s="3">
        <v>14.626307000000001</v>
      </c>
      <c r="K252">
        <f t="shared" si="15"/>
        <v>2106.188208</v>
      </c>
      <c r="L252" s="3">
        <v>100.84399999999999</v>
      </c>
      <c r="M252" s="3">
        <v>27.630020999999999</v>
      </c>
      <c r="N252" s="3">
        <f t="shared" si="16"/>
        <v>541.40403779999997</v>
      </c>
      <c r="O252" s="3">
        <v>0.18234885000000001</v>
      </c>
      <c r="P252" s="3">
        <v>99</v>
      </c>
      <c r="Q252" s="3">
        <f t="shared" si="17"/>
        <v>2.2663887663300292E-3</v>
      </c>
      <c r="R252" s="3">
        <f t="shared" si="18"/>
        <v>49.009161341932561</v>
      </c>
      <c r="S252" s="3">
        <v>3.6199999999999999E-7</v>
      </c>
      <c r="T252">
        <f t="shared" si="19"/>
        <v>868002.56408541824</v>
      </c>
      <c r="U252">
        <f>AVERAGE(T230:T252)</f>
        <v>915025.17541781021</v>
      </c>
    </row>
    <row r="253" spans="1:21" x14ac:dyDescent="0.25">
      <c r="A253" s="1">
        <v>43374</v>
      </c>
      <c r="B253" s="2">
        <v>0.83821759259259254</v>
      </c>
      <c r="C253">
        <v>1</v>
      </c>
      <c r="D253">
        <v>10</v>
      </c>
      <c r="E253">
        <v>276</v>
      </c>
      <c r="F253">
        <v>18</v>
      </c>
      <c r="G253">
        <v>18</v>
      </c>
      <c r="H253" s="3">
        <v>0</v>
      </c>
      <c r="I253" s="3">
        <v>0</v>
      </c>
      <c r="J253" s="3">
        <v>14.341842</v>
      </c>
      <c r="K253">
        <f t="shared" si="15"/>
        <v>2065.2252479999997</v>
      </c>
      <c r="L253" s="3">
        <v>98.882699000000002</v>
      </c>
      <c r="M253" s="3">
        <v>27.614193</v>
      </c>
      <c r="N253" s="3">
        <f t="shared" si="16"/>
        <v>541.37554739999996</v>
      </c>
      <c r="O253" s="3">
        <v>0</v>
      </c>
      <c r="P253" s="3">
        <v>100</v>
      </c>
      <c r="Q253" s="3">
        <f t="shared" si="17"/>
        <v>2.2224270392374032E-3</v>
      </c>
      <c r="R253" s="3">
        <f t="shared" si="18"/>
        <v>0</v>
      </c>
      <c r="S253" s="3">
        <v>3.6199999999999999E-7</v>
      </c>
      <c r="T253">
        <f t="shared" si="19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110"/>
  <sheetViews>
    <sheetView zoomScale="85" zoomScaleNormal="85" workbookViewId="0">
      <selection activeCell="A111" sqref="A111:XFD282"/>
    </sheetView>
  </sheetViews>
  <sheetFormatPr defaultRowHeight="15" x14ac:dyDescent="0.25"/>
  <cols>
    <col min="8" max="8" width="9.42578125" bestFit="1" customWidth="1"/>
    <col min="40" max="40" width="12.42578125" bestFit="1" customWidth="1"/>
  </cols>
  <sheetData>
    <row r="1" spans="1:22" x14ac:dyDescent="0.25">
      <c r="B1">
        <v>9116</v>
      </c>
      <c r="C1">
        <v>6742</v>
      </c>
      <c r="D1">
        <v>1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</row>
    <row r="3" spans="1:22" x14ac:dyDescent="0.25">
      <c r="B3">
        <v>9116</v>
      </c>
      <c r="C3">
        <v>6744</v>
      </c>
      <c r="D3">
        <v>1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29</v>
      </c>
    </row>
    <row r="4" spans="1:22" x14ac:dyDescent="0.25">
      <c r="A4" t="s">
        <v>30</v>
      </c>
      <c r="B4" t="s">
        <v>31</v>
      </c>
      <c r="C4" t="s">
        <v>32</v>
      </c>
      <c r="D4" t="s">
        <v>33</v>
      </c>
      <c r="E4" t="s">
        <v>34</v>
      </c>
      <c r="F4" t="s">
        <v>35</v>
      </c>
    </row>
    <row r="5" spans="1:22" x14ac:dyDescent="0.25">
      <c r="A5" t="s">
        <v>36</v>
      </c>
    </row>
    <row r="6" spans="1:22" x14ac:dyDescent="0.25">
      <c r="A6" t="s">
        <v>36</v>
      </c>
    </row>
    <row r="7" spans="1:22" x14ac:dyDescent="0.25">
      <c r="A7" t="s">
        <v>122</v>
      </c>
    </row>
    <row r="8" spans="1:22" x14ac:dyDescent="0.25">
      <c r="A8" t="s">
        <v>98</v>
      </c>
    </row>
    <row r="9" spans="1:22" x14ac:dyDescent="0.25">
      <c r="A9">
        <v>11.244999999999999</v>
      </c>
      <c r="B9">
        <v>9116</v>
      </c>
      <c r="C9">
        <v>6742</v>
      </c>
      <c r="D9">
        <v>1</v>
      </c>
      <c r="E9">
        <v>1</v>
      </c>
      <c r="F9" t="s">
        <v>13</v>
      </c>
      <c r="G9" s="3">
        <v>-6.1464310000000004E-4</v>
      </c>
      <c r="H9" s="3">
        <v>-6.4849850000000002E-4</v>
      </c>
      <c r="I9" s="3">
        <v>-4.6157840000000001E-4</v>
      </c>
      <c r="J9" s="3">
        <v>3.9632319999999999E-2</v>
      </c>
      <c r="K9" s="3">
        <v>-2.5653839999999998E-4</v>
      </c>
      <c r="L9" s="3">
        <v>-6.1178209999999998E-4</v>
      </c>
      <c r="M9" s="3">
        <v>-1.2450219999999999E-3</v>
      </c>
      <c r="N9" s="3">
        <v>-1.192093E-4</v>
      </c>
      <c r="O9" s="3">
        <v>4.3630600000000002E-4</v>
      </c>
      <c r="P9" s="3">
        <v>4.3742179999999999E-2</v>
      </c>
      <c r="Q9" s="3">
        <v>7.2145460000000005E-4</v>
      </c>
      <c r="R9" s="3">
        <v>9.8705290000000004E-5</v>
      </c>
      <c r="S9" s="3">
        <v>1.8774030000000001E-2</v>
      </c>
      <c r="T9" s="3">
        <v>-3.0565259999999999E-4</v>
      </c>
      <c r="U9" s="3">
        <v>2.3031230000000001E-4</v>
      </c>
      <c r="V9" s="3">
        <v>-1.416206E-4</v>
      </c>
    </row>
    <row r="10" spans="1:22" x14ac:dyDescent="0.25">
      <c r="A10">
        <v>11.268000000000001</v>
      </c>
      <c r="B10">
        <v>9116</v>
      </c>
      <c r="C10">
        <v>6744</v>
      </c>
      <c r="D10">
        <v>1</v>
      </c>
      <c r="E10">
        <v>1</v>
      </c>
      <c r="F10" t="s">
        <v>13</v>
      </c>
      <c r="G10" s="3">
        <v>-6.5183639999999996E-4</v>
      </c>
      <c r="H10" s="3">
        <v>-1.280308E-3</v>
      </c>
      <c r="I10" s="3">
        <v>-8.8691710000000004E-5</v>
      </c>
      <c r="J10" s="3">
        <v>3.4039020000000003E-2</v>
      </c>
      <c r="K10" s="3">
        <v>-3.2901760000000001E-5</v>
      </c>
      <c r="L10" s="3">
        <v>-5.0067899999999997E-4</v>
      </c>
      <c r="M10" s="3">
        <v>-1.240253E-3</v>
      </c>
      <c r="N10" s="3">
        <v>9.9182129999999996E-5</v>
      </c>
      <c r="O10" s="3">
        <v>-9.5558169999999997E-4</v>
      </c>
      <c r="P10" s="3">
        <v>3.7574769999999997E-4</v>
      </c>
      <c r="Q10" s="3">
        <v>2.7942659999999998E-4</v>
      </c>
      <c r="R10" s="3">
        <v>-3.8957599999999998E-4</v>
      </c>
      <c r="S10" s="3">
        <v>-1.029968E-3</v>
      </c>
      <c r="T10" s="3">
        <v>3.9672850000000001E-4</v>
      </c>
      <c r="U10" s="3">
        <v>1.037121E-3</v>
      </c>
      <c r="V10" s="3">
        <v>2.0885470000000001E-4</v>
      </c>
    </row>
    <row r="11" spans="1:22" x14ac:dyDescent="0.25">
      <c r="A11" t="s">
        <v>75</v>
      </c>
    </row>
    <row r="12" spans="1:22" x14ac:dyDescent="0.25">
      <c r="A12">
        <v>434.78800000000001</v>
      </c>
      <c r="B12">
        <v>9116</v>
      </c>
      <c r="C12">
        <v>6742</v>
      </c>
      <c r="D12">
        <v>1</v>
      </c>
      <c r="E12">
        <v>1</v>
      </c>
      <c r="F12" t="s">
        <v>13</v>
      </c>
      <c r="G12" s="3">
        <v>-6.6375729999999995E-4</v>
      </c>
      <c r="H12" s="3">
        <v>-1.6209129999999999E-2</v>
      </c>
      <c r="I12" s="3">
        <v>-1.3940330000000001E-2</v>
      </c>
      <c r="J12" s="3">
        <v>3.8978579999999999E-2</v>
      </c>
      <c r="K12" s="3">
        <v>-9.5672610000000005E-3</v>
      </c>
      <c r="L12" s="3">
        <v>-1.190186E-3</v>
      </c>
      <c r="M12" s="3">
        <v>-8.0723759999999992E-3</v>
      </c>
      <c r="N12" s="3">
        <v>-6.2789919999999997E-3</v>
      </c>
      <c r="O12" s="3">
        <v>-5.1097870000000002E-3</v>
      </c>
      <c r="P12" s="3">
        <v>1.6289229999999998E-2</v>
      </c>
      <c r="Q12" s="3">
        <v>-3.3850669999999999E-3</v>
      </c>
      <c r="R12" s="3">
        <v>-1.719475E-3</v>
      </c>
      <c r="S12" s="3">
        <v>2.5854110000000001E-3</v>
      </c>
      <c r="T12" s="3">
        <v>-2.3112300000000001E-3</v>
      </c>
      <c r="U12" s="3">
        <v>-4.83036E-4</v>
      </c>
      <c r="V12" s="3">
        <v>-2.8610230000000001E-5</v>
      </c>
    </row>
    <row r="13" spans="1:22" x14ac:dyDescent="0.25">
      <c r="A13">
        <v>434.81</v>
      </c>
      <c r="B13">
        <v>9116</v>
      </c>
      <c r="C13">
        <v>6744</v>
      </c>
      <c r="D13">
        <v>1</v>
      </c>
      <c r="E13">
        <v>1</v>
      </c>
      <c r="F13" t="s">
        <v>13</v>
      </c>
      <c r="G13" s="3">
        <v>-5.1164630000000003E-4</v>
      </c>
      <c r="H13" s="3">
        <v>-1.1916159999999999E-3</v>
      </c>
      <c r="I13" s="3">
        <v>5.936623E-4</v>
      </c>
      <c r="J13" s="3">
        <v>3.9489749999999997E-2</v>
      </c>
      <c r="K13" s="3">
        <v>-2.3412699999999999E-4</v>
      </c>
      <c r="L13" s="3">
        <v>-7.1048740000000002E-4</v>
      </c>
      <c r="M13" s="3">
        <v>-1.493454E-3</v>
      </c>
      <c r="N13" s="3">
        <v>1.4400479999999999E-4</v>
      </c>
      <c r="O13" s="3">
        <v>-1.2660029999999999E-3</v>
      </c>
      <c r="P13" s="3">
        <v>1.9741060000000001E-4</v>
      </c>
      <c r="Q13" s="3">
        <v>1.273155E-4</v>
      </c>
      <c r="R13" s="3">
        <v>9.6559520000000004E-4</v>
      </c>
      <c r="S13" s="3">
        <v>9.1838840000000004E-4</v>
      </c>
      <c r="T13" s="3">
        <v>2.7160639999999998E-3</v>
      </c>
      <c r="U13" s="3">
        <v>4.6591760000000001E-3</v>
      </c>
      <c r="V13" s="3">
        <v>6.2999730000000004E-3</v>
      </c>
    </row>
    <row r="14" spans="1:22" x14ac:dyDescent="0.25">
      <c r="A14" t="s">
        <v>76</v>
      </c>
    </row>
    <row r="15" spans="1:22" x14ac:dyDescent="0.25">
      <c r="A15">
        <v>443.47699999999998</v>
      </c>
      <c r="B15">
        <v>9116</v>
      </c>
      <c r="C15">
        <v>6742</v>
      </c>
      <c r="D15">
        <v>1</v>
      </c>
      <c r="E15">
        <v>1</v>
      </c>
      <c r="F15" t="s">
        <v>13</v>
      </c>
      <c r="G15" s="3">
        <v>1.2798309999999999E-3</v>
      </c>
      <c r="H15" s="3">
        <v>-1.323366E-2</v>
      </c>
      <c r="I15" s="3">
        <v>-1.166677E-2</v>
      </c>
      <c r="J15" s="3">
        <v>4.0704249999999997E-2</v>
      </c>
      <c r="K15" s="3">
        <v>-8.8787080000000008E-3</v>
      </c>
      <c r="L15" s="3">
        <v>-1.0323520000000001E-3</v>
      </c>
      <c r="M15" s="3">
        <v>-7.5459480000000002E-3</v>
      </c>
      <c r="N15" s="3">
        <v>-5.7616229999999996E-3</v>
      </c>
      <c r="O15" s="3">
        <v>-4.5900339999999998E-3</v>
      </c>
      <c r="P15" s="3">
        <v>1.578951E-2</v>
      </c>
      <c r="Q15" s="3">
        <v>-3.558159E-3</v>
      </c>
      <c r="R15" s="3">
        <v>-3.9606090000000004E-3</v>
      </c>
      <c r="S15" s="3">
        <v>4.0001869999999997E-3</v>
      </c>
      <c r="T15" s="3">
        <v>-1.966476E-3</v>
      </c>
      <c r="U15" s="3">
        <v>-8.0537800000000004E-4</v>
      </c>
      <c r="V15" s="3">
        <v>-2.770424E-4</v>
      </c>
    </row>
    <row r="16" spans="1:22" x14ac:dyDescent="0.25">
      <c r="A16">
        <v>443.49799999999999</v>
      </c>
      <c r="B16">
        <v>9116</v>
      </c>
      <c r="C16">
        <v>6744</v>
      </c>
      <c r="D16">
        <v>1</v>
      </c>
      <c r="E16">
        <v>1</v>
      </c>
      <c r="F16" t="s">
        <v>13</v>
      </c>
      <c r="G16" s="3">
        <v>-5.1450729999999998E-4</v>
      </c>
      <c r="H16" s="3">
        <v>-7.8296660000000005E-4</v>
      </c>
      <c r="I16" s="3">
        <v>5.9127810000000002E-4</v>
      </c>
      <c r="J16" s="3">
        <v>4.242754E-2</v>
      </c>
      <c r="K16" s="3">
        <v>-2.355576E-4</v>
      </c>
      <c r="L16" s="3">
        <v>-8.9073180000000002E-4</v>
      </c>
      <c r="M16" s="3">
        <v>-1.8258090000000001E-3</v>
      </c>
      <c r="N16" s="3">
        <v>-5.893707E-4</v>
      </c>
      <c r="O16" s="3">
        <v>-1.5559199999999999E-3</v>
      </c>
      <c r="P16" s="3">
        <v>3.8146970000000002E-4</v>
      </c>
      <c r="Q16" s="3">
        <v>1.2826919999999999E-4</v>
      </c>
      <c r="R16" s="3">
        <v>6.1511990000000003E-5</v>
      </c>
      <c r="S16" s="3">
        <v>2.5558470000000002E-4</v>
      </c>
      <c r="T16" s="3">
        <v>2.7127269999999998E-3</v>
      </c>
      <c r="U16" s="3">
        <v>3.749371E-3</v>
      </c>
      <c r="V16" s="3">
        <v>5.5999760000000004E-3</v>
      </c>
    </row>
    <row r="17" spans="1:22" x14ac:dyDescent="0.25">
      <c r="A17" t="s">
        <v>77</v>
      </c>
    </row>
    <row r="18" spans="1:22" x14ac:dyDescent="0.25">
      <c r="A18">
        <v>452.673</v>
      </c>
      <c r="B18">
        <v>9116</v>
      </c>
      <c r="C18">
        <v>6742</v>
      </c>
      <c r="D18">
        <v>1</v>
      </c>
      <c r="E18">
        <v>1</v>
      </c>
      <c r="F18" t="s">
        <v>13</v>
      </c>
      <c r="G18" s="3">
        <v>3.5762789999999999E-3</v>
      </c>
      <c r="H18" s="3">
        <v>-1.086521E-2</v>
      </c>
      <c r="I18" s="3">
        <v>-9.8857879999999995E-3</v>
      </c>
      <c r="J18" s="3">
        <v>4.2750360000000001E-2</v>
      </c>
      <c r="K18" s="3">
        <v>-7.3370930000000003E-3</v>
      </c>
      <c r="L18" s="3">
        <v>-8.4543230000000001E-4</v>
      </c>
      <c r="M18" s="3">
        <v>-6.9704060000000002E-3</v>
      </c>
      <c r="N18" s="3">
        <v>-5.2394870000000001E-3</v>
      </c>
      <c r="O18" s="3">
        <v>-4.4097900000000002E-3</v>
      </c>
      <c r="P18" s="3">
        <v>1.5099049999999999E-2</v>
      </c>
      <c r="Q18" s="3">
        <v>-3.325939E-3</v>
      </c>
      <c r="R18" s="3">
        <v>-3.3841129999999998E-3</v>
      </c>
      <c r="S18" s="3">
        <v>5.0616259999999996E-3</v>
      </c>
      <c r="T18" s="3">
        <v>-2.1357540000000001E-3</v>
      </c>
      <c r="U18" s="3">
        <v>-6.2370299999999997E-4</v>
      </c>
      <c r="V18" s="3">
        <v>1.6212460000000002E-5</v>
      </c>
    </row>
    <row r="19" spans="1:22" x14ac:dyDescent="0.25">
      <c r="A19">
        <v>452.69400000000002</v>
      </c>
      <c r="B19">
        <v>9116</v>
      </c>
      <c r="C19">
        <v>6744</v>
      </c>
      <c r="D19">
        <v>1</v>
      </c>
      <c r="E19">
        <v>1</v>
      </c>
      <c r="F19" t="s">
        <v>13</v>
      </c>
      <c r="G19" s="3">
        <v>-5.1593780000000001E-4</v>
      </c>
      <c r="H19" s="3">
        <v>-9.1171259999999995E-4</v>
      </c>
      <c r="I19" s="3">
        <v>4.0817259999999998E-4</v>
      </c>
      <c r="J19">
        <v>4.5362E-2</v>
      </c>
      <c r="K19" s="3">
        <v>-4.1675570000000001E-4</v>
      </c>
      <c r="L19" s="3">
        <v>-8.9263920000000004E-4</v>
      </c>
      <c r="M19" s="3">
        <v>-2.1595949999999998E-3</v>
      </c>
      <c r="N19" s="3">
        <v>-7.70092E-4</v>
      </c>
      <c r="O19" s="3">
        <v>-1.665592E-3</v>
      </c>
      <c r="P19" s="3">
        <v>-5.3453449999999998E-4</v>
      </c>
      <c r="Q19" s="3">
        <v>-4.1961670000000001E-4</v>
      </c>
      <c r="R19" s="3">
        <v>-3.0231479999999998E-4</v>
      </c>
      <c r="S19" s="3">
        <v>-2.6845930000000002E-4</v>
      </c>
      <c r="T19" s="3">
        <v>1.6269679999999999E-3</v>
      </c>
      <c r="U19" s="3">
        <v>3.201962E-3</v>
      </c>
      <c r="V19" s="3">
        <v>4.8999789999999996E-3</v>
      </c>
    </row>
    <row r="20" spans="1:22" x14ac:dyDescent="0.25">
      <c r="A20" t="s">
        <v>78</v>
      </c>
    </row>
    <row r="21" spans="1:22" x14ac:dyDescent="0.25">
      <c r="A21">
        <v>463.61700000000002</v>
      </c>
      <c r="B21">
        <v>9116</v>
      </c>
      <c r="C21">
        <v>6742</v>
      </c>
      <c r="D21">
        <v>1</v>
      </c>
      <c r="E21">
        <v>1</v>
      </c>
      <c r="F21" t="s">
        <v>13</v>
      </c>
      <c r="G21" s="3">
        <v>4.8089029999999998E-3</v>
      </c>
      <c r="H21" s="3">
        <v>-8.5940359999999993E-3</v>
      </c>
      <c r="I21">
        <v>-8.8377000000000004E-3</v>
      </c>
      <c r="J21" s="3">
        <v>4.445648E-2</v>
      </c>
      <c r="K21" s="3">
        <v>-6.9952010000000004E-3</v>
      </c>
      <c r="L21" s="3">
        <v>-1.018047E-3</v>
      </c>
      <c r="M21" s="3">
        <v>-6.7949300000000002E-3</v>
      </c>
      <c r="N21" s="3">
        <v>-5.5875780000000002E-3</v>
      </c>
      <c r="O21" s="3">
        <v>-3.5452840000000001E-3</v>
      </c>
      <c r="P21" s="3">
        <v>1.3889790000000001E-2</v>
      </c>
      <c r="Q21" s="3">
        <v>-2.6335719999999998E-3</v>
      </c>
      <c r="R21" s="3">
        <v>-3.0393600000000001E-3</v>
      </c>
      <c r="S21" s="3">
        <v>6.8302149999999997E-3</v>
      </c>
      <c r="T21" s="3">
        <v>-2.825737E-3</v>
      </c>
      <c r="U21" s="3">
        <v>-6.2370299999999997E-4</v>
      </c>
      <c r="V21" s="3">
        <v>-1.0666849999999999E-3</v>
      </c>
    </row>
    <row r="22" spans="1:22" x14ac:dyDescent="0.25">
      <c r="A22">
        <v>463.637</v>
      </c>
      <c r="B22">
        <v>9116</v>
      </c>
      <c r="C22">
        <v>6744</v>
      </c>
      <c r="D22">
        <v>1</v>
      </c>
      <c r="E22">
        <v>1</v>
      </c>
      <c r="F22" t="s">
        <v>13</v>
      </c>
      <c r="G22" s="3">
        <v>-8.7785719999999997E-4</v>
      </c>
      <c r="H22" s="3">
        <v>-1.447678E-3</v>
      </c>
      <c r="I22" s="3">
        <v>4.6730039999999998E-5</v>
      </c>
      <c r="J22" s="3">
        <v>4.7259809999999999E-2</v>
      </c>
      <c r="K22" s="3">
        <v>-5.9700010000000002E-4</v>
      </c>
      <c r="L22" s="3">
        <v>-1.4276499999999999E-3</v>
      </c>
      <c r="M22" s="3">
        <v>-2.8514859999999999E-3</v>
      </c>
      <c r="N22" s="3">
        <v>-1.4948839999999999E-3</v>
      </c>
      <c r="O22" s="3">
        <v>-2.022743E-3</v>
      </c>
      <c r="P22" s="3">
        <v>-7.1763990000000004E-4</v>
      </c>
      <c r="Q22" s="3">
        <v>-7.7962880000000004E-4</v>
      </c>
      <c r="R22" s="3">
        <v>-6.6232680000000003E-4</v>
      </c>
      <c r="S22" s="3">
        <v>-1.140594E-3</v>
      </c>
      <c r="T22" s="3">
        <v>5.4121020000000004E-4</v>
      </c>
      <c r="U22" s="3">
        <v>2.110481E-3</v>
      </c>
      <c r="V22" s="3">
        <v>3.8323400000000001E-3</v>
      </c>
    </row>
    <row r="23" spans="1:22" x14ac:dyDescent="0.25">
      <c r="A23" t="s">
        <v>79</v>
      </c>
    </row>
    <row r="24" spans="1:22" x14ac:dyDescent="0.25">
      <c r="A24">
        <v>472.798</v>
      </c>
      <c r="B24">
        <v>9116</v>
      </c>
      <c r="C24">
        <v>6742</v>
      </c>
      <c r="D24">
        <v>1</v>
      </c>
      <c r="E24">
        <v>1</v>
      </c>
      <c r="F24" t="s">
        <v>13</v>
      </c>
      <c r="G24" s="3">
        <v>6.207466E-3</v>
      </c>
      <c r="H24" s="3">
        <v>-6.2260630000000004E-3</v>
      </c>
      <c r="I24" s="3">
        <v>-6.5317149999999996E-3</v>
      </c>
      <c r="J24" s="3">
        <v>4.737616E-2</v>
      </c>
      <c r="K24" s="3">
        <v>-5.6242940000000002E-3</v>
      </c>
      <c r="L24" s="3">
        <v>-4.8589709999999998E-4</v>
      </c>
      <c r="M24" s="3">
        <v>-5.868435E-3</v>
      </c>
      <c r="N24" s="3">
        <v>-4.722118E-3</v>
      </c>
      <c r="O24" s="3">
        <v>-2.7627939999999998E-3</v>
      </c>
      <c r="P24" s="3">
        <v>1.390839E-2</v>
      </c>
      <c r="Q24" s="3">
        <v>-2.287388E-3</v>
      </c>
      <c r="R24" s="3">
        <v>-1.774788E-3</v>
      </c>
      <c r="S24" s="3">
        <v>8.6002349999999995E-3</v>
      </c>
      <c r="T24" s="3">
        <v>-1.9636150000000002E-3</v>
      </c>
      <c r="U24" s="3">
        <v>-1.533031E-3</v>
      </c>
      <c r="V24" s="3">
        <v>-5.6934360000000003E-4</v>
      </c>
    </row>
    <row r="25" spans="1:22" x14ac:dyDescent="0.25">
      <c r="A25">
        <v>472.81700000000001</v>
      </c>
      <c r="B25">
        <v>9116</v>
      </c>
      <c r="C25">
        <v>6744</v>
      </c>
      <c r="D25">
        <v>1</v>
      </c>
      <c r="E25">
        <v>1</v>
      </c>
      <c r="F25" t="s">
        <v>13</v>
      </c>
      <c r="G25" s="3">
        <v>-6.9713589999999997E-4</v>
      </c>
      <c r="H25" s="3">
        <v>-1.4486309999999999E-3</v>
      </c>
      <c r="I25" s="3">
        <v>-1.3446810000000001E-4</v>
      </c>
      <c r="J25" s="3">
        <v>4.968119E-2</v>
      </c>
      <c r="K25" s="3">
        <v>-4.1770940000000002E-4</v>
      </c>
      <c r="L25" s="3">
        <v>-1.070976E-3</v>
      </c>
      <c r="M25" s="3">
        <v>-2.5048259999999999E-3</v>
      </c>
      <c r="N25" s="3">
        <v>-1.3213159999999999E-3</v>
      </c>
      <c r="O25" s="3">
        <v>-2.737045E-3</v>
      </c>
      <c r="P25" s="3">
        <v>-1.81675E-3</v>
      </c>
      <c r="Q25" s="3">
        <v>-2.217293E-3</v>
      </c>
      <c r="R25" s="3">
        <v>-1.561642E-3</v>
      </c>
      <c r="S25" s="3">
        <v>-2.1171570000000002E-3</v>
      </c>
      <c r="T25" s="3">
        <v>-5.4550170000000002E-4</v>
      </c>
      <c r="U25" s="3">
        <v>1.018524E-3</v>
      </c>
      <c r="V25" s="3">
        <v>2.421379E-3</v>
      </c>
    </row>
    <row r="26" spans="1:22" x14ac:dyDescent="0.25">
      <c r="A26" t="s">
        <v>80</v>
      </c>
    </row>
    <row r="27" spans="1:22" x14ac:dyDescent="0.25">
      <c r="A27">
        <v>482.09399999999999</v>
      </c>
      <c r="B27">
        <v>9116</v>
      </c>
      <c r="C27">
        <v>6742</v>
      </c>
      <c r="D27">
        <v>1</v>
      </c>
      <c r="E27">
        <v>1</v>
      </c>
      <c r="F27" t="s">
        <v>13</v>
      </c>
      <c r="G27" s="3">
        <v>6.7448619999999999E-3</v>
      </c>
      <c r="H27" s="3">
        <v>-3.7837029999999998E-3</v>
      </c>
      <c r="I27" s="3">
        <v>-5.3110120000000004E-3</v>
      </c>
      <c r="J27">
        <v>4.8931599999999999E-2</v>
      </c>
      <c r="K27" s="3">
        <v>-4.7702789999999997E-3</v>
      </c>
      <c r="L27" s="3">
        <v>-1.0032649999999999E-3</v>
      </c>
      <c r="M27" s="3">
        <v>-5.1183699999999997E-3</v>
      </c>
      <c r="N27" s="3">
        <v>-4.2004590000000001E-3</v>
      </c>
      <c r="O27" s="3">
        <v>-2.4189950000000002E-3</v>
      </c>
      <c r="P27" s="3">
        <v>1.3390060000000001E-2</v>
      </c>
      <c r="Q27" s="3">
        <v>-2.055168E-3</v>
      </c>
      <c r="R27" s="3">
        <v>-1.9474029999999999E-3</v>
      </c>
      <c r="S27" s="3">
        <v>1.037455E-2</v>
      </c>
      <c r="T27" s="3">
        <v>-1.7876630000000001E-3</v>
      </c>
      <c r="U27" s="3">
        <v>-7.6341630000000005E-4</v>
      </c>
      <c r="V27" s="3">
        <v>-7.0428850000000002E-4</v>
      </c>
    </row>
    <row r="28" spans="1:22" x14ac:dyDescent="0.25">
      <c r="A28">
        <v>482.113</v>
      </c>
      <c r="B28">
        <v>9116</v>
      </c>
      <c r="C28">
        <v>6744</v>
      </c>
      <c r="D28">
        <v>1</v>
      </c>
      <c r="E28">
        <v>1</v>
      </c>
      <c r="F28" t="s">
        <v>13</v>
      </c>
      <c r="G28" s="3">
        <v>-3.3473969999999999E-4</v>
      </c>
      <c r="H28" s="3">
        <v>-1.574039E-3</v>
      </c>
      <c r="I28" s="3">
        <v>-1.3780589999999999E-4</v>
      </c>
      <c r="J28" s="3">
        <v>5.1245690000000003E-2</v>
      </c>
      <c r="K28" s="3">
        <v>-5.9795379999999997E-4</v>
      </c>
      <c r="L28" s="3">
        <v>-1.250744E-3</v>
      </c>
      <c r="M28" s="3">
        <v>-3.0097959999999999E-3</v>
      </c>
      <c r="N28" s="3">
        <v>-2.4094580000000002E-3</v>
      </c>
      <c r="O28" s="3">
        <v>-3.136158E-3</v>
      </c>
      <c r="P28" s="3">
        <v>-2.1834369999999999E-3</v>
      </c>
      <c r="Q28" s="3">
        <v>-2.7642249999999999E-3</v>
      </c>
      <c r="R28" s="3">
        <v>-2.2807119999999998E-3</v>
      </c>
      <c r="S28" s="3">
        <v>-2.6388169999999999E-3</v>
      </c>
      <c r="T28" s="3">
        <v>-1.633167E-3</v>
      </c>
      <c r="U28" s="3">
        <v>-2.5463100000000001E-4</v>
      </c>
      <c r="V28" s="3">
        <v>2.865791E-4</v>
      </c>
    </row>
    <row r="29" spans="1:22" x14ac:dyDescent="0.25">
      <c r="A29" t="s">
        <v>81</v>
      </c>
    </row>
    <row r="30" spans="1:22" x14ac:dyDescent="0.25">
      <c r="A30">
        <v>490.87799999999999</v>
      </c>
      <c r="B30">
        <v>9116</v>
      </c>
      <c r="C30">
        <v>6742</v>
      </c>
      <c r="D30">
        <v>1</v>
      </c>
      <c r="E30">
        <v>1</v>
      </c>
      <c r="F30" t="s">
        <v>13</v>
      </c>
      <c r="G30" s="3">
        <v>7.0967670000000004E-3</v>
      </c>
      <c r="H30" s="3">
        <v>-1.3375279999999999E-3</v>
      </c>
      <c r="I30" s="3">
        <v>-2.689838E-3</v>
      </c>
      <c r="J30" s="3">
        <v>5.0637719999999997E-2</v>
      </c>
      <c r="K30" s="3">
        <v>-3.2329559999999999E-3</v>
      </c>
      <c r="L30" s="3">
        <v>-4.8685070000000001E-4</v>
      </c>
      <c r="M30" s="3">
        <v>-4.5919419999999999E-3</v>
      </c>
      <c r="N30" s="3">
        <v>-3.1561850000000002E-3</v>
      </c>
      <c r="O30" s="3">
        <v>-2.245903E-3</v>
      </c>
      <c r="P30" s="3">
        <v>1.252604E-2</v>
      </c>
      <c r="Q30" s="3">
        <v>-2.055168E-3</v>
      </c>
      <c r="R30" s="3">
        <v>-2.120018E-3</v>
      </c>
      <c r="S30" s="3">
        <v>1.1789320000000001E-2</v>
      </c>
      <c r="T30" s="3">
        <v>-1.442432E-3</v>
      </c>
      <c r="U30" s="3">
        <v>-2.1743770000000001E-4</v>
      </c>
      <c r="V30" s="3">
        <v>-7.0428850000000002E-4</v>
      </c>
    </row>
    <row r="31" spans="1:22" x14ac:dyDescent="0.25">
      <c r="A31">
        <v>490.90300000000002</v>
      </c>
      <c r="B31">
        <v>9116</v>
      </c>
      <c r="C31">
        <v>6744</v>
      </c>
      <c r="D31">
        <v>1</v>
      </c>
      <c r="E31">
        <v>1</v>
      </c>
      <c r="F31" t="s">
        <v>13</v>
      </c>
      <c r="G31" s="3">
        <v>5.7077409999999995E-4</v>
      </c>
      <c r="H31" s="3">
        <v>-1.216888E-3</v>
      </c>
      <c r="I31" s="3">
        <v>-1.3780589999999999E-4</v>
      </c>
      <c r="J31" s="3">
        <v>5.314398E-2</v>
      </c>
      <c r="K31" s="3">
        <v>-1.138687E-3</v>
      </c>
      <c r="L31" s="3">
        <v>-1.785278E-3</v>
      </c>
      <c r="M31" s="3">
        <v>-3.182411E-3</v>
      </c>
      <c r="N31" s="3">
        <v>-2.9535289999999999E-3</v>
      </c>
      <c r="O31" s="3">
        <v>-4.208565E-3</v>
      </c>
      <c r="P31" s="3">
        <v>-3.099442E-3</v>
      </c>
      <c r="Q31" s="3">
        <v>-3.6640169999999999E-3</v>
      </c>
      <c r="R31" s="3">
        <v>-4.0788650000000001E-3</v>
      </c>
      <c r="S31" s="3">
        <v>-4.208565E-3</v>
      </c>
      <c r="T31" s="3">
        <v>-3.261566E-3</v>
      </c>
      <c r="U31" s="3">
        <v>-2.4380679999999998E-3</v>
      </c>
      <c r="V31" s="3">
        <v>-2.2039410000000001E-3</v>
      </c>
    </row>
    <row r="32" spans="1:22" x14ac:dyDescent="0.25">
      <c r="A32" t="s">
        <v>82</v>
      </c>
    </row>
    <row r="33" spans="1:22" x14ac:dyDescent="0.25">
      <c r="A33">
        <v>500.67599999999999</v>
      </c>
      <c r="B33">
        <v>9116</v>
      </c>
      <c r="C33">
        <v>6742</v>
      </c>
      <c r="D33">
        <v>1</v>
      </c>
      <c r="E33">
        <v>1</v>
      </c>
      <c r="F33" t="s">
        <v>13</v>
      </c>
      <c r="G33" s="3">
        <v>6.7567829999999997E-3</v>
      </c>
      <c r="H33" s="3">
        <v>1.0323520000000001E-3</v>
      </c>
      <c r="I33" s="3">
        <v>-1.081944E-3</v>
      </c>
      <c r="J33" s="3">
        <v>5.2874570000000003E-2</v>
      </c>
      <c r="K33" s="3">
        <v>-2.03228E-3</v>
      </c>
      <c r="L33" s="3">
        <v>-8.3065030000000005E-4</v>
      </c>
      <c r="M33" s="3">
        <v>-3.3645630000000001E-3</v>
      </c>
      <c r="N33" s="3">
        <v>-2.6388169999999999E-3</v>
      </c>
      <c r="O33" s="3">
        <v>-1.6355510000000001E-3</v>
      </c>
      <c r="P33" s="3">
        <v>1.2026790000000001E-2</v>
      </c>
      <c r="Q33" s="3">
        <v>-1.3027189999999999E-3</v>
      </c>
      <c r="R33" s="3">
        <v>-1.430511E-3</v>
      </c>
      <c r="S33" s="3">
        <v>1.3734339999999999E-2</v>
      </c>
      <c r="T33" s="3">
        <v>-1.266479E-3</v>
      </c>
      <c r="U33" s="3">
        <v>-1.9693369999999999E-4</v>
      </c>
      <c r="V33" s="3">
        <v>-7.0428850000000002E-4</v>
      </c>
    </row>
    <row r="34" spans="1:22" x14ac:dyDescent="0.25">
      <c r="A34">
        <v>500.69900000000001</v>
      </c>
      <c r="B34">
        <v>9116</v>
      </c>
      <c r="C34">
        <v>6744</v>
      </c>
      <c r="D34">
        <v>1</v>
      </c>
      <c r="E34">
        <v>1</v>
      </c>
      <c r="F34" t="s">
        <v>13</v>
      </c>
      <c r="G34" s="3">
        <v>-5.1832199999999999E-4</v>
      </c>
      <c r="H34" s="3">
        <v>-6.2942499999999997E-4</v>
      </c>
      <c r="I34" s="3">
        <v>-4.9686429999999996E-4</v>
      </c>
      <c r="J34" s="3">
        <v>5.5040840000000001E-2</v>
      </c>
      <c r="K34" s="3">
        <v>-1.3203620000000001E-3</v>
      </c>
      <c r="L34" s="3">
        <v>-2.3217200000000002E-3</v>
      </c>
      <c r="M34" s="3">
        <v>-3.516197E-3</v>
      </c>
      <c r="N34" s="3">
        <v>-3.1423570000000001E-3</v>
      </c>
      <c r="O34" s="3">
        <v>-4.9943920000000003E-3</v>
      </c>
      <c r="P34" s="3">
        <v>-3.4656520000000001E-3</v>
      </c>
      <c r="Q34" s="3">
        <v>-4.5719150000000002E-3</v>
      </c>
      <c r="R34" s="3">
        <v>-4.6277050000000002E-3</v>
      </c>
      <c r="S34" s="3">
        <v>-4.9066539999999999E-3</v>
      </c>
      <c r="T34" s="3">
        <v>-4.7111510000000002E-3</v>
      </c>
      <c r="U34" s="3">
        <v>-4.4417379999999998E-3</v>
      </c>
      <c r="V34" s="3">
        <v>-4.5161250000000002E-3</v>
      </c>
    </row>
    <row r="35" spans="1:22" x14ac:dyDescent="0.25">
      <c r="A35" t="s">
        <v>83</v>
      </c>
    </row>
    <row r="36" spans="1:22" x14ac:dyDescent="0.25">
      <c r="A36">
        <v>509.83199999999999</v>
      </c>
      <c r="B36">
        <v>9116</v>
      </c>
      <c r="C36">
        <v>6742</v>
      </c>
      <c r="D36">
        <v>1</v>
      </c>
      <c r="E36">
        <v>1</v>
      </c>
      <c r="F36" t="s">
        <v>13</v>
      </c>
      <c r="G36" s="3">
        <v>6.2284469999999998E-3</v>
      </c>
      <c r="H36" s="3">
        <v>2.9544829999999999E-3</v>
      </c>
      <c r="I36" s="3">
        <v>6.6471100000000001E-4</v>
      </c>
      <c r="J36">
        <v>5.4751399999999999E-2</v>
      </c>
      <c r="K36" s="3">
        <v>-1.178265E-3</v>
      </c>
      <c r="L36" s="3">
        <v>-1.347542E-3</v>
      </c>
      <c r="M36" s="3">
        <v>-2.8376579999999998E-3</v>
      </c>
      <c r="N36" s="3">
        <v>-2.1166800000000001E-3</v>
      </c>
      <c r="O36" s="3">
        <v>-1.117229E-3</v>
      </c>
      <c r="P36" s="3">
        <v>1.1681560000000001E-2</v>
      </c>
      <c r="Q36" s="3">
        <v>-9.565353E-4</v>
      </c>
      <c r="R36" s="3">
        <v>-1.085758E-3</v>
      </c>
      <c r="S36">
        <v>1.53265E-2</v>
      </c>
      <c r="T36" s="3">
        <v>-5.7649610000000005E-4</v>
      </c>
      <c r="U36" s="3">
        <v>1.6689299999999999E-4</v>
      </c>
      <c r="V36" s="3">
        <v>-8.8453290000000003E-4</v>
      </c>
    </row>
    <row r="37" spans="1:22" x14ac:dyDescent="0.25">
      <c r="A37">
        <v>509.85599999999999</v>
      </c>
      <c r="B37">
        <v>9116</v>
      </c>
      <c r="C37">
        <v>6744</v>
      </c>
      <c r="D37">
        <v>1</v>
      </c>
      <c r="E37">
        <v>1</v>
      </c>
      <c r="F37" t="s">
        <v>13</v>
      </c>
      <c r="G37" s="3">
        <v>2.0599370000000001E-4</v>
      </c>
      <c r="H37" s="3">
        <v>-8.0823899999999998E-4</v>
      </c>
      <c r="I37" s="3">
        <v>-3.1614300000000001E-4</v>
      </c>
      <c r="J37" s="3">
        <v>5.6421279999999997E-2</v>
      </c>
      <c r="K37" s="3">
        <v>-1.860619E-3</v>
      </c>
      <c r="L37" s="3">
        <v>-2.500057E-3</v>
      </c>
      <c r="M37" s="3">
        <v>-3.8619040000000002E-3</v>
      </c>
      <c r="N37" s="3">
        <v>-3.5047530000000002E-3</v>
      </c>
      <c r="O37" s="3">
        <v>-5.5308340000000001E-3</v>
      </c>
      <c r="P37" s="3">
        <v>-4.3821329999999999E-3</v>
      </c>
      <c r="Q37" s="3">
        <v>-5.4707530000000001E-3</v>
      </c>
      <c r="R37" s="3">
        <v>-5.8865549999999999E-3</v>
      </c>
      <c r="S37" s="3">
        <v>-6.6509250000000002E-3</v>
      </c>
      <c r="T37" s="3">
        <v>-6.5217019999999999E-3</v>
      </c>
      <c r="U37" s="3">
        <v>-6.9894789999999998E-3</v>
      </c>
      <c r="V37" s="3">
        <v>-7.362843E-3</v>
      </c>
    </row>
    <row r="38" spans="1:22" x14ac:dyDescent="0.25">
      <c r="A38" t="s">
        <v>84</v>
      </c>
    </row>
    <row r="39" spans="1:22" x14ac:dyDescent="0.25">
      <c r="A39">
        <v>519.654</v>
      </c>
      <c r="B39">
        <v>9116</v>
      </c>
      <c r="C39">
        <v>6742</v>
      </c>
      <c r="D39">
        <v>1</v>
      </c>
      <c r="E39">
        <v>1</v>
      </c>
      <c r="F39" t="s">
        <v>13</v>
      </c>
      <c r="G39" s="3">
        <v>4.2886729999999998E-3</v>
      </c>
      <c r="H39" s="3">
        <v>3.8232800000000001E-3</v>
      </c>
      <c r="I39" s="3">
        <v>1.885891E-3</v>
      </c>
      <c r="J39" s="3">
        <v>5.6457519999999997E-2</v>
      </c>
      <c r="K39" s="3">
        <v>2.2888180000000001E-5</v>
      </c>
      <c r="L39" s="3">
        <v>-1.273155E-4</v>
      </c>
      <c r="M39" s="3">
        <v>-1.9612309999999999E-3</v>
      </c>
      <c r="N39" s="3">
        <v>-1.2512210000000001E-3</v>
      </c>
      <c r="O39" s="3">
        <v>-8.6307530000000003E-4</v>
      </c>
      <c r="P39" s="3">
        <v>1.118183E-2</v>
      </c>
      <c r="Q39" s="3">
        <v>-2.6512150000000001E-4</v>
      </c>
      <c r="R39" s="3">
        <v>-5.1021580000000001E-4</v>
      </c>
      <c r="S39" s="3">
        <v>1.7097950000000001E-2</v>
      </c>
      <c r="T39" s="3">
        <v>-4.0340420000000002E-4</v>
      </c>
      <c r="U39" s="3">
        <v>1.6689299999999999E-4</v>
      </c>
      <c r="V39" s="3">
        <v>-5.9223179999999998E-4</v>
      </c>
    </row>
    <row r="40" spans="1:22" x14ac:dyDescent="0.25">
      <c r="A40">
        <v>519.67600000000004</v>
      </c>
      <c r="B40">
        <v>9116</v>
      </c>
      <c r="C40">
        <v>6744</v>
      </c>
      <c r="D40">
        <v>1</v>
      </c>
      <c r="E40">
        <v>1</v>
      </c>
      <c r="F40" t="s">
        <v>13</v>
      </c>
      <c r="G40" s="3">
        <v>2.3365019999999999E-5</v>
      </c>
      <c r="H40" s="3">
        <v>-6.2942499999999997E-4</v>
      </c>
      <c r="I40" s="3">
        <v>-1.3828279999999999E-4</v>
      </c>
      <c r="J40" s="3">
        <v>5.7456489999999999E-2</v>
      </c>
      <c r="K40" s="3">
        <v>-1.141071E-3</v>
      </c>
      <c r="L40" s="3">
        <v>-3.0369759999999998E-3</v>
      </c>
      <c r="M40" s="3">
        <v>-4.7273640000000004E-3</v>
      </c>
      <c r="N40">
        <v>-4.0555000000000001E-3</v>
      </c>
      <c r="O40" s="3">
        <v>-5.9304240000000001E-3</v>
      </c>
      <c r="P40" s="3">
        <v>-4.7483439999999998E-3</v>
      </c>
      <c r="Q40" s="3">
        <v>-5.6500430000000004E-3</v>
      </c>
      <c r="R40" s="3">
        <v>-6.6008569999999999E-3</v>
      </c>
      <c r="S40" s="3">
        <v>-7.8372960000000005E-3</v>
      </c>
      <c r="T40" s="3">
        <v>-7.4257849999999999E-3</v>
      </c>
      <c r="U40" s="3">
        <v>-8.8090900000000003E-3</v>
      </c>
      <c r="V40" s="3">
        <v>-9.4852449999999998E-3</v>
      </c>
    </row>
    <row r="41" spans="1:22" x14ac:dyDescent="0.25">
      <c r="A41" t="s">
        <v>85</v>
      </c>
    </row>
    <row r="42" spans="1:22" x14ac:dyDescent="0.25">
      <c r="A42">
        <v>529.35799999999995</v>
      </c>
      <c r="B42">
        <v>9116</v>
      </c>
      <c r="C42">
        <v>6742</v>
      </c>
      <c r="D42">
        <v>1</v>
      </c>
      <c r="E42">
        <v>1</v>
      </c>
      <c r="F42" t="s">
        <v>13</v>
      </c>
      <c r="G42" s="3">
        <v>2.5401120000000002E-3</v>
      </c>
      <c r="H42" s="3">
        <v>4.7965050000000004E-3</v>
      </c>
      <c r="I42" s="3">
        <v>2.9349329999999998E-3</v>
      </c>
      <c r="J42" s="3">
        <v>5.8332439999999999E-2</v>
      </c>
      <c r="K42" s="3">
        <v>7.0142749999999997E-4</v>
      </c>
      <c r="L42" s="3">
        <v>-4.6014789999999998E-4</v>
      </c>
      <c r="M42" s="3">
        <v>-1.6875270000000001E-3</v>
      </c>
      <c r="N42" s="3">
        <v>-5.5551530000000002E-4</v>
      </c>
      <c r="O42" s="3">
        <v>9.0599059999999992E-6</v>
      </c>
      <c r="P42" s="3">
        <v>1.0144709999999999E-2</v>
      </c>
      <c r="Q42" s="3">
        <v>-5.5122380000000005E-4</v>
      </c>
      <c r="R42" s="3">
        <v>-9.7036360000000001E-4</v>
      </c>
      <c r="S42" s="3">
        <v>1.9225119999999998E-2</v>
      </c>
      <c r="T42" s="3">
        <v>-9.1791150000000005E-4</v>
      </c>
      <c r="U42" s="3">
        <v>-1.764297E-4</v>
      </c>
      <c r="V42" s="3">
        <v>-2.3174289999999999E-4</v>
      </c>
    </row>
    <row r="43" spans="1:22" x14ac:dyDescent="0.25">
      <c r="A43">
        <v>529.38</v>
      </c>
      <c r="B43">
        <v>9116</v>
      </c>
      <c r="C43">
        <v>6744</v>
      </c>
      <c r="D43">
        <v>1</v>
      </c>
      <c r="E43">
        <v>1</v>
      </c>
      <c r="F43" t="s">
        <v>13</v>
      </c>
      <c r="G43" s="3">
        <v>-3.4093859999999998E-4</v>
      </c>
      <c r="H43" s="3">
        <v>-1.1143679999999999E-3</v>
      </c>
      <c r="I43" s="3">
        <v>-1.401901E-4</v>
      </c>
      <c r="J43">
        <v>5.9020999999999997E-2</v>
      </c>
      <c r="K43" s="3">
        <v>-1.1420250000000001E-3</v>
      </c>
      <c r="L43" s="3">
        <v>-2.324104E-3</v>
      </c>
      <c r="M43" s="3">
        <v>-5.0597189999999998E-3</v>
      </c>
      <c r="N43" s="3">
        <v>-4.7883989999999996E-3</v>
      </c>
      <c r="O43" s="3">
        <v>-5.8588980000000004E-3</v>
      </c>
      <c r="P43" s="3">
        <v>-5.2986149999999996E-3</v>
      </c>
      <c r="Q43" s="3">
        <v>-6.3776969999999999E-3</v>
      </c>
      <c r="R43" s="3">
        <v>-7.8687670000000005E-3</v>
      </c>
      <c r="S43" s="3">
        <v>-8.8486669999999993E-3</v>
      </c>
      <c r="T43" s="3">
        <v>-8.6946490000000005E-3</v>
      </c>
      <c r="U43">
        <v>-1.0266300000000001E-2</v>
      </c>
      <c r="V43" s="3">
        <v>-1.162004E-2</v>
      </c>
    </row>
    <row r="44" spans="1:22" x14ac:dyDescent="0.25">
      <c r="A44" t="s">
        <v>86</v>
      </c>
    </row>
    <row r="45" spans="1:22" x14ac:dyDescent="0.25">
      <c r="A45">
        <v>538.21799999999996</v>
      </c>
      <c r="B45">
        <v>9116</v>
      </c>
      <c r="C45">
        <v>6742</v>
      </c>
      <c r="D45">
        <v>1</v>
      </c>
      <c r="E45">
        <v>1</v>
      </c>
      <c r="F45" t="s">
        <v>13</v>
      </c>
      <c r="G45" s="3">
        <v>4.2676930000000001E-4</v>
      </c>
      <c r="H45" s="3">
        <v>5.84507E-3</v>
      </c>
      <c r="I45" s="3">
        <v>3.6334990000000001E-3</v>
      </c>
      <c r="J45" s="3">
        <v>5.9868339999999999E-2</v>
      </c>
      <c r="K45" s="3">
        <v>1.213551E-3</v>
      </c>
      <c r="L45" s="3">
        <v>-2.8753280000000001E-4</v>
      </c>
      <c r="M45" s="3">
        <v>-1.336575E-3</v>
      </c>
      <c r="N45" s="3">
        <v>-3.3378599999999999E-5</v>
      </c>
      <c r="O45" s="3">
        <v>9.0599059999999992E-6</v>
      </c>
      <c r="P45" s="3">
        <v>9.7994799999999993E-3</v>
      </c>
      <c r="Q45" s="3">
        <v>-2.0504E-4</v>
      </c>
      <c r="R45" s="3">
        <v>-2.8038020000000001E-4</v>
      </c>
      <c r="S45" s="3">
        <v>2.046299E-2</v>
      </c>
      <c r="T45" s="3">
        <v>-7.4577330000000002E-4</v>
      </c>
      <c r="U45" s="3">
        <v>6.1988830000000002E-6</v>
      </c>
      <c r="V45" s="3">
        <v>4.901886E-4</v>
      </c>
    </row>
    <row r="46" spans="1:22" x14ac:dyDescent="0.25">
      <c r="A46">
        <v>538.23900000000003</v>
      </c>
      <c r="B46">
        <v>9116</v>
      </c>
      <c r="C46">
        <v>6744</v>
      </c>
      <c r="D46">
        <v>1</v>
      </c>
      <c r="E46">
        <v>1</v>
      </c>
      <c r="F46" t="s">
        <v>13</v>
      </c>
      <c r="G46" s="3">
        <v>-3.4093859999999998E-4</v>
      </c>
      <c r="H46" s="3">
        <v>-7.5674059999999998E-4</v>
      </c>
      <c r="I46" s="3">
        <v>-8.6259840000000004E-4</v>
      </c>
      <c r="J46" s="3">
        <v>6.0574049999999997E-2</v>
      </c>
      <c r="K46" s="3">
        <v>-1.5020369999999999E-3</v>
      </c>
      <c r="L46" s="3">
        <v>-2.5024410000000002E-3</v>
      </c>
      <c r="M46" s="3">
        <v>-5.7511330000000003E-3</v>
      </c>
      <c r="N46" s="3">
        <v>-5.5136680000000002E-3</v>
      </c>
      <c r="O46" s="3">
        <v>-6.5741539999999996E-3</v>
      </c>
      <c r="P46" s="3">
        <v>-6.0315129999999996E-3</v>
      </c>
      <c r="Q46" s="3">
        <v>-7.2774889999999998E-3</v>
      </c>
      <c r="R46" s="3">
        <v>-8.768082E-3</v>
      </c>
      <c r="S46" s="3">
        <v>-9.3717580000000009E-3</v>
      </c>
      <c r="T46" s="3">
        <v>-9.9611279999999996E-3</v>
      </c>
      <c r="U46" s="3">
        <v>-1.1903759999999999E-2</v>
      </c>
      <c r="V46">
        <v>-1.42889E-2</v>
      </c>
    </row>
    <row r="47" spans="1:22" x14ac:dyDescent="0.25">
      <c r="A47" t="s">
        <v>87</v>
      </c>
    </row>
    <row r="48" spans="1:22" x14ac:dyDescent="0.25">
      <c r="A48">
        <v>548.58500000000004</v>
      </c>
      <c r="B48">
        <v>9116</v>
      </c>
      <c r="C48">
        <v>6742</v>
      </c>
      <c r="D48">
        <v>1</v>
      </c>
      <c r="E48">
        <v>1</v>
      </c>
      <c r="F48" t="s">
        <v>13</v>
      </c>
      <c r="G48" s="3">
        <v>-2.212524E-3</v>
      </c>
      <c r="H48" s="3">
        <v>6.569386E-3</v>
      </c>
      <c r="I48" s="3">
        <v>4.1928290000000003E-3</v>
      </c>
      <c r="J48" s="3">
        <v>6.1595440000000001E-2</v>
      </c>
      <c r="K48" s="3">
        <v>1.7361639999999999E-3</v>
      </c>
      <c r="L48" s="3">
        <v>-8.0347060000000002E-4</v>
      </c>
      <c r="M48" s="3">
        <v>-9.3698499999999999E-4</v>
      </c>
      <c r="N48" s="3">
        <v>-3.3378599999999999E-5</v>
      </c>
      <c r="O48" s="3">
        <v>1.821518E-4</v>
      </c>
      <c r="P48" s="3">
        <v>9.1276169999999993E-3</v>
      </c>
      <c r="Q48" s="3">
        <v>5.4645539999999997E-4</v>
      </c>
      <c r="R48" s="3">
        <v>-2.8038020000000001E-4</v>
      </c>
      <c r="S48" s="3">
        <v>2.3116109999999999E-2</v>
      </c>
      <c r="T48" s="3">
        <v>-2.2745130000000001E-4</v>
      </c>
      <c r="U48" s="3">
        <v>5.5170060000000001E-4</v>
      </c>
      <c r="V48" s="3">
        <v>1.735687E-4</v>
      </c>
    </row>
    <row r="49" spans="1:22" x14ac:dyDescent="0.25">
      <c r="A49">
        <v>548.60599999999999</v>
      </c>
      <c r="B49">
        <v>9116</v>
      </c>
      <c r="C49">
        <v>6744</v>
      </c>
      <c r="D49">
        <v>1</v>
      </c>
      <c r="E49">
        <v>1</v>
      </c>
      <c r="F49" t="s">
        <v>13</v>
      </c>
      <c r="G49" s="3">
        <v>5.6457519999999995E-4</v>
      </c>
      <c r="H49" s="3">
        <v>-5.7888030000000004E-4</v>
      </c>
      <c r="I49" s="3">
        <v>-3.2043460000000002E-4</v>
      </c>
      <c r="J49" s="3">
        <v>6.2660220000000003E-2</v>
      </c>
      <c r="K49" s="3">
        <v>-1.3217929999999999E-3</v>
      </c>
      <c r="L49" s="3">
        <v>-2.8586390000000001E-3</v>
      </c>
      <c r="M49" s="3">
        <v>-4.5409200000000004E-3</v>
      </c>
      <c r="N49" s="3">
        <v>-5.3400990000000001E-3</v>
      </c>
      <c r="O49" s="3">
        <v>-8.183002E-3</v>
      </c>
      <c r="P49" s="3">
        <v>-7.130623E-3</v>
      </c>
      <c r="Q49" s="3">
        <v>-8.3646769999999992E-3</v>
      </c>
      <c r="R49" s="3">
        <v>-9.4876289999999992E-3</v>
      </c>
      <c r="S49" s="3">
        <v>-1.038218E-2</v>
      </c>
      <c r="T49" s="3">
        <v>-1.122856E-2</v>
      </c>
      <c r="U49" s="3">
        <v>-1.372337E-2</v>
      </c>
      <c r="V49">
        <v>-1.6767500000000001E-2</v>
      </c>
    </row>
    <row r="50" spans="1:22" x14ac:dyDescent="0.25">
      <c r="A50" t="s">
        <v>88</v>
      </c>
    </row>
    <row r="51" spans="1:22" x14ac:dyDescent="0.25">
      <c r="A51">
        <v>557.79600000000005</v>
      </c>
      <c r="B51">
        <v>9116</v>
      </c>
      <c r="C51">
        <v>6742</v>
      </c>
      <c r="D51">
        <v>1</v>
      </c>
      <c r="E51">
        <v>1</v>
      </c>
      <c r="F51" t="s">
        <v>13</v>
      </c>
      <c r="G51" s="3">
        <v>-4.8551560000000002E-3</v>
      </c>
      <c r="H51" s="3">
        <v>6.0429569999999998E-3</v>
      </c>
      <c r="I51" s="3">
        <v>4.9262050000000003E-3</v>
      </c>
      <c r="J51" s="3">
        <v>6.3471319999999998E-2</v>
      </c>
      <c r="K51" s="3">
        <v>2.2492409999999999E-3</v>
      </c>
      <c r="L51" s="3">
        <v>-7.8821179999999998E-4</v>
      </c>
      <c r="M51" s="3">
        <v>-4.5967099999999998E-4</v>
      </c>
      <c r="N51" s="3">
        <v>1.3685229999999999E-4</v>
      </c>
      <c r="O51" s="3">
        <v>5.2642819999999997E-4</v>
      </c>
      <c r="P51" s="3">
        <v>8.7814329999999999E-3</v>
      </c>
      <c r="Q51" s="3">
        <v>5.4693220000000004E-4</v>
      </c>
      <c r="R51" s="3">
        <v>6.4373020000000003E-5</v>
      </c>
      <c r="S51" s="3">
        <v>2.4003509999999999E-2</v>
      </c>
      <c r="T51" s="3">
        <v>-3.929138E-4</v>
      </c>
      <c r="U51" s="3">
        <v>3.9052960000000002E-4</v>
      </c>
      <c r="V51" s="3">
        <v>-1.8739700000000001E-4</v>
      </c>
    </row>
    <row r="52" spans="1:22" x14ac:dyDescent="0.25">
      <c r="A52">
        <v>557.81600000000003</v>
      </c>
      <c r="B52">
        <v>9116</v>
      </c>
      <c r="C52">
        <v>6744</v>
      </c>
      <c r="D52">
        <v>1</v>
      </c>
      <c r="E52">
        <v>1</v>
      </c>
      <c r="F52" t="s">
        <v>13</v>
      </c>
      <c r="G52" s="3">
        <v>1.9979479999999999E-4</v>
      </c>
      <c r="H52" s="3">
        <v>-7.5769420000000001E-4</v>
      </c>
      <c r="I52" s="3">
        <v>3.5762790000000002E-5</v>
      </c>
      <c r="J52" s="3">
        <v>6.3859940000000004E-2</v>
      </c>
      <c r="K52" s="3">
        <v>-1.3232230000000001E-3</v>
      </c>
      <c r="L52" s="3">
        <v>-2.6822090000000001E-3</v>
      </c>
      <c r="M52" s="3">
        <v>-5.2185060000000004E-3</v>
      </c>
      <c r="N52" s="3">
        <v>-5.5212969999999997E-3</v>
      </c>
      <c r="O52" s="3">
        <v>-6.931782E-3</v>
      </c>
      <c r="P52" s="3">
        <v>-6.0315129999999996E-3</v>
      </c>
      <c r="Q52" s="3">
        <v>-8.1825260000000007E-3</v>
      </c>
      <c r="R52" s="3">
        <v>-1.237011E-2</v>
      </c>
      <c r="S52" s="3">
        <v>-1.2475969999999999E-2</v>
      </c>
      <c r="T52" s="3">
        <v>-1.304054E-2</v>
      </c>
      <c r="U52">
        <v>-1.4087199999999999E-2</v>
      </c>
      <c r="V52" s="3">
        <v>-1.7646309999999998E-2</v>
      </c>
    </row>
    <row r="53" spans="1:22" x14ac:dyDescent="0.25">
      <c r="A53" t="s">
        <v>89</v>
      </c>
    </row>
    <row r="54" spans="1:22" x14ac:dyDescent="0.25">
      <c r="A54">
        <v>567.25</v>
      </c>
      <c r="B54">
        <v>9116</v>
      </c>
      <c r="C54">
        <v>6742</v>
      </c>
      <c r="D54">
        <v>1</v>
      </c>
      <c r="E54">
        <v>1</v>
      </c>
      <c r="F54" t="s">
        <v>13</v>
      </c>
      <c r="G54" s="3">
        <v>-6.9684980000000001E-3</v>
      </c>
      <c r="H54" s="3">
        <v>6.5674779999999999E-3</v>
      </c>
      <c r="I54" s="3">
        <v>5.7997700000000001E-3</v>
      </c>
      <c r="J54" s="3">
        <v>6.5348630000000005E-2</v>
      </c>
      <c r="K54" s="3">
        <v>3.4451479999999999E-3</v>
      </c>
      <c r="L54" s="3">
        <v>-4.4393539999999998E-4</v>
      </c>
      <c r="M54" s="3">
        <v>2.422333E-4</v>
      </c>
      <c r="N54" s="3">
        <v>1.52874E-3</v>
      </c>
      <c r="O54" s="3">
        <v>8.7261200000000004E-4</v>
      </c>
      <c r="P54" s="3">
        <v>8.2635880000000005E-3</v>
      </c>
      <c r="Q54" s="3">
        <v>5.4693220000000004E-4</v>
      </c>
      <c r="R54" s="3">
        <v>2.365112E-4</v>
      </c>
      <c r="S54" s="3">
        <v>2.594948E-2</v>
      </c>
      <c r="T54" s="3">
        <v>-2.207756E-4</v>
      </c>
      <c r="U54" s="3">
        <v>3.9052960000000002E-4</v>
      </c>
      <c r="V54" s="3">
        <v>-6.67572E-6</v>
      </c>
    </row>
    <row r="55" spans="1:22" x14ac:dyDescent="0.25">
      <c r="A55">
        <v>567.27</v>
      </c>
      <c r="B55">
        <v>9116</v>
      </c>
      <c r="C55">
        <v>6744</v>
      </c>
      <c r="D55">
        <v>1</v>
      </c>
      <c r="E55">
        <v>1</v>
      </c>
      <c r="F55" t="s">
        <v>13</v>
      </c>
      <c r="G55" s="3">
        <v>1.9979479999999999E-4</v>
      </c>
      <c r="H55" s="3">
        <v>-9.3698499999999999E-4</v>
      </c>
      <c r="I55" s="3">
        <v>2.164841E-4</v>
      </c>
      <c r="J55" s="3">
        <v>6.5585610000000003E-2</v>
      </c>
      <c r="K55" s="3">
        <v>-9.6273419999999999E-4</v>
      </c>
      <c r="L55" s="3">
        <v>-2.3255350000000001E-3</v>
      </c>
      <c r="M55" s="3">
        <v>-5.3915980000000001E-3</v>
      </c>
      <c r="N55" s="3">
        <v>-5.5212969999999997E-3</v>
      </c>
      <c r="O55" s="3">
        <v>-6.931782E-3</v>
      </c>
      <c r="P55" s="3">
        <v>-5.8484080000000003E-3</v>
      </c>
      <c r="Q55" s="3">
        <v>-7.2832110000000004E-3</v>
      </c>
      <c r="R55" s="3">
        <v>-1.416826E-2</v>
      </c>
      <c r="S55" s="3">
        <v>-1.439476E-2</v>
      </c>
      <c r="T55" s="3">
        <v>-1.376438E-2</v>
      </c>
      <c r="U55" s="3">
        <v>-1.499701E-2</v>
      </c>
      <c r="V55" s="3">
        <v>-1.746845E-2</v>
      </c>
    </row>
    <row r="56" spans="1:22" x14ac:dyDescent="0.25">
      <c r="A56" t="s">
        <v>90</v>
      </c>
    </row>
    <row r="57" spans="1:22" x14ac:dyDescent="0.25">
      <c r="A57">
        <v>576.29</v>
      </c>
      <c r="B57">
        <v>9116</v>
      </c>
      <c r="C57">
        <v>6742</v>
      </c>
      <c r="D57">
        <v>1</v>
      </c>
      <c r="E57">
        <v>1</v>
      </c>
      <c r="F57" t="s">
        <v>13</v>
      </c>
      <c r="G57" s="3">
        <v>-9.4265939999999999E-3</v>
      </c>
      <c r="H57" s="3">
        <v>6.4935679999999999E-3</v>
      </c>
      <c r="I57" s="3">
        <v>5.6605340000000001E-3</v>
      </c>
      <c r="J57" s="3">
        <v>6.6414360000000006E-2</v>
      </c>
      <c r="K57" s="3">
        <v>3.2787319999999999E-3</v>
      </c>
      <c r="L57" s="3">
        <v>-9.3221660000000002E-4</v>
      </c>
      <c r="M57" s="3">
        <v>3.4046169999999999E-4</v>
      </c>
      <c r="N57" s="3">
        <v>1.172066E-3</v>
      </c>
      <c r="O57" s="3">
        <v>1.4815329999999999E-3</v>
      </c>
      <c r="P57" s="3">
        <v>7.7638630000000002E-3</v>
      </c>
      <c r="Q57" s="3">
        <v>1.4114380000000001E-3</v>
      </c>
      <c r="R57" s="3">
        <v>5.8174129999999998E-4</v>
      </c>
      <c r="S57">
        <v>2.7369500000000001E-2</v>
      </c>
      <c r="T57" s="3">
        <v>-2.207756E-4</v>
      </c>
      <c r="U57" s="3">
        <v>7.7533720000000003E-4</v>
      </c>
      <c r="V57" s="3">
        <v>-7.3432919999999994E-5</v>
      </c>
    </row>
    <row r="58" spans="1:22" x14ac:dyDescent="0.25">
      <c r="A58">
        <v>576.30899999999997</v>
      </c>
      <c r="B58">
        <v>9116</v>
      </c>
      <c r="C58">
        <v>6744</v>
      </c>
      <c r="D58">
        <v>1</v>
      </c>
      <c r="E58">
        <v>1</v>
      </c>
      <c r="F58" t="s">
        <v>13</v>
      </c>
      <c r="G58" s="3">
        <v>1.9979479999999999E-4</v>
      </c>
      <c r="H58" s="3">
        <v>-8.3255769999999996E-4</v>
      </c>
      <c r="I58" s="3">
        <v>2.1409989999999999E-4</v>
      </c>
      <c r="J58" s="3">
        <v>6.662846E-2</v>
      </c>
      <c r="K58" s="3">
        <v>-1.3251300000000001E-3</v>
      </c>
      <c r="L58" s="3">
        <v>-2.3255350000000001E-3</v>
      </c>
      <c r="M58" s="3">
        <v>-5.5518149999999999E-3</v>
      </c>
      <c r="N58" s="3">
        <v>-5.7106020000000004E-3</v>
      </c>
      <c r="O58" s="3">
        <v>-6.8640710000000002E-3</v>
      </c>
      <c r="P58" s="3">
        <v>-6.2150959999999998E-3</v>
      </c>
      <c r="Q58" s="3">
        <v>-8.5444449999999995E-3</v>
      </c>
      <c r="R58" s="3">
        <v>-1.5607360000000001E-2</v>
      </c>
      <c r="S58" s="3">
        <v>-1.5929220000000001E-2</v>
      </c>
      <c r="T58" s="3">
        <v>-1.557684E-2</v>
      </c>
      <c r="U58" s="3">
        <v>-1.554441E-2</v>
      </c>
      <c r="V58" s="3">
        <v>-1.7635350000000001E-2</v>
      </c>
    </row>
    <row r="59" spans="1:22" x14ac:dyDescent="0.25">
      <c r="A59" t="s">
        <v>91</v>
      </c>
    </row>
    <row r="60" spans="1:22" x14ac:dyDescent="0.25">
      <c r="A60">
        <v>585.89099999999996</v>
      </c>
      <c r="B60">
        <v>9116</v>
      </c>
      <c r="C60">
        <v>6742</v>
      </c>
      <c r="D60">
        <v>1</v>
      </c>
      <c r="E60">
        <v>1</v>
      </c>
      <c r="F60" t="s">
        <v>13</v>
      </c>
      <c r="G60" s="3">
        <v>-1.1710170000000001E-2</v>
      </c>
      <c r="H60" s="3">
        <v>6.3185689999999996E-3</v>
      </c>
      <c r="I60" s="3">
        <v>6.2198640000000003E-3</v>
      </c>
      <c r="J60" s="3">
        <v>6.7950250000000004E-2</v>
      </c>
      <c r="K60" s="3">
        <v>3.4546849999999999E-3</v>
      </c>
      <c r="L60" s="3">
        <v>-7.7581410000000003E-4</v>
      </c>
      <c r="M60" s="3">
        <v>9.922981E-4</v>
      </c>
      <c r="N60" s="3">
        <v>1.5158649999999999E-3</v>
      </c>
      <c r="O60" s="3">
        <v>1.917839E-3</v>
      </c>
      <c r="P60" s="3">
        <v>7.436275E-3</v>
      </c>
      <c r="Q60" s="3">
        <v>1.125336E-3</v>
      </c>
      <c r="R60" s="3">
        <v>6.9761279999999996E-4</v>
      </c>
      <c r="S60" s="3">
        <v>2.8080939999999999E-2</v>
      </c>
      <c r="T60" s="3">
        <v>-2.207756E-4</v>
      </c>
      <c r="U60" s="3">
        <v>4.3249130000000001E-4</v>
      </c>
      <c r="V60" s="3">
        <v>2.1839139999999999E-4</v>
      </c>
    </row>
    <row r="61" spans="1:22" x14ac:dyDescent="0.25">
      <c r="A61">
        <v>585.91</v>
      </c>
      <c r="B61">
        <v>9116</v>
      </c>
      <c r="C61">
        <v>6744</v>
      </c>
      <c r="D61">
        <v>1</v>
      </c>
      <c r="E61">
        <v>1</v>
      </c>
      <c r="F61" t="s">
        <v>13</v>
      </c>
      <c r="G61" s="3">
        <v>-1.649857E-4</v>
      </c>
      <c r="H61" s="3">
        <v>-1.3184550000000001E-3</v>
      </c>
      <c r="I61" s="3">
        <v>-6.8902969999999999E-4</v>
      </c>
      <c r="J61" s="3">
        <v>6.7845340000000004E-2</v>
      </c>
      <c r="K61" s="3">
        <v>-1.1448859999999999E-3</v>
      </c>
      <c r="L61" s="3">
        <v>-2.505302E-3</v>
      </c>
      <c r="M61" s="3">
        <v>-5.3658489999999998E-3</v>
      </c>
      <c r="N61" s="3">
        <v>-5.725384E-3</v>
      </c>
      <c r="O61" s="3">
        <v>-7.1516039999999998E-3</v>
      </c>
      <c r="P61" s="3">
        <v>-6.5817829999999999E-3</v>
      </c>
      <c r="Q61">
        <v>-1.0175699999999999E-2</v>
      </c>
      <c r="R61">
        <v>-1.6876700000000001E-2</v>
      </c>
      <c r="S61" s="3">
        <v>-1.6452310000000001E-2</v>
      </c>
      <c r="T61" s="3">
        <v>-1.6119959999999999E-2</v>
      </c>
      <c r="U61" s="3">
        <v>-1.627398E-2</v>
      </c>
      <c r="V61" s="3">
        <v>-1.744652E-2</v>
      </c>
    </row>
    <row r="62" spans="1:22" x14ac:dyDescent="0.25">
      <c r="A62" t="s">
        <v>92</v>
      </c>
    </row>
    <row r="63" spans="1:22" x14ac:dyDescent="0.25">
      <c r="A63">
        <v>595.26</v>
      </c>
      <c r="B63">
        <v>9116</v>
      </c>
      <c r="C63">
        <v>6742</v>
      </c>
      <c r="D63">
        <v>1</v>
      </c>
      <c r="E63">
        <v>1</v>
      </c>
      <c r="F63" t="s">
        <v>13</v>
      </c>
      <c r="G63" s="3">
        <v>-4.6634670000000001E-3</v>
      </c>
      <c r="H63" s="3">
        <v>6.6685679999999997E-3</v>
      </c>
      <c r="I63" s="3">
        <v>5.8708190000000002E-3</v>
      </c>
      <c r="J63" s="3">
        <v>6.9656369999999995E-2</v>
      </c>
      <c r="K63" s="3">
        <v>3.6258699999999998E-3</v>
      </c>
      <c r="L63" s="3">
        <v>8.5830690000000004E-5</v>
      </c>
      <c r="M63" s="3">
        <v>4.6586989999999998E-4</v>
      </c>
      <c r="N63" s="3">
        <v>2.0380020000000001E-3</v>
      </c>
      <c r="O63" s="3">
        <v>1.052856E-3</v>
      </c>
      <c r="P63" s="3">
        <v>6.3996319999999997E-3</v>
      </c>
      <c r="Q63" s="3">
        <v>6.0605999999999995E-4</v>
      </c>
      <c r="R63" s="3">
        <v>1.8024440000000001E-4</v>
      </c>
      <c r="S63" s="3">
        <v>2.8788569999999999E-2</v>
      </c>
      <c r="T63" s="3">
        <v>-1.082897E-3</v>
      </c>
      <c r="U63" s="3">
        <v>-1.1348720000000001E-4</v>
      </c>
      <c r="V63" s="3">
        <v>-8.6450579999999995E-4</v>
      </c>
    </row>
    <row r="64" spans="1:22" x14ac:dyDescent="0.25">
      <c r="A64">
        <v>595.28099999999995</v>
      </c>
      <c r="B64">
        <v>9116</v>
      </c>
      <c r="C64">
        <v>6744</v>
      </c>
      <c r="D64">
        <v>1</v>
      </c>
      <c r="E64">
        <v>1</v>
      </c>
      <c r="F64" t="s">
        <v>13</v>
      </c>
      <c r="G64" s="3">
        <v>-1.6140939999999999E-3</v>
      </c>
      <c r="H64" s="3">
        <v>-2.0332340000000001E-3</v>
      </c>
      <c r="I64" s="3">
        <v>-1.5921589999999999E-3</v>
      </c>
      <c r="J64" s="3">
        <v>6.9053169999999997E-2</v>
      </c>
      <c r="K64" s="3">
        <v>-2.4061199999999999E-3</v>
      </c>
      <c r="L64" s="3">
        <v>-4.2886729999999998E-3</v>
      </c>
      <c r="M64" s="3">
        <v>-7.441998E-3</v>
      </c>
      <c r="N64" s="3">
        <v>-6.8135260000000003E-3</v>
      </c>
      <c r="O64" s="3">
        <v>-7.6880459999999996E-3</v>
      </c>
      <c r="P64" s="3">
        <v>-7.3146820000000003E-3</v>
      </c>
      <c r="Q64" s="3">
        <v>-7.47776E-3</v>
      </c>
      <c r="R64" s="3">
        <v>-7.8845019999999998E-3</v>
      </c>
      <c r="S64" s="3">
        <v>-8.2545280000000006E-3</v>
      </c>
      <c r="T64" s="3">
        <v>-7.431984E-3</v>
      </c>
      <c r="U64" s="3">
        <v>-7.1754460000000003E-3</v>
      </c>
      <c r="V64" s="3">
        <v>-7.8387260000000007E-3</v>
      </c>
    </row>
    <row r="65" spans="1:22" x14ac:dyDescent="0.25">
      <c r="A65" t="s">
        <v>93</v>
      </c>
    </row>
    <row r="66" spans="1:22" x14ac:dyDescent="0.25">
      <c r="A66">
        <v>605.16600000000005</v>
      </c>
      <c r="B66">
        <v>9116</v>
      </c>
      <c r="C66">
        <v>6742</v>
      </c>
      <c r="D66">
        <v>1</v>
      </c>
      <c r="E66">
        <v>1</v>
      </c>
      <c r="F66" t="s">
        <v>13</v>
      </c>
      <c r="G66" s="3">
        <v>-7.8868869999999998E-4</v>
      </c>
      <c r="H66" s="3">
        <v>6.3185689999999996E-3</v>
      </c>
      <c r="I66" s="3">
        <v>5.3462980000000002E-3</v>
      </c>
      <c r="J66" s="3">
        <v>7.0870879999999997E-2</v>
      </c>
      <c r="K66" s="3">
        <v>3.2887459999999999E-3</v>
      </c>
      <c r="L66" s="3">
        <v>-2.579689E-4</v>
      </c>
      <c r="M66" s="3">
        <v>5.1546100000000004E-4</v>
      </c>
      <c r="N66" s="3">
        <v>9.9372859999999992E-4</v>
      </c>
      <c r="O66" s="3">
        <v>7.0762630000000004E-4</v>
      </c>
      <c r="P66" s="3">
        <v>6.0729979999999996E-3</v>
      </c>
      <c r="Q66" s="3">
        <v>-2.6226039999999999E-5</v>
      </c>
      <c r="R66" s="3">
        <v>-3.3617020000000002E-4</v>
      </c>
      <c r="S66" s="3">
        <v>2.931976E-2</v>
      </c>
      <c r="T66" s="3">
        <v>-1.597404E-3</v>
      </c>
      <c r="U66" s="3">
        <v>-1.2259479999999999E-3</v>
      </c>
      <c r="V66" s="3">
        <v>-2.1257400000000001E-3</v>
      </c>
    </row>
    <row r="67" spans="1:22" x14ac:dyDescent="0.25">
      <c r="A67">
        <v>605.19100000000003</v>
      </c>
      <c r="B67">
        <v>9116</v>
      </c>
      <c r="C67">
        <v>6744</v>
      </c>
      <c r="D67">
        <v>1</v>
      </c>
      <c r="E67">
        <v>1</v>
      </c>
      <c r="F67" t="s">
        <v>13</v>
      </c>
      <c r="G67" s="3">
        <v>-3.0655859999999999E-3</v>
      </c>
      <c r="H67" s="3">
        <v>-4.3568610000000001E-3</v>
      </c>
      <c r="I67" s="3">
        <v>-3.400803E-3</v>
      </c>
      <c r="J67">
        <v>7.0267200000000002E-2</v>
      </c>
      <c r="K67" s="3">
        <v>-4.9300189999999999E-3</v>
      </c>
      <c r="L67" s="3">
        <v>-5.3610799999999998E-3</v>
      </c>
      <c r="M67" s="3">
        <v>-5.8712959999999998E-3</v>
      </c>
      <c r="N67" s="3">
        <v>-5.181789E-3</v>
      </c>
      <c r="O67" s="3">
        <v>-6.01244E-3</v>
      </c>
      <c r="P67" s="3">
        <v>-4.3821329999999999E-3</v>
      </c>
      <c r="Q67" s="3">
        <v>-4.6081539999999997E-3</v>
      </c>
      <c r="R67" s="3">
        <v>-5.1860810000000004E-3</v>
      </c>
      <c r="S67" s="3">
        <v>-4.9076079999999999E-3</v>
      </c>
      <c r="T67" s="3">
        <v>-4.3582919999999997E-3</v>
      </c>
      <c r="U67" s="3">
        <v>-3.7202839999999999E-3</v>
      </c>
      <c r="V67" s="3">
        <v>-4.6367650000000002E-3</v>
      </c>
    </row>
    <row r="68" spans="1:22" x14ac:dyDescent="0.25">
      <c r="A68" t="s">
        <v>94</v>
      </c>
    </row>
    <row r="69" spans="1:22" x14ac:dyDescent="0.25">
      <c r="A69">
        <v>615.31100000000004</v>
      </c>
      <c r="B69">
        <v>9116</v>
      </c>
      <c r="C69">
        <v>6742</v>
      </c>
      <c r="D69">
        <v>1</v>
      </c>
      <c r="E69">
        <v>1</v>
      </c>
      <c r="F69" t="s">
        <v>13</v>
      </c>
      <c r="G69" s="3">
        <v>-1.132011E-3</v>
      </c>
      <c r="H69" s="3">
        <v>6.4196590000000003E-3</v>
      </c>
      <c r="I69" s="3">
        <v>5.8708190000000002E-3</v>
      </c>
      <c r="J69" s="3">
        <v>7.2917940000000001E-2</v>
      </c>
      <c r="K69" s="3">
        <v>3.2839779999999999E-3</v>
      </c>
      <c r="L69" s="3">
        <v>-5.9127810000000001E-5</v>
      </c>
      <c r="M69" s="3">
        <v>7.4052809999999999E-4</v>
      </c>
      <c r="N69" s="3">
        <v>1.3375279999999999E-3</v>
      </c>
      <c r="O69" s="3">
        <v>1.053333E-3</v>
      </c>
      <c r="P69" s="3">
        <v>5.0363539999999998E-3</v>
      </c>
      <c r="Q69" s="3">
        <v>5.536079E-4</v>
      </c>
      <c r="R69" s="3">
        <v>-5.0830839999999999E-4</v>
      </c>
      <c r="S69" s="3">
        <v>2.9677869999999999E-2</v>
      </c>
      <c r="T69" s="3">
        <v>-1.5969280000000001E-3</v>
      </c>
      <c r="U69" s="3">
        <v>-1.932621E-3</v>
      </c>
      <c r="V69" s="3">
        <v>-2.5534630000000002E-3</v>
      </c>
    </row>
    <row r="70" spans="1:22" x14ac:dyDescent="0.25">
      <c r="A70">
        <v>615.33600000000001</v>
      </c>
      <c r="B70">
        <v>9116</v>
      </c>
      <c r="C70">
        <v>6744</v>
      </c>
      <c r="D70">
        <v>1</v>
      </c>
      <c r="E70">
        <v>1</v>
      </c>
      <c r="F70" t="s">
        <v>13</v>
      </c>
      <c r="G70" s="3">
        <v>-3.0651089999999999E-3</v>
      </c>
      <c r="H70" s="3">
        <v>-4.5337679999999997E-3</v>
      </c>
      <c r="I70" s="3">
        <v>-4.1236880000000004E-3</v>
      </c>
      <c r="J70" s="3">
        <v>7.1473120000000001E-2</v>
      </c>
      <c r="K70" s="3">
        <v>-4.5709610000000001E-3</v>
      </c>
      <c r="L70" s="3">
        <v>-5.1841739999999997E-3</v>
      </c>
      <c r="M70" s="3">
        <v>-5.1789280000000002E-3</v>
      </c>
      <c r="N70">
        <v>-4.1007999999999999E-3</v>
      </c>
      <c r="O70" s="3">
        <v>-4.940987E-3</v>
      </c>
      <c r="P70" s="3">
        <v>-3.6492349999999998E-3</v>
      </c>
      <c r="Q70" s="3">
        <v>-4.2481419999999999E-3</v>
      </c>
      <c r="R70" s="3">
        <v>-4.4660569999999998E-3</v>
      </c>
      <c r="S70" s="3">
        <v>-4.7340389999999998E-3</v>
      </c>
      <c r="T70" s="3">
        <v>-3.813744E-3</v>
      </c>
      <c r="U70" s="3">
        <v>-3.1752590000000002E-3</v>
      </c>
      <c r="V70" s="3">
        <v>-3.7355420000000001E-3</v>
      </c>
    </row>
    <row r="71" spans="1:22" x14ac:dyDescent="0.25">
      <c r="A71" t="s">
        <v>95</v>
      </c>
    </row>
    <row r="72" spans="1:22" x14ac:dyDescent="0.25">
      <c r="A72">
        <v>624.81500000000005</v>
      </c>
      <c r="B72">
        <v>9116</v>
      </c>
      <c r="C72">
        <v>6742</v>
      </c>
      <c r="D72">
        <v>1</v>
      </c>
      <c r="E72">
        <v>1</v>
      </c>
      <c r="F72" t="s">
        <v>13</v>
      </c>
      <c r="G72" s="3">
        <v>-9.5558169999999997E-4</v>
      </c>
      <c r="H72" s="3">
        <v>6.5941810000000002E-3</v>
      </c>
      <c r="I72" s="3">
        <v>6.0453410000000001E-3</v>
      </c>
      <c r="J72">
        <v>7.3771000000000003E-2</v>
      </c>
      <c r="K72" s="3">
        <v>3.2839779999999999E-3</v>
      </c>
      <c r="L72" s="3">
        <v>-4.0340420000000002E-4</v>
      </c>
      <c r="M72" s="3">
        <v>7.4052809999999999E-4</v>
      </c>
      <c r="N72" s="3">
        <v>1.5120509999999999E-3</v>
      </c>
      <c r="O72" s="3">
        <v>1.053333E-3</v>
      </c>
      <c r="P72" s="3">
        <v>7.2087760000000001E-2</v>
      </c>
      <c r="Q72" s="3">
        <v>2.0742420000000001E-4</v>
      </c>
      <c r="R72" s="3">
        <v>-5.0830839999999999E-4</v>
      </c>
      <c r="S72" s="3">
        <v>2.9677869999999999E-2</v>
      </c>
      <c r="T72" s="3">
        <v>-1.77002E-3</v>
      </c>
      <c r="U72" s="3">
        <v>-1.386642E-3</v>
      </c>
      <c r="V72" s="3">
        <v>-2.1920199999999998E-3</v>
      </c>
    </row>
    <row r="73" spans="1:22" x14ac:dyDescent="0.25">
      <c r="A73">
        <v>624.83799999999997</v>
      </c>
      <c r="B73">
        <v>9116</v>
      </c>
      <c r="C73">
        <v>6744</v>
      </c>
      <c r="D73">
        <v>1</v>
      </c>
      <c r="E73">
        <v>1</v>
      </c>
      <c r="F73" t="s">
        <v>13</v>
      </c>
      <c r="G73" s="3">
        <v>-3.0651089999999999E-3</v>
      </c>
      <c r="H73" s="3">
        <v>-4.7125819999999999E-3</v>
      </c>
      <c r="I73" s="3">
        <v>-3.762722E-3</v>
      </c>
      <c r="J73" s="3">
        <v>7.3026659999999993E-2</v>
      </c>
      <c r="K73" s="3">
        <v>-4.5709610000000001E-3</v>
      </c>
      <c r="L73" s="3">
        <v>-5.3625110000000004E-3</v>
      </c>
      <c r="M73" s="3">
        <v>-4.8327450000000003E-3</v>
      </c>
      <c r="N73" s="3">
        <v>-3.9191249999999999E-3</v>
      </c>
      <c r="O73" s="3">
        <v>-5.1193239999999997E-3</v>
      </c>
      <c r="P73" s="3">
        <v>-3.6492349999999998E-3</v>
      </c>
      <c r="Q73" s="3">
        <v>-4.0678980000000003E-3</v>
      </c>
      <c r="R73" s="3">
        <v>-4.2862890000000004E-3</v>
      </c>
      <c r="S73" s="3">
        <v>-4.5595169999999999E-3</v>
      </c>
      <c r="T73" s="3">
        <v>-4.3568610000000001E-3</v>
      </c>
      <c r="U73" s="3">
        <v>-3.539085E-3</v>
      </c>
      <c r="V73" s="3">
        <v>-3.5576819999999999E-3</v>
      </c>
    </row>
    <row r="74" spans="1:22" x14ac:dyDescent="0.25">
      <c r="A74" t="s">
        <v>96</v>
      </c>
    </row>
    <row r="75" spans="1:22" x14ac:dyDescent="0.25">
      <c r="A75">
        <v>633.66700000000003</v>
      </c>
      <c r="B75">
        <v>9116</v>
      </c>
      <c r="C75">
        <v>6742</v>
      </c>
      <c r="D75">
        <v>1</v>
      </c>
      <c r="E75">
        <v>1</v>
      </c>
      <c r="F75" t="s">
        <v>13</v>
      </c>
      <c r="G75" s="3">
        <v>-1.8339160000000001E-3</v>
      </c>
      <c r="H75" s="3">
        <v>6.5183639999999996E-3</v>
      </c>
      <c r="I75" s="3">
        <v>5.7315830000000002E-3</v>
      </c>
      <c r="J75" s="3">
        <v>7.5135709999999994E-2</v>
      </c>
      <c r="K75" s="3">
        <v>3.293037E-3</v>
      </c>
      <c r="L75" s="3">
        <v>-4.0054320000000002E-4</v>
      </c>
      <c r="M75" s="3">
        <v>7.8964230000000001E-4</v>
      </c>
      <c r="N75" s="3">
        <v>1.3332369999999999E-3</v>
      </c>
      <c r="O75" s="3">
        <v>1.234055E-3</v>
      </c>
      <c r="P75" s="3">
        <v>7.1425440000000007E-2</v>
      </c>
      <c r="Q75" s="3">
        <v>4.4059749999999999E-4</v>
      </c>
      <c r="R75" s="3">
        <v>-7.9536440000000004E-4</v>
      </c>
      <c r="S75" s="3">
        <v>2.8792379999999999E-2</v>
      </c>
      <c r="T75" s="3">
        <v>-1.594067E-3</v>
      </c>
      <c r="U75" s="3">
        <v>-1.5478130000000001E-3</v>
      </c>
      <c r="V75" s="3">
        <v>-2.2602080000000001E-3</v>
      </c>
    </row>
    <row r="76" spans="1:22" x14ac:dyDescent="0.25">
      <c r="A76">
        <v>633.69100000000003</v>
      </c>
      <c r="B76">
        <v>9116</v>
      </c>
      <c r="C76">
        <v>6744</v>
      </c>
      <c r="D76">
        <v>1</v>
      </c>
      <c r="E76">
        <v>1</v>
      </c>
      <c r="F76" t="s">
        <v>13</v>
      </c>
      <c r="G76" s="3">
        <v>-3.4298900000000001E-3</v>
      </c>
      <c r="H76" s="3">
        <v>-5.1984789999999998E-3</v>
      </c>
      <c r="I76" s="3">
        <v>-4.1255950000000001E-3</v>
      </c>
      <c r="J76" s="3">
        <v>7.4236869999999996E-2</v>
      </c>
      <c r="K76" s="3">
        <v>-4.7512049999999997E-3</v>
      </c>
      <c r="L76" s="3">
        <v>-5.0058359999999996E-3</v>
      </c>
      <c r="M76" s="3">
        <v>-5.154133E-3</v>
      </c>
      <c r="N76" s="3">
        <v>-4.1079519999999998E-3</v>
      </c>
      <c r="O76" s="3">
        <v>-5.2299499999999997E-3</v>
      </c>
      <c r="P76" s="3">
        <v>-3.8323400000000001E-3</v>
      </c>
      <c r="Q76" s="3">
        <v>-4.2557719999999997E-3</v>
      </c>
      <c r="R76" s="3">
        <v>-4.4708250000000003E-3</v>
      </c>
      <c r="S76" s="3">
        <v>-4.8403739999999997E-3</v>
      </c>
      <c r="T76" s="3">
        <v>-3.9982799999999999E-3</v>
      </c>
      <c r="U76" s="3">
        <v>-3.7212370000000001E-3</v>
      </c>
      <c r="V76" s="3">
        <v>-4.4364929999999997E-3</v>
      </c>
    </row>
    <row r="77" spans="1:22" x14ac:dyDescent="0.25">
      <c r="A77" t="s">
        <v>97</v>
      </c>
    </row>
    <row r="78" spans="1:22" x14ac:dyDescent="0.25">
      <c r="A78">
        <v>642.77700000000004</v>
      </c>
      <c r="B78">
        <v>9116</v>
      </c>
      <c r="C78">
        <v>6742</v>
      </c>
      <c r="D78">
        <v>1</v>
      </c>
      <c r="E78">
        <v>1</v>
      </c>
      <c r="F78" t="s">
        <v>13</v>
      </c>
      <c r="G78" s="3">
        <v>-2.890587E-3</v>
      </c>
      <c r="H78" s="3">
        <v>6.1688419999999999E-3</v>
      </c>
      <c r="I78" s="3">
        <v>5.9065819999999996E-3</v>
      </c>
      <c r="J78" s="3">
        <v>7.6330659999999995E-2</v>
      </c>
      <c r="K78" s="3">
        <v>3.8061140000000002E-3</v>
      </c>
      <c r="L78" s="3">
        <v>-7.4529649999999995E-4</v>
      </c>
      <c r="M78" s="3">
        <v>1.141071E-3</v>
      </c>
      <c r="N78" s="3">
        <v>1.8548970000000001E-3</v>
      </c>
      <c r="O78" s="3">
        <v>1.407623E-3</v>
      </c>
      <c r="P78" s="3">
        <v>7.0388790000000007E-2</v>
      </c>
      <c r="Q78" s="3">
        <v>7.8630449999999999E-4</v>
      </c>
      <c r="R78" s="3">
        <v>-4.5013429999999998E-4</v>
      </c>
      <c r="S78" s="3">
        <v>2.7907850000000001E-2</v>
      </c>
      <c r="T78" s="3">
        <v>-1.2493129999999999E-3</v>
      </c>
      <c r="U78" s="3">
        <v>-1.9121170000000001E-3</v>
      </c>
      <c r="V78" s="3">
        <v>-2.440453E-3</v>
      </c>
    </row>
    <row r="79" spans="1:22" x14ac:dyDescent="0.25">
      <c r="A79">
        <v>642.79999999999995</v>
      </c>
      <c r="B79">
        <v>9116</v>
      </c>
      <c r="C79">
        <v>6744</v>
      </c>
      <c r="D79">
        <v>1</v>
      </c>
      <c r="E79">
        <v>1</v>
      </c>
      <c r="F79" t="s">
        <v>13</v>
      </c>
      <c r="G79" s="3">
        <v>-3.6110880000000001E-3</v>
      </c>
      <c r="H79" s="3">
        <v>-5.5556299999999998E-3</v>
      </c>
      <c r="I79" s="3">
        <v>-4.3063160000000001E-3</v>
      </c>
      <c r="J79" s="3">
        <v>7.5272080000000005E-2</v>
      </c>
      <c r="K79" s="3">
        <v>-4.9314500000000004E-3</v>
      </c>
      <c r="L79" s="3">
        <v>-5.5408480000000001E-3</v>
      </c>
      <c r="M79" s="3">
        <v>-5.3267480000000001E-3</v>
      </c>
      <c r="N79" s="3">
        <v>-4.4708250000000003E-3</v>
      </c>
      <c r="O79" s="3">
        <v>-5.4087639999999999E-3</v>
      </c>
      <c r="P79" s="3">
        <v>-4.0159230000000002E-3</v>
      </c>
      <c r="Q79" s="3">
        <v>-4.6157840000000004E-3</v>
      </c>
      <c r="R79" s="3">
        <v>-4.8303599999999997E-3</v>
      </c>
      <c r="S79" s="3">
        <v>-4.6658519999999998E-3</v>
      </c>
      <c r="T79" s="3">
        <v>-4.1794780000000004E-3</v>
      </c>
      <c r="U79" s="3">
        <v>-3.3569339999999998E-3</v>
      </c>
      <c r="V79" s="3">
        <v>-4.792213E-3</v>
      </c>
    </row>
    <row r="84" spans="7:39" x14ac:dyDescent="0.25">
      <c r="G84" s="5"/>
      <c r="H84" s="5" t="s">
        <v>44</v>
      </c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</row>
    <row r="85" spans="7:39" x14ac:dyDescent="0.25">
      <c r="G85" s="5" t="s">
        <v>45</v>
      </c>
      <c r="H85" s="5" t="s">
        <v>14</v>
      </c>
      <c r="I85" s="5" t="s">
        <v>15</v>
      </c>
      <c r="J85" s="5" t="s">
        <v>16</v>
      </c>
      <c r="K85" s="5" t="s">
        <v>17</v>
      </c>
      <c r="L85" s="5" t="s">
        <v>18</v>
      </c>
      <c r="M85" s="5" t="s">
        <v>19</v>
      </c>
      <c r="N85" s="5" t="s">
        <v>20</v>
      </c>
      <c r="O85" s="5" t="s">
        <v>21</v>
      </c>
      <c r="P85" s="5" t="s">
        <v>22</v>
      </c>
      <c r="Q85" s="5" t="s">
        <v>23</v>
      </c>
      <c r="R85" s="5" t="s">
        <v>24</v>
      </c>
      <c r="S85" s="5" t="s">
        <v>25</v>
      </c>
      <c r="T85" s="5" t="s">
        <v>26</v>
      </c>
      <c r="U85" s="5" t="s">
        <v>27</v>
      </c>
      <c r="V85" s="5" t="s">
        <v>28</v>
      </c>
      <c r="W85" s="5" t="s">
        <v>29</v>
      </c>
      <c r="X85" s="5" t="s">
        <v>46</v>
      </c>
      <c r="Y85" s="5" t="s">
        <v>47</v>
      </c>
      <c r="Z85" s="5" t="s">
        <v>48</v>
      </c>
      <c r="AA85" s="5" t="s">
        <v>49</v>
      </c>
      <c r="AB85" s="5" t="s">
        <v>50</v>
      </c>
      <c r="AC85" s="5" t="s">
        <v>51</v>
      </c>
      <c r="AD85" s="5" t="s">
        <v>52</v>
      </c>
      <c r="AE85" s="5" t="s">
        <v>53</v>
      </c>
      <c r="AF85" s="5" t="s">
        <v>54</v>
      </c>
      <c r="AG85" s="5" t="s">
        <v>55</v>
      </c>
      <c r="AH85" s="5" t="s">
        <v>56</v>
      </c>
      <c r="AI85" s="5" t="s">
        <v>57</v>
      </c>
      <c r="AJ85" s="5" t="s">
        <v>58</v>
      </c>
      <c r="AK85" s="5" t="s">
        <v>59</v>
      </c>
      <c r="AL85" s="5" t="s">
        <v>60</v>
      </c>
      <c r="AM85" s="5" t="s">
        <v>61</v>
      </c>
    </row>
    <row r="86" spans="7:39" x14ac:dyDescent="0.25">
      <c r="G86" s="5" t="s">
        <v>62</v>
      </c>
      <c r="H86" s="6">
        <f>G9</f>
        <v>-6.1464310000000004E-4</v>
      </c>
      <c r="I86" s="6">
        <f t="shared" ref="I86:W86" si="0">H9</f>
        <v>-6.4849850000000002E-4</v>
      </c>
      <c r="J86" s="6">
        <f t="shared" si="0"/>
        <v>-4.6157840000000001E-4</v>
      </c>
      <c r="K86" s="6">
        <f t="shared" si="0"/>
        <v>3.9632319999999999E-2</v>
      </c>
      <c r="L86" s="6">
        <f t="shared" si="0"/>
        <v>-2.5653839999999998E-4</v>
      </c>
      <c r="M86" s="6">
        <f t="shared" si="0"/>
        <v>-6.1178209999999998E-4</v>
      </c>
      <c r="N86" s="6">
        <f t="shared" si="0"/>
        <v>-1.2450219999999999E-3</v>
      </c>
      <c r="O86" s="6">
        <f t="shared" si="0"/>
        <v>-1.192093E-4</v>
      </c>
      <c r="P86" s="6">
        <f t="shared" si="0"/>
        <v>4.3630600000000002E-4</v>
      </c>
      <c r="Q86" s="6">
        <f t="shared" si="0"/>
        <v>4.3742179999999999E-2</v>
      </c>
      <c r="R86" s="6">
        <f t="shared" si="0"/>
        <v>7.2145460000000005E-4</v>
      </c>
      <c r="S86" s="6">
        <f t="shared" si="0"/>
        <v>9.8705290000000004E-5</v>
      </c>
      <c r="T86" s="6">
        <f t="shared" si="0"/>
        <v>1.8774030000000001E-2</v>
      </c>
      <c r="U86" s="6">
        <f t="shared" si="0"/>
        <v>-3.0565259999999999E-4</v>
      </c>
      <c r="V86" s="6">
        <f t="shared" si="0"/>
        <v>2.3031230000000001E-4</v>
      </c>
      <c r="W86" s="6">
        <f t="shared" si="0"/>
        <v>-1.416206E-4</v>
      </c>
      <c r="X86" s="6">
        <f>G10</f>
        <v>-6.5183639999999996E-4</v>
      </c>
      <c r="Y86" s="6">
        <f t="shared" ref="Y86:AM86" si="1">H10</f>
        <v>-1.280308E-3</v>
      </c>
      <c r="Z86" s="6">
        <f t="shared" si="1"/>
        <v>-8.8691710000000004E-5</v>
      </c>
      <c r="AA86" s="6">
        <f t="shared" si="1"/>
        <v>3.4039020000000003E-2</v>
      </c>
      <c r="AB86" s="6">
        <f t="shared" si="1"/>
        <v>-3.2901760000000001E-5</v>
      </c>
      <c r="AC86" s="6">
        <f t="shared" si="1"/>
        <v>-5.0067899999999997E-4</v>
      </c>
      <c r="AD86" s="6">
        <f t="shared" si="1"/>
        <v>-1.240253E-3</v>
      </c>
      <c r="AE86" s="6">
        <f t="shared" si="1"/>
        <v>9.9182129999999996E-5</v>
      </c>
      <c r="AF86" s="6">
        <f t="shared" si="1"/>
        <v>-9.5558169999999997E-4</v>
      </c>
      <c r="AG86" s="6">
        <f t="shared" si="1"/>
        <v>3.7574769999999997E-4</v>
      </c>
      <c r="AH86" s="6">
        <f t="shared" si="1"/>
        <v>2.7942659999999998E-4</v>
      </c>
      <c r="AI86" s="6">
        <f t="shared" si="1"/>
        <v>-3.8957599999999998E-4</v>
      </c>
      <c r="AJ86" s="6">
        <f t="shared" si="1"/>
        <v>-1.029968E-3</v>
      </c>
      <c r="AK86" s="6">
        <f t="shared" si="1"/>
        <v>3.9672850000000001E-4</v>
      </c>
      <c r="AL86" s="6">
        <f t="shared" si="1"/>
        <v>1.037121E-3</v>
      </c>
      <c r="AM86" s="6">
        <f t="shared" si="1"/>
        <v>2.0885470000000001E-4</v>
      </c>
    </row>
    <row r="87" spans="7:39" x14ac:dyDescent="0.25">
      <c r="G87" s="5">
        <v>-4</v>
      </c>
      <c r="H87" s="6">
        <f>G12</f>
        <v>-6.6375729999999995E-4</v>
      </c>
      <c r="I87" s="6">
        <f t="shared" ref="I87:W87" si="2">H12</f>
        <v>-1.6209129999999999E-2</v>
      </c>
      <c r="J87" s="6">
        <f t="shared" si="2"/>
        <v>-1.3940330000000001E-2</v>
      </c>
      <c r="K87" s="6">
        <f t="shared" si="2"/>
        <v>3.8978579999999999E-2</v>
      </c>
      <c r="L87" s="6">
        <f t="shared" si="2"/>
        <v>-9.5672610000000005E-3</v>
      </c>
      <c r="M87" s="6">
        <f t="shared" si="2"/>
        <v>-1.190186E-3</v>
      </c>
      <c r="N87" s="6">
        <f t="shared" si="2"/>
        <v>-8.0723759999999992E-3</v>
      </c>
      <c r="O87" s="6">
        <f t="shared" si="2"/>
        <v>-6.2789919999999997E-3</v>
      </c>
      <c r="P87" s="6">
        <f t="shared" si="2"/>
        <v>-5.1097870000000002E-3</v>
      </c>
      <c r="Q87" s="6">
        <f t="shared" si="2"/>
        <v>1.6289229999999998E-2</v>
      </c>
      <c r="R87" s="6">
        <f t="shared" si="2"/>
        <v>-3.3850669999999999E-3</v>
      </c>
      <c r="S87" s="6">
        <f t="shared" si="2"/>
        <v>-1.719475E-3</v>
      </c>
      <c r="T87" s="6">
        <f t="shared" si="2"/>
        <v>2.5854110000000001E-3</v>
      </c>
      <c r="U87" s="6">
        <f t="shared" si="2"/>
        <v>-2.3112300000000001E-3</v>
      </c>
      <c r="V87" s="6">
        <f t="shared" si="2"/>
        <v>-4.83036E-4</v>
      </c>
      <c r="W87" s="6">
        <f t="shared" si="2"/>
        <v>-2.8610230000000001E-5</v>
      </c>
      <c r="X87" s="6">
        <f>G13</f>
        <v>-5.1164630000000003E-4</v>
      </c>
      <c r="Y87" s="6">
        <f t="shared" ref="Y87:AM87" si="3">H13</f>
        <v>-1.1916159999999999E-3</v>
      </c>
      <c r="Z87" s="6">
        <f t="shared" si="3"/>
        <v>5.936623E-4</v>
      </c>
      <c r="AA87" s="6">
        <f t="shared" si="3"/>
        <v>3.9489749999999997E-2</v>
      </c>
      <c r="AB87" s="6">
        <f t="shared" si="3"/>
        <v>-2.3412699999999999E-4</v>
      </c>
      <c r="AC87" s="6">
        <f t="shared" si="3"/>
        <v>-7.1048740000000002E-4</v>
      </c>
      <c r="AD87" s="6">
        <f t="shared" si="3"/>
        <v>-1.493454E-3</v>
      </c>
      <c r="AE87" s="6">
        <f t="shared" si="3"/>
        <v>1.4400479999999999E-4</v>
      </c>
      <c r="AF87" s="6">
        <f t="shared" si="3"/>
        <v>-1.2660029999999999E-3</v>
      </c>
      <c r="AG87" s="6">
        <f t="shared" si="3"/>
        <v>1.9741060000000001E-4</v>
      </c>
      <c r="AH87" s="6">
        <f t="shared" si="3"/>
        <v>1.273155E-4</v>
      </c>
      <c r="AI87" s="6">
        <f t="shared" si="3"/>
        <v>9.6559520000000004E-4</v>
      </c>
      <c r="AJ87" s="6">
        <f t="shared" si="3"/>
        <v>9.1838840000000004E-4</v>
      </c>
      <c r="AK87" s="6">
        <f t="shared" si="3"/>
        <v>2.7160639999999998E-3</v>
      </c>
      <c r="AL87" s="6">
        <f t="shared" si="3"/>
        <v>4.6591760000000001E-3</v>
      </c>
      <c r="AM87" s="6">
        <f t="shared" si="3"/>
        <v>6.2999730000000004E-3</v>
      </c>
    </row>
    <row r="88" spans="7:39" x14ac:dyDescent="0.25">
      <c r="G88" s="5">
        <v>-3</v>
      </c>
      <c r="H88" s="6">
        <f>G15</f>
        <v>1.2798309999999999E-3</v>
      </c>
      <c r="I88" s="6">
        <f t="shared" ref="I88:W88" si="4">H15</f>
        <v>-1.323366E-2</v>
      </c>
      <c r="J88" s="6">
        <f t="shared" si="4"/>
        <v>-1.166677E-2</v>
      </c>
      <c r="K88" s="6">
        <f t="shared" si="4"/>
        <v>4.0704249999999997E-2</v>
      </c>
      <c r="L88" s="6">
        <f t="shared" si="4"/>
        <v>-8.8787080000000008E-3</v>
      </c>
      <c r="M88" s="6">
        <f t="shared" si="4"/>
        <v>-1.0323520000000001E-3</v>
      </c>
      <c r="N88" s="6">
        <f t="shared" si="4"/>
        <v>-7.5459480000000002E-3</v>
      </c>
      <c r="O88" s="6">
        <f t="shared" si="4"/>
        <v>-5.7616229999999996E-3</v>
      </c>
      <c r="P88" s="6">
        <f t="shared" si="4"/>
        <v>-4.5900339999999998E-3</v>
      </c>
      <c r="Q88" s="6">
        <f t="shared" si="4"/>
        <v>1.578951E-2</v>
      </c>
      <c r="R88" s="6">
        <f t="shared" si="4"/>
        <v>-3.558159E-3</v>
      </c>
      <c r="S88" s="6">
        <f t="shared" si="4"/>
        <v>-3.9606090000000004E-3</v>
      </c>
      <c r="T88" s="6">
        <f t="shared" si="4"/>
        <v>4.0001869999999997E-3</v>
      </c>
      <c r="U88" s="6">
        <f t="shared" si="4"/>
        <v>-1.966476E-3</v>
      </c>
      <c r="V88" s="6">
        <f t="shared" si="4"/>
        <v>-8.0537800000000004E-4</v>
      </c>
      <c r="W88" s="6">
        <f t="shared" si="4"/>
        <v>-2.770424E-4</v>
      </c>
      <c r="X88" s="6">
        <f>G16</f>
        <v>-5.1450729999999998E-4</v>
      </c>
      <c r="Y88" s="6">
        <f t="shared" ref="Y88:AM88" si="5">H16</f>
        <v>-7.8296660000000005E-4</v>
      </c>
      <c r="Z88" s="6">
        <f t="shared" si="5"/>
        <v>5.9127810000000002E-4</v>
      </c>
      <c r="AA88" s="6">
        <f t="shared" si="5"/>
        <v>4.242754E-2</v>
      </c>
      <c r="AB88" s="6">
        <f t="shared" si="5"/>
        <v>-2.355576E-4</v>
      </c>
      <c r="AC88" s="6">
        <f t="shared" si="5"/>
        <v>-8.9073180000000002E-4</v>
      </c>
      <c r="AD88" s="6">
        <f t="shared" si="5"/>
        <v>-1.8258090000000001E-3</v>
      </c>
      <c r="AE88" s="6">
        <f t="shared" si="5"/>
        <v>-5.893707E-4</v>
      </c>
      <c r="AF88" s="6">
        <f t="shared" si="5"/>
        <v>-1.5559199999999999E-3</v>
      </c>
      <c r="AG88" s="6">
        <f t="shared" si="5"/>
        <v>3.8146970000000002E-4</v>
      </c>
      <c r="AH88" s="6">
        <f t="shared" si="5"/>
        <v>1.2826919999999999E-4</v>
      </c>
      <c r="AI88" s="6">
        <f t="shared" si="5"/>
        <v>6.1511990000000003E-5</v>
      </c>
      <c r="AJ88" s="6">
        <f t="shared" si="5"/>
        <v>2.5558470000000002E-4</v>
      </c>
      <c r="AK88" s="6">
        <f t="shared" si="5"/>
        <v>2.7127269999999998E-3</v>
      </c>
      <c r="AL88" s="6">
        <f t="shared" si="5"/>
        <v>3.749371E-3</v>
      </c>
      <c r="AM88" s="6">
        <f t="shared" si="5"/>
        <v>5.5999760000000004E-3</v>
      </c>
    </row>
    <row r="89" spans="7:39" x14ac:dyDescent="0.25">
      <c r="G89" s="5">
        <v>-2</v>
      </c>
      <c r="H89" s="6">
        <f>G18</f>
        <v>3.5762789999999999E-3</v>
      </c>
      <c r="I89" s="6">
        <f t="shared" ref="I89:W89" si="6">H18</f>
        <v>-1.086521E-2</v>
      </c>
      <c r="J89" s="6">
        <f t="shared" si="6"/>
        <v>-9.8857879999999995E-3</v>
      </c>
      <c r="K89" s="6">
        <f t="shared" si="6"/>
        <v>4.2750360000000001E-2</v>
      </c>
      <c r="L89" s="6">
        <f t="shared" si="6"/>
        <v>-7.3370930000000003E-3</v>
      </c>
      <c r="M89" s="6">
        <f t="shared" si="6"/>
        <v>-8.4543230000000001E-4</v>
      </c>
      <c r="N89" s="6">
        <f t="shared" si="6"/>
        <v>-6.9704060000000002E-3</v>
      </c>
      <c r="O89" s="6">
        <f t="shared" si="6"/>
        <v>-5.2394870000000001E-3</v>
      </c>
      <c r="P89" s="6">
        <f t="shared" si="6"/>
        <v>-4.4097900000000002E-3</v>
      </c>
      <c r="Q89" s="6">
        <f t="shared" si="6"/>
        <v>1.5099049999999999E-2</v>
      </c>
      <c r="R89" s="6">
        <f t="shared" si="6"/>
        <v>-3.325939E-3</v>
      </c>
      <c r="S89" s="6">
        <f t="shared" si="6"/>
        <v>-3.3841129999999998E-3</v>
      </c>
      <c r="T89" s="6">
        <f t="shared" si="6"/>
        <v>5.0616259999999996E-3</v>
      </c>
      <c r="U89" s="6">
        <f t="shared" si="6"/>
        <v>-2.1357540000000001E-3</v>
      </c>
      <c r="V89" s="6">
        <f t="shared" si="6"/>
        <v>-6.2370299999999997E-4</v>
      </c>
      <c r="W89" s="6">
        <f t="shared" si="6"/>
        <v>1.6212460000000002E-5</v>
      </c>
      <c r="X89" s="6">
        <f>G19</f>
        <v>-5.1593780000000001E-4</v>
      </c>
      <c r="Y89" s="6">
        <f t="shared" ref="Y89:AM89" si="7">H19</f>
        <v>-9.1171259999999995E-4</v>
      </c>
      <c r="Z89" s="6">
        <f t="shared" si="7"/>
        <v>4.0817259999999998E-4</v>
      </c>
      <c r="AA89" s="6">
        <f t="shared" si="7"/>
        <v>4.5362E-2</v>
      </c>
      <c r="AB89" s="6">
        <f t="shared" si="7"/>
        <v>-4.1675570000000001E-4</v>
      </c>
      <c r="AC89" s="6">
        <f t="shared" si="7"/>
        <v>-8.9263920000000004E-4</v>
      </c>
      <c r="AD89" s="6">
        <f t="shared" si="7"/>
        <v>-2.1595949999999998E-3</v>
      </c>
      <c r="AE89" s="6">
        <f t="shared" si="7"/>
        <v>-7.70092E-4</v>
      </c>
      <c r="AF89" s="6">
        <f t="shared" si="7"/>
        <v>-1.665592E-3</v>
      </c>
      <c r="AG89" s="6">
        <f t="shared" si="7"/>
        <v>-5.3453449999999998E-4</v>
      </c>
      <c r="AH89" s="6">
        <f t="shared" si="7"/>
        <v>-4.1961670000000001E-4</v>
      </c>
      <c r="AI89" s="6">
        <f t="shared" si="7"/>
        <v>-3.0231479999999998E-4</v>
      </c>
      <c r="AJ89" s="6">
        <f t="shared" si="7"/>
        <v>-2.6845930000000002E-4</v>
      </c>
      <c r="AK89" s="6">
        <f t="shared" si="7"/>
        <v>1.6269679999999999E-3</v>
      </c>
      <c r="AL89" s="6">
        <f t="shared" si="7"/>
        <v>3.201962E-3</v>
      </c>
      <c r="AM89" s="6">
        <f t="shared" si="7"/>
        <v>4.8999789999999996E-3</v>
      </c>
    </row>
    <row r="90" spans="7:39" x14ac:dyDescent="0.25">
      <c r="G90" s="5">
        <v>-1</v>
      </c>
      <c r="H90" s="6">
        <f>G21</f>
        <v>4.8089029999999998E-3</v>
      </c>
      <c r="I90" s="6">
        <f t="shared" ref="I90:W90" si="8">H21</f>
        <v>-8.5940359999999993E-3</v>
      </c>
      <c r="J90" s="6">
        <f t="shared" si="8"/>
        <v>-8.8377000000000004E-3</v>
      </c>
      <c r="K90" s="6">
        <f t="shared" si="8"/>
        <v>4.445648E-2</v>
      </c>
      <c r="L90" s="6">
        <f t="shared" si="8"/>
        <v>-6.9952010000000004E-3</v>
      </c>
      <c r="M90" s="6">
        <f t="shared" si="8"/>
        <v>-1.018047E-3</v>
      </c>
      <c r="N90" s="6">
        <f t="shared" si="8"/>
        <v>-6.7949300000000002E-3</v>
      </c>
      <c r="O90" s="6">
        <f t="shared" si="8"/>
        <v>-5.5875780000000002E-3</v>
      </c>
      <c r="P90" s="6">
        <f t="shared" si="8"/>
        <v>-3.5452840000000001E-3</v>
      </c>
      <c r="Q90" s="6">
        <f t="shared" si="8"/>
        <v>1.3889790000000001E-2</v>
      </c>
      <c r="R90" s="6">
        <f t="shared" si="8"/>
        <v>-2.6335719999999998E-3</v>
      </c>
      <c r="S90" s="6">
        <f t="shared" si="8"/>
        <v>-3.0393600000000001E-3</v>
      </c>
      <c r="T90" s="6">
        <f t="shared" si="8"/>
        <v>6.8302149999999997E-3</v>
      </c>
      <c r="U90" s="6">
        <f t="shared" si="8"/>
        <v>-2.825737E-3</v>
      </c>
      <c r="V90" s="6">
        <f t="shared" si="8"/>
        <v>-6.2370299999999997E-4</v>
      </c>
      <c r="W90" s="6">
        <f t="shared" si="8"/>
        <v>-1.0666849999999999E-3</v>
      </c>
      <c r="X90" s="6">
        <f>G22</f>
        <v>-8.7785719999999997E-4</v>
      </c>
      <c r="Y90" s="6">
        <f t="shared" ref="Y90:AM90" si="9">H22</f>
        <v>-1.447678E-3</v>
      </c>
      <c r="Z90" s="6">
        <f t="shared" si="9"/>
        <v>4.6730039999999998E-5</v>
      </c>
      <c r="AA90" s="6">
        <f t="shared" si="9"/>
        <v>4.7259809999999999E-2</v>
      </c>
      <c r="AB90" s="6">
        <f t="shared" si="9"/>
        <v>-5.9700010000000002E-4</v>
      </c>
      <c r="AC90" s="6">
        <f t="shared" si="9"/>
        <v>-1.4276499999999999E-3</v>
      </c>
      <c r="AD90" s="6">
        <f t="shared" si="9"/>
        <v>-2.8514859999999999E-3</v>
      </c>
      <c r="AE90" s="6">
        <f t="shared" si="9"/>
        <v>-1.4948839999999999E-3</v>
      </c>
      <c r="AF90" s="6">
        <f t="shared" si="9"/>
        <v>-2.022743E-3</v>
      </c>
      <c r="AG90" s="6">
        <f t="shared" si="9"/>
        <v>-7.1763990000000004E-4</v>
      </c>
      <c r="AH90" s="6">
        <f t="shared" si="9"/>
        <v>-7.7962880000000004E-4</v>
      </c>
      <c r="AI90" s="6">
        <f t="shared" si="9"/>
        <v>-6.6232680000000003E-4</v>
      </c>
      <c r="AJ90" s="6">
        <f t="shared" si="9"/>
        <v>-1.140594E-3</v>
      </c>
      <c r="AK90" s="6">
        <f t="shared" si="9"/>
        <v>5.4121020000000004E-4</v>
      </c>
      <c r="AL90" s="6">
        <f t="shared" si="9"/>
        <v>2.110481E-3</v>
      </c>
      <c r="AM90" s="6">
        <f t="shared" si="9"/>
        <v>3.8323400000000001E-3</v>
      </c>
    </row>
    <row r="91" spans="7:39" x14ac:dyDescent="0.25">
      <c r="G91" s="5">
        <v>0</v>
      </c>
      <c r="H91" s="6">
        <f>G24</f>
        <v>6.207466E-3</v>
      </c>
      <c r="I91" s="6">
        <f t="shared" ref="I91:W91" si="10">H24</f>
        <v>-6.2260630000000004E-3</v>
      </c>
      <c r="J91" s="6">
        <f t="shared" si="10"/>
        <v>-6.5317149999999996E-3</v>
      </c>
      <c r="K91" s="6">
        <f t="shared" si="10"/>
        <v>4.737616E-2</v>
      </c>
      <c r="L91" s="6">
        <f t="shared" si="10"/>
        <v>-5.6242940000000002E-3</v>
      </c>
      <c r="M91" s="6">
        <f t="shared" si="10"/>
        <v>-4.8589709999999998E-4</v>
      </c>
      <c r="N91" s="6">
        <f t="shared" si="10"/>
        <v>-5.868435E-3</v>
      </c>
      <c r="O91" s="6">
        <f t="shared" si="10"/>
        <v>-4.722118E-3</v>
      </c>
      <c r="P91" s="6">
        <f t="shared" si="10"/>
        <v>-2.7627939999999998E-3</v>
      </c>
      <c r="Q91" s="6">
        <f t="shared" si="10"/>
        <v>1.390839E-2</v>
      </c>
      <c r="R91" s="6">
        <f t="shared" si="10"/>
        <v>-2.287388E-3</v>
      </c>
      <c r="S91" s="6">
        <f t="shared" si="10"/>
        <v>-1.774788E-3</v>
      </c>
      <c r="T91" s="6">
        <f t="shared" si="10"/>
        <v>8.6002349999999995E-3</v>
      </c>
      <c r="U91" s="6">
        <f t="shared" si="10"/>
        <v>-1.9636150000000002E-3</v>
      </c>
      <c r="V91" s="6">
        <f t="shared" si="10"/>
        <v>-1.533031E-3</v>
      </c>
      <c r="W91" s="6">
        <f t="shared" si="10"/>
        <v>-5.6934360000000003E-4</v>
      </c>
      <c r="X91" s="6">
        <f>G25</f>
        <v>-6.9713589999999997E-4</v>
      </c>
      <c r="Y91" s="6">
        <f t="shared" ref="Y91:AM91" si="11">H25</f>
        <v>-1.4486309999999999E-3</v>
      </c>
      <c r="Z91" s="6">
        <f t="shared" si="11"/>
        <v>-1.3446810000000001E-4</v>
      </c>
      <c r="AA91" s="6">
        <f t="shared" si="11"/>
        <v>4.968119E-2</v>
      </c>
      <c r="AB91" s="6">
        <f t="shared" si="11"/>
        <v>-4.1770940000000002E-4</v>
      </c>
      <c r="AC91" s="6">
        <f t="shared" si="11"/>
        <v>-1.070976E-3</v>
      </c>
      <c r="AD91" s="6">
        <f t="shared" si="11"/>
        <v>-2.5048259999999999E-3</v>
      </c>
      <c r="AE91" s="6">
        <f t="shared" si="11"/>
        <v>-1.3213159999999999E-3</v>
      </c>
      <c r="AF91" s="6">
        <f t="shared" si="11"/>
        <v>-2.737045E-3</v>
      </c>
      <c r="AG91" s="6">
        <f t="shared" si="11"/>
        <v>-1.81675E-3</v>
      </c>
      <c r="AH91" s="6">
        <f t="shared" si="11"/>
        <v>-2.217293E-3</v>
      </c>
      <c r="AI91" s="6">
        <f t="shared" si="11"/>
        <v>-1.561642E-3</v>
      </c>
      <c r="AJ91" s="6">
        <f t="shared" si="11"/>
        <v>-2.1171570000000002E-3</v>
      </c>
      <c r="AK91" s="6">
        <f t="shared" si="11"/>
        <v>-5.4550170000000002E-4</v>
      </c>
      <c r="AL91" s="6">
        <f t="shared" si="11"/>
        <v>1.018524E-3</v>
      </c>
      <c r="AM91" s="6">
        <f t="shared" si="11"/>
        <v>2.421379E-3</v>
      </c>
    </row>
    <row r="92" spans="7:39" x14ac:dyDescent="0.25">
      <c r="G92" s="5">
        <v>1</v>
      </c>
      <c r="H92" s="6">
        <f>G27</f>
        <v>6.7448619999999999E-3</v>
      </c>
      <c r="I92" s="6">
        <f t="shared" ref="I92:W92" si="12">H27</f>
        <v>-3.7837029999999998E-3</v>
      </c>
      <c r="J92" s="6">
        <f t="shared" si="12"/>
        <v>-5.3110120000000004E-3</v>
      </c>
      <c r="K92" s="6">
        <f t="shared" si="12"/>
        <v>4.8931599999999999E-2</v>
      </c>
      <c r="L92" s="6">
        <f t="shared" si="12"/>
        <v>-4.7702789999999997E-3</v>
      </c>
      <c r="M92" s="6">
        <f t="shared" si="12"/>
        <v>-1.0032649999999999E-3</v>
      </c>
      <c r="N92" s="6">
        <f t="shared" si="12"/>
        <v>-5.1183699999999997E-3</v>
      </c>
      <c r="O92" s="6">
        <f t="shared" si="12"/>
        <v>-4.2004590000000001E-3</v>
      </c>
      <c r="P92" s="6">
        <f t="shared" si="12"/>
        <v>-2.4189950000000002E-3</v>
      </c>
      <c r="Q92" s="6">
        <f t="shared" si="12"/>
        <v>1.3390060000000001E-2</v>
      </c>
      <c r="R92" s="6">
        <f t="shared" si="12"/>
        <v>-2.055168E-3</v>
      </c>
      <c r="S92" s="6">
        <f t="shared" si="12"/>
        <v>-1.9474029999999999E-3</v>
      </c>
      <c r="T92" s="6">
        <f t="shared" si="12"/>
        <v>1.037455E-2</v>
      </c>
      <c r="U92" s="6">
        <f t="shared" si="12"/>
        <v>-1.7876630000000001E-3</v>
      </c>
      <c r="V92" s="6">
        <f t="shared" si="12"/>
        <v>-7.6341630000000005E-4</v>
      </c>
      <c r="W92" s="6">
        <f t="shared" si="12"/>
        <v>-7.0428850000000002E-4</v>
      </c>
      <c r="X92" s="6">
        <f>G28</f>
        <v>-3.3473969999999999E-4</v>
      </c>
      <c r="Y92" s="6">
        <f t="shared" ref="Y92:AM92" si="13">H28</f>
        <v>-1.574039E-3</v>
      </c>
      <c r="Z92" s="6">
        <f t="shared" si="13"/>
        <v>-1.3780589999999999E-4</v>
      </c>
      <c r="AA92" s="6">
        <f t="shared" si="13"/>
        <v>5.1245690000000003E-2</v>
      </c>
      <c r="AB92" s="6">
        <f t="shared" si="13"/>
        <v>-5.9795379999999997E-4</v>
      </c>
      <c r="AC92" s="6">
        <f t="shared" si="13"/>
        <v>-1.250744E-3</v>
      </c>
      <c r="AD92" s="6">
        <f t="shared" si="13"/>
        <v>-3.0097959999999999E-3</v>
      </c>
      <c r="AE92" s="6">
        <f t="shared" si="13"/>
        <v>-2.4094580000000002E-3</v>
      </c>
      <c r="AF92" s="6">
        <f t="shared" si="13"/>
        <v>-3.136158E-3</v>
      </c>
      <c r="AG92" s="6">
        <f t="shared" si="13"/>
        <v>-2.1834369999999999E-3</v>
      </c>
      <c r="AH92" s="6">
        <f t="shared" si="13"/>
        <v>-2.7642249999999999E-3</v>
      </c>
      <c r="AI92" s="6">
        <f t="shared" si="13"/>
        <v>-2.2807119999999998E-3</v>
      </c>
      <c r="AJ92" s="6">
        <f t="shared" si="13"/>
        <v>-2.6388169999999999E-3</v>
      </c>
      <c r="AK92" s="6">
        <f t="shared" si="13"/>
        <v>-1.633167E-3</v>
      </c>
      <c r="AL92" s="6">
        <f t="shared" si="13"/>
        <v>-2.5463100000000001E-4</v>
      </c>
      <c r="AM92" s="6">
        <f t="shared" si="13"/>
        <v>2.865791E-4</v>
      </c>
    </row>
    <row r="93" spans="7:39" x14ac:dyDescent="0.25">
      <c r="G93" s="5">
        <v>2</v>
      </c>
      <c r="H93" s="6">
        <f>G30</f>
        <v>7.0967670000000004E-3</v>
      </c>
      <c r="I93" s="6">
        <f t="shared" ref="I93:W93" si="14">H30</f>
        <v>-1.3375279999999999E-3</v>
      </c>
      <c r="J93" s="6">
        <f t="shared" si="14"/>
        <v>-2.689838E-3</v>
      </c>
      <c r="K93" s="6">
        <f t="shared" si="14"/>
        <v>5.0637719999999997E-2</v>
      </c>
      <c r="L93" s="6">
        <f t="shared" si="14"/>
        <v>-3.2329559999999999E-3</v>
      </c>
      <c r="M93" s="6">
        <f t="shared" si="14"/>
        <v>-4.8685070000000001E-4</v>
      </c>
      <c r="N93" s="6">
        <f t="shared" si="14"/>
        <v>-4.5919419999999999E-3</v>
      </c>
      <c r="O93" s="6">
        <f t="shared" si="14"/>
        <v>-3.1561850000000002E-3</v>
      </c>
      <c r="P93" s="6">
        <f t="shared" si="14"/>
        <v>-2.245903E-3</v>
      </c>
      <c r="Q93" s="6">
        <f t="shared" si="14"/>
        <v>1.252604E-2</v>
      </c>
      <c r="R93" s="6">
        <f t="shared" si="14"/>
        <v>-2.055168E-3</v>
      </c>
      <c r="S93" s="6">
        <f t="shared" si="14"/>
        <v>-2.120018E-3</v>
      </c>
      <c r="T93" s="6">
        <f t="shared" si="14"/>
        <v>1.1789320000000001E-2</v>
      </c>
      <c r="U93" s="6">
        <f t="shared" si="14"/>
        <v>-1.442432E-3</v>
      </c>
      <c r="V93" s="6">
        <f t="shared" si="14"/>
        <v>-2.1743770000000001E-4</v>
      </c>
      <c r="W93" s="6">
        <f t="shared" si="14"/>
        <v>-7.0428850000000002E-4</v>
      </c>
      <c r="X93" s="6">
        <f>G31</f>
        <v>5.7077409999999995E-4</v>
      </c>
      <c r="Y93" s="6">
        <f t="shared" ref="Y93:AM93" si="15">H31</f>
        <v>-1.216888E-3</v>
      </c>
      <c r="Z93" s="6">
        <f t="shared" si="15"/>
        <v>-1.3780589999999999E-4</v>
      </c>
      <c r="AA93" s="6">
        <f t="shared" si="15"/>
        <v>5.314398E-2</v>
      </c>
      <c r="AB93" s="6">
        <f t="shared" si="15"/>
        <v>-1.138687E-3</v>
      </c>
      <c r="AC93" s="6">
        <f t="shared" si="15"/>
        <v>-1.785278E-3</v>
      </c>
      <c r="AD93" s="6">
        <f t="shared" si="15"/>
        <v>-3.182411E-3</v>
      </c>
      <c r="AE93" s="6">
        <f t="shared" si="15"/>
        <v>-2.9535289999999999E-3</v>
      </c>
      <c r="AF93" s="6">
        <f t="shared" si="15"/>
        <v>-4.208565E-3</v>
      </c>
      <c r="AG93" s="6">
        <f t="shared" si="15"/>
        <v>-3.099442E-3</v>
      </c>
      <c r="AH93" s="6">
        <f t="shared" si="15"/>
        <v>-3.6640169999999999E-3</v>
      </c>
      <c r="AI93" s="6">
        <f t="shared" si="15"/>
        <v>-4.0788650000000001E-3</v>
      </c>
      <c r="AJ93" s="6">
        <f t="shared" si="15"/>
        <v>-4.208565E-3</v>
      </c>
      <c r="AK93" s="6">
        <f t="shared" si="15"/>
        <v>-3.261566E-3</v>
      </c>
      <c r="AL93" s="6">
        <f t="shared" si="15"/>
        <v>-2.4380679999999998E-3</v>
      </c>
      <c r="AM93" s="6">
        <f t="shared" si="15"/>
        <v>-2.2039410000000001E-3</v>
      </c>
    </row>
    <row r="94" spans="7:39" x14ac:dyDescent="0.25">
      <c r="G94" s="5">
        <v>3</v>
      </c>
      <c r="H94" s="6">
        <f>G33</f>
        <v>6.7567829999999997E-3</v>
      </c>
      <c r="I94" s="6">
        <f t="shared" ref="I94:W94" si="16">H33</f>
        <v>1.0323520000000001E-3</v>
      </c>
      <c r="J94" s="6">
        <f t="shared" si="16"/>
        <v>-1.081944E-3</v>
      </c>
      <c r="K94" s="6">
        <f t="shared" si="16"/>
        <v>5.2874570000000003E-2</v>
      </c>
      <c r="L94" s="6">
        <f t="shared" si="16"/>
        <v>-2.03228E-3</v>
      </c>
      <c r="M94" s="6">
        <f t="shared" si="16"/>
        <v>-8.3065030000000005E-4</v>
      </c>
      <c r="N94" s="6">
        <f t="shared" si="16"/>
        <v>-3.3645630000000001E-3</v>
      </c>
      <c r="O94" s="6">
        <f t="shared" si="16"/>
        <v>-2.6388169999999999E-3</v>
      </c>
      <c r="P94" s="6">
        <f t="shared" si="16"/>
        <v>-1.6355510000000001E-3</v>
      </c>
      <c r="Q94" s="6">
        <f t="shared" si="16"/>
        <v>1.2026790000000001E-2</v>
      </c>
      <c r="R94" s="6">
        <f t="shared" si="16"/>
        <v>-1.3027189999999999E-3</v>
      </c>
      <c r="S94" s="6">
        <f t="shared" si="16"/>
        <v>-1.430511E-3</v>
      </c>
      <c r="T94" s="6">
        <f t="shared" si="16"/>
        <v>1.3734339999999999E-2</v>
      </c>
      <c r="U94" s="6">
        <f t="shared" si="16"/>
        <v>-1.266479E-3</v>
      </c>
      <c r="V94" s="6">
        <f t="shared" si="16"/>
        <v>-1.9693369999999999E-4</v>
      </c>
      <c r="W94" s="6">
        <f t="shared" si="16"/>
        <v>-7.0428850000000002E-4</v>
      </c>
      <c r="X94" s="6">
        <f>G34</f>
        <v>-5.1832199999999999E-4</v>
      </c>
      <c r="Y94" s="6">
        <f t="shared" ref="Y94:AM94" si="17">H34</f>
        <v>-6.2942499999999997E-4</v>
      </c>
      <c r="Z94" s="6">
        <f t="shared" si="17"/>
        <v>-4.9686429999999996E-4</v>
      </c>
      <c r="AA94" s="6">
        <f t="shared" si="17"/>
        <v>5.5040840000000001E-2</v>
      </c>
      <c r="AB94" s="6">
        <f t="shared" si="17"/>
        <v>-1.3203620000000001E-3</v>
      </c>
      <c r="AC94" s="6">
        <f t="shared" si="17"/>
        <v>-2.3217200000000002E-3</v>
      </c>
      <c r="AD94" s="6">
        <f t="shared" si="17"/>
        <v>-3.516197E-3</v>
      </c>
      <c r="AE94" s="6">
        <f t="shared" si="17"/>
        <v>-3.1423570000000001E-3</v>
      </c>
      <c r="AF94" s="6">
        <f t="shared" si="17"/>
        <v>-4.9943920000000003E-3</v>
      </c>
      <c r="AG94" s="6">
        <f t="shared" si="17"/>
        <v>-3.4656520000000001E-3</v>
      </c>
      <c r="AH94" s="6">
        <f t="shared" si="17"/>
        <v>-4.5719150000000002E-3</v>
      </c>
      <c r="AI94" s="6">
        <f t="shared" si="17"/>
        <v>-4.6277050000000002E-3</v>
      </c>
      <c r="AJ94" s="6">
        <f t="shared" si="17"/>
        <v>-4.9066539999999999E-3</v>
      </c>
      <c r="AK94" s="6">
        <f t="shared" si="17"/>
        <v>-4.7111510000000002E-3</v>
      </c>
      <c r="AL94" s="6">
        <f t="shared" si="17"/>
        <v>-4.4417379999999998E-3</v>
      </c>
      <c r="AM94" s="6">
        <f t="shared" si="17"/>
        <v>-4.5161250000000002E-3</v>
      </c>
    </row>
    <row r="95" spans="7:39" x14ac:dyDescent="0.25">
      <c r="G95" s="5">
        <v>4</v>
      </c>
      <c r="H95" s="6">
        <f>G36</f>
        <v>6.2284469999999998E-3</v>
      </c>
      <c r="I95" s="6">
        <f t="shared" ref="I95:W95" si="18">H36</f>
        <v>2.9544829999999999E-3</v>
      </c>
      <c r="J95" s="6">
        <f t="shared" si="18"/>
        <v>6.6471100000000001E-4</v>
      </c>
      <c r="K95" s="6">
        <f t="shared" si="18"/>
        <v>5.4751399999999999E-2</v>
      </c>
      <c r="L95" s="6">
        <f t="shared" si="18"/>
        <v>-1.178265E-3</v>
      </c>
      <c r="M95" s="6">
        <f t="shared" si="18"/>
        <v>-1.347542E-3</v>
      </c>
      <c r="N95" s="6">
        <f t="shared" si="18"/>
        <v>-2.8376579999999998E-3</v>
      </c>
      <c r="O95" s="6">
        <f t="shared" si="18"/>
        <v>-2.1166800000000001E-3</v>
      </c>
      <c r="P95" s="6">
        <f t="shared" si="18"/>
        <v>-1.117229E-3</v>
      </c>
      <c r="Q95" s="6">
        <f t="shared" si="18"/>
        <v>1.1681560000000001E-2</v>
      </c>
      <c r="R95" s="6">
        <f t="shared" si="18"/>
        <v>-9.565353E-4</v>
      </c>
      <c r="S95" s="6">
        <f t="shared" si="18"/>
        <v>-1.085758E-3</v>
      </c>
      <c r="T95" s="6">
        <f t="shared" si="18"/>
        <v>1.53265E-2</v>
      </c>
      <c r="U95" s="6">
        <f t="shared" si="18"/>
        <v>-5.7649610000000005E-4</v>
      </c>
      <c r="V95" s="6">
        <f t="shared" si="18"/>
        <v>1.6689299999999999E-4</v>
      </c>
      <c r="W95" s="6">
        <f t="shared" si="18"/>
        <v>-8.8453290000000003E-4</v>
      </c>
      <c r="X95" s="6">
        <f>G37</f>
        <v>2.0599370000000001E-4</v>
      </c>
      <c r="Y95" s="6">
        <f t="shared" ref="Y95:AM95" si="19">H37</f>
        <v>-8.0823899999999998E-4</v>
      </c>
      <c r="Z95" s="6">
        <f t="shared" si="19"/>
        <v>-3.1614300000000001E-4</v>
      </c>
      <c r="AA95" s="6">
        <f t="shared" si="19"/>
        <v>5.6421279999999997E-2</v>
      </c>
      <c r="AB95" s="6">
        <f t="shared" si="19"/>
        <v>-1.860619E-3</v>
      </c>
      <c r="AC95" s="6">
        <f t="shared" si="19"/>
        <v>-2.500057E-3</v>
      </c>
      <c r="AD95" s="6">
        <f t="shared" si="19"/>
        <v>-3.8619040000000002E-3</v>
      </c>
      <c r="AE95" s="6">
        <f t="shared" si="19"/>
        <v>-3.5047530000000002E-3</v>
      </c>
      <c r="AF95" s="6">
        <f t="shared" si="19"/>
        <v>-5.5308340000000001E-3</v>
      </c>
      <c r="AG95" s="6">
        <f t="shared" si="19"/>
        <v>-4.3821329999999999E-3</v>
      </c>
      <c r="AH95" s="6">
        <f t="shared" si="19"/>
        <v>-5.4707530000000001E-3</v>
      </c>
      <c r="AI95" s="6">
        <f t="shared" si="19"/>
        <v>-5.8865549999999999E-3</v>
      </c>
      <c r="AJ95" s="6">
        <f t="shared" si="19"/>
        <v>-6.6509250000000002E-3</v>
      </c>
      <c r="AK95" s="6">
        <f t="shared" si="19"/>
        <v>-6.5217019999999999E-3</v>
      </c>
      <c r="AL95" s="6">
        <f t="shared" si="19"/>
        <v>-6.9894789999999998E-3</v>
      </c>
      <c r="AM95" s="6">
        <f t="shared" si="19"/>
        <v>-7.362843E-3</v>
      </c>
    </row>
    <row r="96" spans="7:39" x14ac:dyDescent="0.25">
      <c r="G96" s="5">
        <v>5</v>
      </c>
      <c r="H96" s="6">
        <f>G39</f>
        <v>4.2886729999999998E-3</v>
      </c>
      <c r="I96" s="6">
        <f t="shared" ref="I96:W96" si="20">H39</f>
        <v>3.8232800000000001E-3</v>
      </c>
      <c r="J96" s="6">
        <f t="shared" si="20"/>
        <v>1.885891E-3</v>
      </c>
      <c r="K96" s="6">
        <f t="shared" si="20"/>
        <v>5.6457519999999997E-2</v>
      </c>
      <c r="L96" s="6">
        <f t="shared" si="20"/>
        <v>2.2888180000000001E-5</v>
      </c>
      <c r="M96" s="6">
        <f t="shared" si="20"/>
        <v>-1.273155E-4</v>
      </c>
      <c r="N96" s="6">
        <f t="shared" si="20"/>
        <v>-1.9612309999999999E-3</v>
      </c>
      <c r="O96" s="6">
        <f t="shared" si="20"/>
        <v>-1.2512210000000001E-3</v>
      </c>
      <c r="P96" s="6">
        <f t="shared" si="20"/>
        <v>-8.6307530000000003E-4</v>
      </c>
      <c r="Q96" s="6">
        <f t="shared" si="20"/>
        <v>1.118183E-2</v>
      </c>
      <c r="R96" s="6">
        <f t="shared" si="20"/>
        <v>-2.6512150000000001E-4</v>
      </c>
      <c r="S96" s="6">
        <f t="shared" si="20"/>
        <v>-5.1021580000000001E-4</v>
      </c>
      <c r="T96" s="6">
        <f t="shared" si="20"/>
        <v>1.7097950000000001E-2</v>
      </c>
      <c r="U96" s="6">
        <f t="shared" si="20"/>
        <v>-4.0340420000000002E-4</v>
      </c>
      <c r="V96" s="6">
        <f t="shared" si="20"/>
        <v>1.6689299999999999E-4</v>
      </c>
      <c r="W96" s="6">
        <f t="shared" si="20"/>
        <v>-5.9223179999999998E-4</v>
      </c>
      <c r="X96" s="6">
        <f>G40</f>
        <v>2.3365019999999999E-5</v>
      </c>
      <c r="Y96" s="6">
        <f t="shared" ref="Y96:AM96" si="21">H40</f>
        <v>-6.2942499999999997E-4</v>
      </c>
      <c r="Z96" s="6">
        <f t="shared" si="21"/>
        <v>-1.3828279999999999E-4</v>
      </c>
      <c r="AA96" s="6">
        <f t="shared" si="21"/>
        <v>5.7456489999999999E-2</v>
      </c>
      <c r="AB96" s="6">
        <f t="shared" si="21"/>
        <v>-1.141071E-3</v>
      </c>
      <c r="AC96" s="6">
        <f t="shared" si="21"/>
        <v>-3.0369759999999998E-3</v>
      </c>
      <c r="AD96" s="6">
        <f t="shared" si="21"/>
        <v>-4.7273640000000004E-3</v>
      </c>
      <c r="AE96" s="6">
        <f t="shared" si="21"/>
        <v>-4.0555000000000001E-3</v>
      </c>
      <c r="AF96" s="6">
        <f t="shared" si="21"/>
        <v>-5.9304240000000001E-3</v>
      </c>
      <c r="AG96" s="6">
        <f t="shared" si="21"/>
        <v>-4.7483439999999998E-3</v>
      </c>
      <c r="AH96" s="6">
        <f t="shared" si="21"/>
        <v>-5.6500430000000004E-3</v>
      </c>
      <c r="AI96" s="6">
        <f t="shared" si="21"/>
        <v>-6.6008569999999999E-3</v>
      </c>
      <c r="AJ96" s="6">
        <f t="shared" si="21"/>
        <v>-7.8372960000000005E-3</v>
      </c>
      <c r="AK96" s="6">
        <f t="shared" si="21"/>
        <v>-7.4257849999999999E-3</v>
      </c>
      <c r="AL96" s="6">
        <f t="shared" si="21"/>
        <v>-8.8090900000000003E-3</v>
      </c>
      <c r="AM96" s="6">
        <f t="shared" si="21"/>
        <v>-9.4852449999999998E-3</v>
      </c>
    </row>
    <row r="97" spans="7:39" x14ac:dyDescent="0.25">
      <c r="G97" s="5">
        <v>6</v>
      </c>
      <c r="H97" s="6">
        <f>G42</f>
        <v>2.5401120000000002E-3</v>
      </c>
      <c r="I97" s="6">
        <f t="shared" ref="I97:W97" si="22">H42</f>
        <v>4.7965050000000004E-3</v>
      </c>
      <c r="J97" s="6">
        <f t="shared" si="22"/>
        <v>2.9349329999999998E-3</v>
      </c>
      <c r="K97" s="6">
        <f t="shared" si="22"/>
        <v>5.8332439999999999E-2</v>
      </c>
      <c r="L97" s="6">
        <f t="shared" si="22"/>
        <v>7.0142749999999997E-4</v>
      </c>
      <c r="M97" s="6">
        <f t="shared" si="22"/>
        <v>-4.6014789999999998E-4</v>
      </c>
      <c r="N97" s="6">
        <f t="shared" si="22"/>
        <v>-1.6875270000000001E-3</v>
      </c>
      <c r="O97" s="6">
        <f t="shared" si="22"/>
        <v>-5.5551530000000002E-4</v>
      </c>
      <c r="P97" s="6">
        <f t="shared" si="22"/>
        <v>9.0599059999999992E-6</v>
      </c>
      <c r="Q97" s="6">
        <f t="shared" si="22"/>
        <v>1.0144709999999999E-2</v>
      </c>
      <c r="R97" s="6">
        <f t="shared" si="22"/>
        <v>-5.5122380000000005E-4</v>
      </c>
      <c r="S97" s="6">
        <f t="shared" si="22"/>
        <v>-9.7036360000000001E-4</v>
      </c>
      <c r="T97" s="6">
        <f t="shared" si="22"/>
        <v>1.9225119999999998E-2</v>
      </c>
      <c r="U97" s="6">
        <f t="shared" si="22"/>
        <v>-9.1791150000000005E-4</v>
      </c>
      <c r="V97" s="6">
        <f t="shared" si="22"/>
        <v>-1.764297E-4</v>
      </c>
      <c r="W97" s="6">
        <f t="shared" si="22"/>
        <v>-2.3174289999999999E-4</v>
      </c>
      <c r="X97" s="6">
        <f>G43</f>
        <v>-3.4093859999999998E-4</v>
      </c>
      <c r="Y97" s="6">
        <f t="shared" ref="Y97:AM97" si="23">H43</f>
        <v>-1.1143679999999999E-3</v>
      </c>
      <c r="Z97" s="6">
        <f t="shared" si="23"/>
        <v>-1.401901E-4</v>
      </c>
      <c r="AA97" s="6">
        <f t="shared" si="23"/>
        <v>5.9020999999999997E-2</v>
      </c>
      <c r="AB97" s="6">
        <f t="shared" si="23"/>
        <v>-1.1420250000000001E-3</v>
      </c>
      <c r="AC97" s="6">
        <f t="shared" si="23"/>
        <v>-2.324104E-3</v>
      </c>
      <c r="AD97" s="6">
        <f t="shared" si="23"/>
        <v>-5.0597189999999998E-3</v>
      </c>
      <c r="AE97" s="6">
        <f t="shared" si="23"/>
        <v>-4.7883989999999996E-3</v>
      </c>
      <c r="AF97" s="6">
        <f t="shared" si="23"/>
        <v>-5.8588980000000004E-3</v>
      </c>
      <c r="AG97" s="6">
        <f t="shared" si="23"/>
        <v>-5.2986149999999996E-3</v>
      </c>
      <c r="AH97" s="6">
        <f t="shared" si="23"/>
        <v>-6.3776969999999999E-3</v>
      </c>
      <c r="AI97" s="6">
        <f t="shared" si="23"/>
        <v>-7.8687670000000005E-3</v>
      </c>
      <c r="AJ97" s="6">
        <f t="shared" si="23"/>
        <v>-8.8486669999999993E-3</v>
      </c>
      <c r="AK97" s="6">
        <f t="shared" si="23"/>
        <v>-8.6946490000000005E-3</v>
      </c>
      <c r="AL97" s="6">
        <f t="shared" si="23"/>
        <v>-1.0266300000000001E-2</v>
      </c>
      <c r="AM97" s="6">
        <f t="shared" si="23"/>
        <v>-1.162004E-2</v>
      </c>
    </row>
    <row r="98" spans="7:39" x14ac:dyDescent="0.25">
      <c r="G98" s="5">
        <v>7</v>
      </c>
      <c r="H98" s="6">
        <f>G45</f>
        <v>4.2676930000000001E-4</v>
      </c>
      <c r="I98" s="6">
        <f t="shared" ref="I98:W98" si="24">H45</f>
        <v>5.84507E-3</v>
      </c>
      <c r="J98" s="6">
        <f t="shared" si="24"/>
        <v>3.6334990000000001E-3</v>
      </c>
      <c r="K98" s="6">
        <f t="shared" si="24"/>
        <v>5.9868339999999999E-2</v>
      </c>
      <c r="L98" s="6">
        <f t="shared" si="24"/>
        <v>1.213551E-3</v>
      </c>
      <c r="M98" s="6">
        <f t="shared" si="24"/>
        <v>-2.8753280000000001E-4</v>
      </c>
      <c r="N98" s="6">
        <f t="shared" si="24"/>
        <v>-1.336575E-3</v>
      </c>
      <c r="O98" s="6">
        <f t="shared" si="24"/>
        <v>-3.3378599999999999E-5</v>
      </c>
      <c r="P98" s="6">
        <f t="shared" si="24"/>
        <v>9.0599059999999992E-6</v>
      </c>
      <c r="Q98" s="6">
        <f t="shared" si="24"/>
        <v>9.7994799999999993E-3</v>
      </c>
      <c r="R98" s="6">
        <f t="shared" si="24"/>
        <v>-2.0504E-4</v>
      </c>
      <c r="S98" s="6">
        <f t="shared" si="24"/>
        <v>-2.8038020000000001E-4</v>
      </c>
      <c r="T98" s="6">
        <f t="shared" si="24"/>
        <v>2.046299E-2</v>
      </c>
      <c r="U98" s="6">
        <f t="shared" si="24"/>
        <v>-7.4577330000000002E-4</v>
      </c>
      <c r="V98" s="6">
        <f t="shared" si="24"/>
        <v>6.1988830000000002E-6</v>
      </c>
      <c r="W98" s="6">
        <f t="shared" si="24"/>
        <v>4.901886E-4</v>
      </c>
      <c r="X98" s="6">
        <f>G46</f>
        <v>-3.4093859999999998E-4</v>
      </c>
      <c r="Y98" s="6">
        <f t="shared" ref="Y98:AM98" si="25">H46</f>
        <v>-7.5674059999999998E-4</v>
      </c>
      <c r="Z98" s="6">
        <f t="shared" si="25"/>
        <v>-8.6259840000000004E-4</v>
      </c>
      <c r="AA98" s="6">
        <f t="shared" si="25"/>
        <v>6.0574049999999997E-2</v>
      </c>
      <c r="AB98" s="6">
        <f t="shared" si="25"/>
        <v>-1.5020369999999999E-3</v>
      </c>
      <c r="AC98" s="6">
        <f t="shared" si="25"/>
        <v>-2.5024410000000002E-3</v>
      </c>
      <c r="AD98" s="6">
        <f t="shared" si="25"/>
        <v>-5.7511330000000003E-3</v>
      </c>
      <c r="AE98" s="6">
        <f t="shared" si="25"/>
        <v>-5.5136680000000002E-3</v>
      </c>
      <c r="AF98" s="6">
        <f t="shared" si="25"/>
        <v>-6.5741539999999996E-3</v>
      </c>
      <c r="AG98" s="6">
        <f t="shared" si="25"/>
        <v>-6.0315129999999996E-3</v>
      </c>
      <c r="AH98" s="6">
        <f t="shared" si="25"/>
        <v>-7.2774889999999998E-3</v>
      </c>
      <c r="AI98" s="6">
        <f t="shared" si="25"/>
        <v>-8.768082E-3</v>
      </c>
      <c r="AJ98" s="6">
        <f t="shared" si="25"/>
        <v>-9.3717580000000009E-3</v>
      </c>
      <c r="AK98" s="6">
        <f t="shared" si="25"/>
        <v>-9.9611279999999996E-3</v>
      </c>
      <c r="AL98" s="6">
        <f t="shared" si="25"/>
        <v>-1.1903759999999999E-2</v>
      </c>
      <c r="AM98" s="6">
        <f t="shared" si="25"/>
        <v>-1.42889E-2</v>
      </c>
    </row>
    <row r="99" spans="7:39" x14ac:dyDescent="0.25">
      <c r="G99" s="5">
        <v>8</v>
      </c>
      <c r="H99" s="6">
        <f>G48</f>
        <v>-2.212524E-3</v>
      </c>
      <c r="I99" s="6">
        <f t="shared" ref="I99:W99" si="26">H48</f>
        <v>6.569386E-3</v>
      </c>
      <c r="J99" s="6">
        <f t="shared" si="26"/>
        <v>4.1928290000000003E-3</v>
      </c>
      <c r="K99" s="6">
        <f t="shared" si="26"/>
        <v>6.1595440000000001E-2</v>
      </c>
      <c r="L99" s="6">
        <f t="shared" si="26"/>
        <v>1.7361639999999999E-3</v>
      </c>
      <c r="M99" s="6">
        <f t="shared" si="26"/>
        <v>-8.0347060000000002E-4</v>
      </c>
      <c r="N99" s="6">
        <f t="shared" si="26"/>
        <v>-9.3698499999999999E-4</v>
      </c>
      <c r="O99" s="6">
        <f t="shared" si="26"/>
        <v>-3.3378599999999999E-5</v>
      </c>
      <c r="P99" s="6">
        <f t="shared" si="26"/>
        <v>1.821518E-4</v>
      </c>
      <c r="Q99" s="6">
        <f t="shared" si="26"/>
        <v>9.1276169999999993E-3</v>
      </c>
      <c r="R99" s="6">
        <f t="shared" si="26"/>
        <v>5.4645539999999997E-4</v>
      </c>
      <c r="S99" s="6">
        <f t="shared" si="26"/>
        <v>-2.8038020000000001E-4</v>
      </c>
      <c r="T99" s="6">
        <f t="shared" si="26"/>
        <v>2.3116109999999999E-2</v>
      </c>
      <c r="U99" s="6">
        <f t="shared" si="26"/>
        <v>-2.2745130000000001E-4</v>
      </c>
      <c r="V99" s="6">
        <f t="shared" si="26"/>
        <v>5.5170060000000001E-4</v>
      </c>
      <c r="W99" s="6">
        <f t="shared" si="26"/>
        <v>1.735687E-4</v>
      </c>
      <c r="X99" s="6">
        <f>G49</f>
        <v>5.6457519999999995E-4</v>
      </c>
      <c r="Y99" s="6">
        <f t="shared" ref="Y99:AM99" si="27">H49</f>
        <v>-5.7888030000000004E-4</v>
      </c>
      <c r="Z99" s="6">
        <f t="shared" si="27"/>
        <v>-3.2043460000000002E-4</v>
      </c>
      <c r="AA99" s="6">
        <f t="shared" si="27"/>
        <v>6.2660220000000003E-2</v>
      </c>
      <c r="AB99" s="6">
        <f t="shared" si="27"/>
        <v>-1.3217929999999999E-3</v>
      </c>
      <c r="AC99" s="6">
        <f t="shared" si="27"/>
        <v>-2.8586390000000001E-3</v>
      </c>
      <c r="AD99" s="6">
        <f t="shared" si="27"/>
        <v>-4.5409200000000004E-3</v>
      </c>
      <c r="AE99" s="6">
        <f t="shared" si="27"/>
        <v>-5.3400990000000001E-3</v>
      </c>
      <c r="AF99" s="6">
        <f t="shared" si="27"/>
        <v>-8.183002E-3</v>
      </c>
      <c r="AG99" s="6">
        <f t="shared" si="27"/>
        <v>-7.130623E-3</v>
      </c>
      <c r="AH99" s="6">
        <f t="shared" si="27"/>
        <v>-8.3646769999999992E-3</v>
      </c>
      <c r="AI99" s="6">
        <f t="shared" si="27"/>
        <v>-9.4876289999999992E-3</v>
      </c>
      <c r="AJ99" s="6">
        <f t="shared" si="27"/>
        <v>-1.038218E-2</v>
      </c>
      <c r="AK99" s="6">
        <f t="shared" si="27"/>
        <v>-1.122856E-2</v>
      </c>
      <c r="AL99" s="6">
        <f t="shared" si="27"/>
        <v>-1.372337E-2</v>
      </c>
      <c r="AM99" s="6">
        <f t="shared" si="27"/>
        <v>-1.6767500000000001E-2</v>
      </c>
    </row>
    <row r="100" spans="7:39" x14ac:dyDescent="0.25">
      <c r="G100" s="5">
        <v>9</v>
      </c>
      <c r="H100" s="6">
        <f>G51</f>
        <v>-4.8551560000000002E-3</v>
      </c>
      <c r="I100" s="6">
        <f t="shared" ref="I100:W100" si="28">H51</f>
        <v>6.0429569999999998E-3</v>
      </c>
      <c r="J100" s="6">
        <f t="shared" si="28"/>
        <v>4.9262050000000003E-3</v>
      </c>
      <c r="K100" s="6">
        <f t="shared" si="28"/>
        <v>6.3471319999999998E-2</v>
      </c>
      <c r="L100" s="6">
        <f t="shared" si="28"/>
        <v>2.2492409999999999E-3</v>
      </c>
      <c r="M100" s="6">
        <f t="shared" si="28"/>
        <v>-7.8821179999999998E-4</v>
      </c>
      <c r="N100" s="6">
        <f t="shared" si="28"/>
        <v>-4.5967099999999998E-4</v>
      </c>
      <c r="O100" s="6">
        <f t="shared" si="28"/>
        <v>1.3685229999999999E-4</v>
      </c>
      <c r="P100" s="6">
        <f t="shared" si="28"/>
        <v>5.2642819999999997E-4</v>
      </c>
      <c r="Q100" s="6">
        <f t="shared" si="28"/>
        <v>8.7814329999999999E-3</v>
      </c>
      <c r="R100" s="6">
        <f t="shared" si="28"/>
        <v>5.4693220000000004E-4</v>
      </c>
      <c r="S100" s="6">
        <f t="shared" si="28"/>
        <v>6.4373020000000003E-5</v>
      </c>
      <c r="T100" s="6">
        <f t="shared" si="28"/>
        <v>2.4003509999999999E-2</v>
      </c>
      <c r="U100" s="6">
        <f t="shared" si="28"/>
        <v>-3.929138E-4</v>
      </c>
      <c r="V100" s="6">
        <f t="shared" si="28"/>
        <v>3.9052960000000002E-4</v>
      </c>
      <c r="W100" s="6">
        <f t="shared" si="28"/>
        <v>-1.8739700000000001E-4</v>
      </c>
      <c r="X100" s="6">
        <f>G52</f>
        <v>1.9979479999999999E-4</v>
      </c>
      <c r="Y100" s="6">
        <f t="shared" ref="Y100:AM100" si="29">H52</f>
        <v>-7.5769420000000001E-4</v>
      </c>
      <c r="Z100" s="6">
        <f t="shared" si="29"/>
        <v>3.5762790000000002E-5</v>
      </c>
      <c r="AA100" s="6">
        <f t="shared" si="29"/>
        <v>6.3859940000000004E-2</v>
      </c>
      <c r="AB100" s="6">
        <f t="shared" si="29"/>
        <v>-1.3232230000000001E-3</v>
      </c>
      <c r="AC100" s="6">
        <f t="shared" si="29"/>
        <v>-2.6822090000000001E-3</v>
      </c>
      <c r="AD100" s="6">
        <f t="shared" si="29"/>
        <v>-5.2185060000000004E-3</v>
      </c>
      <c r="AE100" s="6">
        <f t="shared" si="29"/>
        <v>-5.5212969999999997E-3</v>
      </c>
      <c r="AF100" s="6">
        <f t="shared" si="29"/>
        <v>-6.931782E-3</v>
      </c>
      <c r="AG100" s="6">
        <f t="shared" si="29"/>
        <v>-6.0315129999999996E-3</v>
      </c>
      <c r="AH100" s="6">
        <f t="shared" si="29"/>
        <v>-8.1825260000000007E-3</v>
      </c>
      <c r="AI100" s="6">
        <f t="shared" si="29"/>
        <v>-1.237011E-2</v>
      </c>
      <c r="AJ100" s="6">
        <f t="shared" si="29"/>
        <v>-1.2475969999999999E-2</v>
      </c>
      <c r="AK100" s="6">
        <f t="shared" si="29"/>
        <v>-1.304054E-2</v>
      </c>
      <c r="AL100" s="6">
        <f t="shared" si="29"/>
        <v>-1.4087199999999999E-2</v>
      </c>
      <c r="AM100" s="6">
        <f t="shared" si="29"/>
        <v>-1.7646309999999998E-2</v>
      </c>
    </row>
    <row r="101" spans="7:39" x14ac:dyDescent="0.25">
      <c r="G101" s="5">
        <v>10</v>
      </c>
      <c r="H101" s="6">
        <f>G54</f>
        <v>-6.9684980000000001E-3</v>
      </c>
      <c r="I101" s="6">
        <f t="shared" ref="I101:W101" si="30">H54</f>
        <v>6.5674779999999999E-3</v>
      </c>
      <c r="J101" s="6">
        <f t="shared" si="30"/>
        <v>5.7997700000000001E-3</v>
      </c>
      <c r="K101" s="6">
        <f t="shared" si="30"/>
        <v>6.5348630000000005E-2</v>
      </c>
      <c r="L101" s="6">
        <f t="shared" si="30"/>
        <v>3.4451479999999999E-3</v>
      </c>
      <c r="M101" s="6">
        <f t="shared" si="30"/>
        <v>-4.4393539999999998E-4</v>
      </c>
      <c r="N101" s="6">
        <f t="shared" si="30"/>
        <v>2.422333E-4</v>
      </c>
      <c r="O101" s="6">
        <f t="shared" si="30"/>
        <v>1.52874E-3</v>
      </c>
      <c r="P101" s="6">
        <f t="shared" si="30"/>
        <v>8.7261200000000004E-4</v>
      </c>
      <c r="Q101" s="6">
        <f t="shared" si="30"/>
        <v>8.2635880000000005E-3</v>
      </c>
      <c r="R101" s="6">
        <f t="shared" si="30"/>
        <v>5.4693220000000004E-4</v>
      </c>
      <c r="S101" s="6">
        <f t="shared" si="30"/>
        <v>2.365112E-4</v>
      </c>
      <c r="T101" s="6">
        <f t="shared" si="30"/>
        <v>2.594948E-2</v>
      </c>
      <c r="U101" s="6">
        <f t="shared" si="30"/>
        <v>-2.207756E-4</v>
      </c>
      <c r="V101" s="6">
        <f t="shared" si="30"/>
        <v>3.9052960000000002E-4</v>
      </c>
      <c r="W101" s="6">
        <f t="shared" si="30"/>
        <v>-6.67572E-6</v>
      </c>
      <c r="X101" s="6">
        <f>G55</f>
        <v>1.9979479999999999E-4</v>
      </c>
      <c r="Y101" s="6">
        <f t="shared" ref="Y101:AM101" si="31">H55</f>
        <v>-9.3698499999999999E-4</v>
      </c>
      <c r="Z101" s="6">
        <f t="shared" si="31"/>
        <v>2.164841E-4</v>
      </c>
      <c r="AA101" s="6">
        <f t="shared" si="31"/>
        <v>6.5585610000000003E-2</v>
      </c>
      <c r="AB101" s="6">
        <f t="shared" si="31"/>
        <v>-9.6273419999999999E-4</v>
      </c>
      <c r="AC101" s="6">
        <f t="shared" si="31"/>
        <v>-2.3255350000000001E-3</v>
      </c>
      <c r="AD101" s="6">
        <f t="shared" si="31"/>
        <v>-5.3915980000000001E-3</v>
      </c>
      <c r="AE101" s="6">
        <f t="shared" si="31"/>
        <v>-5.5212969999999997E-3</v>
      </c>
      <c r="AF101" s="6">
        <f t="shared" si="31"/>
        <v>-6.931782E-3</v>
      </c>
      <c r="AG101" s="6">
        <f t="shared" si="31"/>
        <v>-5.8484080000000003E-3</v>
      </c>
      <c r="AH101" s="6">
        <f t="shared" si="31"/>
        <v>-7.2832110000000004E-3</v>
      </c>
      <c r="AI101" s="6">
        <f t="shared" si="31"/>
        <v>-1.416826E-2</v>
      </c>
      <c r="AJ101" s="6">
        <f t="shared" si="31"/>
        <v>-1.439476E-2</v>
      </c>
      <c r="AK101" s="6">
        <f t="shared" si="31"/>
        <v>-1.376438E-2</v>
      </c>
      <c r="AL101" s="6">
        <f t="shared" si="31"/>
        <v>-1.499701E-2</v>
      </c>
      <c r="AM101" s="6">
        <f t="shared" si="31"/>
        <v>-1.746845E-2</v>
      </c>
    </row>
    <row r="102" spans="7:39" x14ac:dyDescent="0.25">
      <c r="G102" s="5">
        <v>11</v>
      </c>
      <c r="H102" s="6">
        <f>G57</f>
        <v>-9.4265939999999999E-3</v>
      </c>
      <c r="I102" s="6">
        <f t="shared" ref="I102:W102" si="32">H57</f>
        <v>6.4935679999999999E-3</v>
      </c>
      <c r="J102" s="6">
        <f t="shared" si="32"/>
        <v>5.6605340000000001E-3</v>
      </c>
      <c r="K102" s="6">
        <f t="shared" si="32"/>
        <v>6.6414360000000006E-2</v>
      </c>
      <c r="L102" s="6">
        <f t="shared" si="32"/>
        <v>3.2787319999999999E-3</v>
      </c>
      <c r="M102" s="6">
        <f t="shared" si="32"/>
        <v>-9.3221660000000002E-4</v>
      </c>
      <c r="N102" s="6">
        <f t="shared" si="32"/>
        <v>3.4046169999999999E-4</v>
      </c>
      <c r="O102" s="6">
        <f t="shared" si="32"/>
        <v>1.172066E-3</v>
      </c>
      <c r="P102" s="6">
        <f t="shared" si="32"/>
        <v>1.4815329999999999E-3</v>
      </c>
      <c r="Q102" s="6">
        <f t="shared" si="32"/>
        <v>7.7638630000000002E-3</v>
      </c>
      <c r="R102" s="6">
        <f t="shared" si="32"/>
        <v>1.4114380000000001E-3</v>
      </c>
      <c r="S102" s="6">
        <f t="shared" si="32"/>
        <v>5.8174129999999998E-4</v>
      </c>
      <c r="T102" s="6">
        <f t="shared" si="32"/>
        <v>2.7369500000000001E-2</v>
      </c>
      <c r="U102" s="6">
        <f t="shared" si="32"/>
        <v>-2.207756E-4</v>
      </c>
      <c r="V102" s="6">
        <f t="shared" si="32"/>
        <v>7.7533720000000003E-4</v>
      </c>
      <c r="W102" s="6">
        <f t="shared" si="32"/>
        <v>-7.3432919999999994E-5</v>
      </c>
      <c r="X102" s="6">
        <f>G58</f>
        <v>1.9979479999999999E-4</v>
      </c>
      <c r="Y102" s="6">
        <f t="shared" ref="Y102:AM102" si="33">H58</f>
        <v>-8.3255769999999996E-4</v>
      </c>
      <c r="Z102" s="6">
        <f t="shared" si="33"/>
        <v>2.1409989999999999E-4</v>
      </c>
      <c r="AA102" s="6">
        <f t="shared" si="33"/>
        <v>6.662846E-2</v>
      </c>
      <c r="AB102" s="6">
        <f t="shared" si="33"/>
        <v>-1.3251300000000001E-3</v>
      </c>
      <c r="AC102" s="6">
        <f t="shared" si="33"/>
        <v>-2.3255350000000001E-3</v>
      </c>
      <c r="AD102" s="6">
        <f t="shared" si="33"/>
        <v>-5.5518149999999999E-3</v>
      </c>
      <c r="AE102" s="6">
        <f t="shared" si="33"/>
        <v>-5.7106020000000004E-3</v>
      </c>
      <c r="AF102" s="6">
        <f t="shared" si="33"/>
        <v>-6.8640710000000002E-3</v>
      </c>
      <c r="AG102" s="6">
        <f t="shared" si="33"/>
        <v>-6.2150959999999998E-3</v>
      </c>
      <c r="AH102" s="6">
        <f t="shared" si="33"/>
        <v>-8.5444449999999995E-3</v>
      </c>
      <c r="AI102" s="6">
        <f t="shared" si="33"/>
        <v>-1.5607360000000001E-2</v>
      </c>
      <c r="AJ102" s="6">
        <f t="shared" si="33"/>
        <v>-1.5929220000000001E-2</v>
      </c>
      <c r="AK102" s="6">
        <f t="shared" si="33"/>
        <v>-1.557684E-2</v>
      </c>
      <c r="AL102" s="6">
        <f t="shared" si="33"/>
        <v>-1.554441E-2</v>
      </c>
      <c r="AM102" s="6">
        <f t="shared" si="33"/>
        <v>-1.7635350000000001E-2</v>
      </c>
    </row>
    <row r="103" spans="7:39" x14ac:dyDescent="0.25">
      <c r="G103" s="5">
        <v>12</v>
      </c>
      <c r="H103" s="6">
        <f>G60</f>
        <v>-1.1710170000000001E-2</v>
      </c>
      <c r="I103" s="6">
        <f t="shared" ref="I103:W103" si="34">H60</f>
        <v>6.3185689999999996E-3</v>
      </c>
      <c r="J103" s="6">
        <f t="shared" si="34"/>
        <v>6.2198640000000003E-3</v>
      </c>
      <c r="K103" s="6">
        <f t="shared" si="34"/>
        <v>6.7950250000000004E-2</v>
      </c>
      <c r="L103" s="6">
        <f t="shared" si="34"/>
        <v>3.4546849999999999E-3</v>
      </c>
      <c r="M103" s="6">
        <f t="shared" si="34"/>
        <v>-7.7581410000000003E-4</v>
      </c>
      <c r="N103" s="6">
        <f t="shared" si="34"/>
        <v>9.922981E-4</v>
      </c>
      <c r="O103" s="6">
        <f t="shared" si="34"/>
        <v>1.5158649999999999E-3</v>
      </c>
      <c r="P103" s="6">
        <f t="shared" si="34"/>
        <v>1.917839E-3</v>
      </c>
      <c r="Q103" s="6">
        <f t="shared" si="34"/>
        <v>7.436275E-3</v>
      </c>
      <c r="R103" s="6">
        <f t="shared" si="34"/>
        <v>1.125336E-3</v>
      </c>
      <c r="S103" s="6">
        <f t="shared" si="34"/>
        <v>6.9761279999999996E-4</v>
      </c>
      <c r="T103" s="6">
        <f t="shared" si="34"/>
        <v>2.8080939999999999E-2</v>
      </c>
      <c r="U103" s="6">
        <f t="shared" si="34"/>
        <v>-2.207756E-4</v>
      </c>
      <c r="V103" s="6">
        <f t="shared" si="34"/>
        <v>4.3249130000000001E-4</v>
      </c>
      <c r="W103" s="6">
        <f t="shared" si="34"/>
        <v>2.1839139999999999E-4</v>
      </c>
      <c r="X103" s="6">
        <f>G61</f>
        <v>-1.649857E-4</v>
      </c>
      <c r="Y103" s="6">
        <f t="shared" ref="Y103:AM103" si="35">H61</f>
        <v>-1.3184550000000001E-3</v>
      </c>
      <c r="Z103" s="6">
        <f t="shared" si="35"/>
        <v>-6.8902969999999999E-4</v>
      </c>
      <c r="AA103" s="6">
        <f t="shared" si="35"/>
        <v>6.7845340000000004E-2</v>
      </c>
      <c r="AB103" s="6">
        <f t="shared" si="35"/>
        <v>-1.1448859999999999E-3</v>
      </c>
      <c r="AC103" s="6">
        <f t="shared" si="35"/>
        <v>-2.505302E-3</v>
      </c>
      <c r="AD103" s="6">
        <f t="shared" si="35"/>
        <v>-5.3658489999999998E-3</v>
      </c>
      <c r="AE103" s="6">
        <f t="shared" si="35"/>
        <v>-5.725384E-3</v>
      </c>
      <c r="AF103" s="6">
        <f t="shared" si="35"/>
        <v>-7.1516039999999998E-3</v>
      </c>
      <c r="AG103" s="6">
        <f t="shared" si="35"/>
        <v>-6.5817829999999999E-3</v>
      </c>
      <c r="AH103" s="6">
        <f t="shared" si="35"/>
        <v>-1.0175699999999999E-2</v>
      </c>
      <c r="AI103" s="6">
        <f t="shared" si="35"/>
        <v>-1.6876700000000001E-2</v>
      </c>
      <c r="AJ103" s="6">
        <f t="shared" si="35"/>
        <v>-1.6452310000000001E-2</v>
      </c>
      <c r="AK103" s="6">
        <f t="shared" si="35"/>
        <v>-1.6119959999999999E-2</v>
      </c>
      <c r="AL103" s="6">
        <f t="shared" si="35"/>
        <v>-1.627398E-2</v>
      </c>
      <c r="AM103" s="6">
        <f t="shared" si="35"/>
        <v>-1.744652E-2</v>
      </c>
    </row>
    <row r="104" spans="7:39" x14ac:dyDescent="0.25">
      <c r="G104" s="5">
        <v>13</v>
      </c>
      <c r="H104" s="6">
        <f>G63</f>
        <v>-4.6634670000000001E-3</v>
      </c>
      <c r="I104" s="6">
        <f t="shared" ref="I104:W104" si="36">H63</f>
        <v>6.6685679999999997E-3</v>
      </c>
      <c r="J104" s="6">
        <f t="shared" si="36"/>
        <v>5.8708190000000002E-3</v>
      </c>
      <c r="K104" s="6">
        <f t="shared" si="36"/>
        <v>6.9656369999999995E-2</v>
      </c>
      <c r="L104" s="6">
        <f t="shared" si="36"/>
        <v>3.6258699999999998E-3</v>
      </c>
      <c r="M104" s="6">
        <f t="shared" si="36"/>
        <v>8.5830690000000004E-5</v>
      </c>
      <c r="N104" s="6">
        <f t="shared" si="36"/>
        <v>4.6586989999999998E-4</v>
      </c>
      <c r="O104" s="6">
        <f t="shared" si="36"/>
        <v>2.0380020000000001E-3</v>
      </c>
      <c r="P104" s="6">
        <f t="shared" si="36"/>
        <v>1.052856E-3</v>
      </c>
      <c r="Q104" s="6">
        <f t="shared" si="36"/>
        <v>6.3996319999999997E-3</v>
      </c>
      <c r="R104" s="6">
        <f t="shared" si="36"/>
        <v>6.0605999999999995E-4</v>
      </c>
      <c r="S104" s="6">
        <f t="shared" si="36"/>
        <v>1.8024440000000001E-4</v>
      </c>
      <c r="T104" s="6">
        <f t="shared" si="36"/>
        <v>2.8788569999999999E-2</v>
      </c>
      <c r="U104" s="6">
        <f t="shared" si="36"/>
        <v>-1.082897E-3</v>
      </c>
      <c r="V104" s="6">
        <f t="shared" si="36"/>
        <v>-1.1348720000000001E-4</v>
      </c>
      <c r="W104" s="6">
        <f t="shared" si="36"/>
        <v>-8.6450579999999995E-4</v>
      </c>
      <c r="X104" s="6">
        <f>G64</f>
        <v>-1.6140939999999999E-3</v>
      </c>
      <c r="Y104" s="6">
        <f t="shared" ref="Y104:AM104" si="37">H64</f>
        <v>-2.0332340000000001E-3</v>
      </c>
      <c r="Z104" s="6">
        <f t="shared" si="37"/>
        <v>-1.5921589999999999E-3</v>
      </c>
      <c r="AA104" s="6">
        <f t="shared" si="37"/>
        <v>6.9053169999999997E-2</v>
      </c>
      <c r="AB104" s="6">
        <f t="shared" si="37"/>
        <v>-2.4061199999999999E-3</v>
      </c>
      <c r="AC104" s="6">
        <f t="shared" si="37"/>
        <v>-4.2886729999999998E-3</v>
      </c>
      <c r="AD104" s="6">
        <f t="shared" si="37"/>
        <v>-7.441998E-3</v>
      </c>
      <c r="AE104" s="6">
        <f t="shared" si="37"/>
        <v>-6.8135260000000003E-3</v>
      </c>
      <c r="AF104" s="6">
        <f t="shared" si="37"/>
        <v>-7.6880459999999996E-3</v>
      </c>
      <c r="AG104" s="6">
        <f t="shared" si="37"/>
        <v>-7.3146820000000003E-3</v>
      </c>
      <c r="AH104" s="6">
        <f t="shared" si="37"/>
        <v>-7.47776E-3</v>
      </c>
      <c r="AI104" s="6">
        <f t="shared" si="37"/>
        <v>-7.8845019999999998E-3</v>
      </c>
      <c r="AJ104" s="6">
        <f t="shared" si="37"/>
        <v>-8.2545280000000006E-3</v>
      </c>
      <c r="AK104" s="6">
        <f t="shared" si="37"/>
        <v>-7.431984E-3</v>
      </c>
      <c r="AL104" s="6">
        <f t="shared" si="37"/>
        <v>-7.1754460000000003E-3</v>
      </c>
      <c r="AM104" s="6">
        <f t="shared" si="37"/>
        <v>-7.8387260000000007E-3</v>
      </c>
    </row>
    <row r="105" spans="7:39" x14ac:dyDescent="0.25">
      <c r="G105" s="5">
        <v>14</v>
      </c>
      <c r="H105" s="6">
        <f>G66</f>
        <v>-7.8868869999999998E-4</v>
      </c>
      <c r="I105" s="6">
        <f t="shared" ref="I105:W105" si="38">H66</f>
        <v>6.3185689999999996E-3</v>
      </c>
      <c r="J105" s="6">
        <f t="shared" si="38"/>
        <v>5.3462980000000002E-3</v>
      </c>
      <c r="K105" s="6">
        <f t="shared" si="38"/>
        <v>7.0870879999999997E-2</v>
      </c>
      <c r="L105" s="6">
        <f t="shared" si="38"/>
        <v>3.2887459999999999E-3</v>
      </c>
      <c r="M105" s="6">
        <f t="shared" si="38"/>
        <v>-2.579689E-4</v>
      </c>
      <c r="N105" s="6">
        <f t="shared" si="38"/>
        <v>5.1546100000000004E-4</v>
      </c>
      <c r="O105" s="6">
        <f t="shared" si="38"/>
        <v>9.9372859999999992E-4</v>
      </c>
      <c r="P105" s="6">
        <f t="shared" si="38"/>
        <v>7.0762630000000004E-4</v>
      </c>
      <c r="Q105" s="6">
        <f t="shared" si="38"/>
        <v>6.0729979999999996E-3</v>
      </c>
      <c r="R105" s="6">
        <f t="shared" si="38"/>
        <v>-2.6226039999999999E-5</v>
      </c>
      <c r="S105" s="6">
        <f t="shared" si="38"/>
        <v>-3.3617020000000002E-4</v>
      </c>
      <c r="T105" s="6">
        <f t="shared" si="38"/>
        <v>2.931976E-2</v>
      </c>
      <c r="U105" s="6">
        <f t="shared" si="38"/>
        <v>-1.597404E-3</v>
      </c>
      <c r="V105" s="6">
        <f t="shared" si="38"/>
        <v>-1.2259479999999999E-3</v>
      </c>
      <c r="W105" s="6">
        <f t="shared" si="38"/>
        <v>-2.1257400000000001E-3</v>
      </c>
      <c r="X105" s="6">
        <f>G67</f>
        <v>-3.0655859999999999E-3</v>
      </c>
      <c r="Y105" s="6">
        <f t="shared" ref="Y105:AM105" si="39">H67</f>
        <v>-4.3568610000000001E-3</v>
      </c>
      <c r="Z105" s="6">
        <f t="shared" si="39"/>
        <v>-3.400803E-3</v>
      </c>
      <c r="AA105" s="6">
        <f t="shared" si="39"/>
        <v>7.0267200000000002E-2</v>
      </c>
      <c r="AB105" s="6">
        <f t="shared" si="39"/>
        <v>-4.9300189999999999E-3</v>
      </c>
      <c r="AC105" s="6">
        <f t="shared" si="39"/>
        <v>-5.3610799999999998E-3</v>
      </c>
      <c r="AD105" s="6">
        <f t="shared" si="39"/>
        <v>-5.8712959999999998E-3</v>
      </c>
      <c r="AE105" s="6">
        <f t="shared" si="39"/>
        <v>-5.181789E-3</v>
      </c>
      <c r="AF105" s="6">
        <f t="shared" si="39"/>
        <v>-6.01244E-3</v>
      </c>
      <c r="AG105" s="6">
        <f t="shared" si="39"/>
        <v>-4.3821329999999999E-3</v>
      </c>
      <c r="AH105" s="6">
        <f t="shared" si="39"/>
        <v>-4.6081539999999997E-3</v>
      </c>
      <c r="AI105" s="6">
        <f t="shared" si="39"/>
        <v>-5.1860810000000004E-3</v>
      </c>
      <c r="AJ105" s="6">
        <f t="shared" si="39"/>
        <v>-4.9076079999999999E-3</v>
      </c>
      <c r="AK105" s="6">
        <f t="shared" si="39"/>
        <v>-4.3582919999999997E-3</v>
      </c>
      <c r="AL105" s="6">
        <f t="shared" si="39"/>
        <v>-3.7202839999999999E-3</v>
      </c>
      <c r="AM105" s="6">
        <f t="shared" si="39"/>
        <v>-4.6367650000000002E-3</v>
      </c>
    </row>
    <row r="106" spans="7:39" x14ac:dyDescent="0.25">
      <c r="G106" s="5">
        <v>15</v>
      </c>
      <c r="H106" s="6">
        <f>G69</f>
        <v>-1.132011E-3</v>
      </c>
      <c r="I106" s="6">
        <f t="shared" ref="I106:W106" si="40">H69</f>
        <v>6.4196590000000003E-3</v>
      </c>
      <c r="J106" s="6">
        <f t="shared" si="40"/>
        <v>5.8708190000000002E-3</v>
      </c>
      <c r="K106" s="6">
        <f t="shared" si="40"/>
        <v>7.2917940000000001E-2</v>
      </c>
      <c r="L106" s="6">
        <f t="shared" si="40"/>
        <v>3.2839779999999999E-3</v>
      </c>
      <c r="M106" s="6">
        <f t="shared" si="40"/>
        <v>-5.9127810000000001E-5</v>
      </c>
      <c r="N106" s="6">
        <f t="shared" si="40"/>
        <v>7.4052809999999999E-4</v>
      </c>
      <c r="O106" s="6">
        <f t="shared" si="40"/>
        <v>1.3375279999999999E-3</v>
      </c>
      <c r="P106" s="6">
        <f t="shared" si="40"/>
        <v>1.053333E-3</v>
      </c>
      <c r="Q106" s="6">
        <f t="shared" si="40"/>
        <v>5.0363539999999998E-3</v>
      </c>
      <c r="R106" s="6">
        <f t="shared" si="40"/>
        <v>5.536079E-4</v>
      </c>
      <c r="S106" s="6">
        <f t="shared" si="40"/>
        <v>-5.0830839999999999E-4</v>
      </c>
      <c r="T106" s="6">
        <f t="shared" si="40"/>
        <v>2.9677869999999999E-2</v>
      </c>
      <c r="U106" s="6">
        <f t="shared" si="40"/>
        <v>-1.5969280000000001E-3</v>
      </c>
      <c r="V106" s="6">
        <f t="shared" si="40"/>
        <v>-1.932621E-3</v>
      </c>
      <c r="W106" s="6">
        <f t="shared" si="40"/>
        <v>-2.5534630000000002E-3</v>
      </c>
      <c r="X106" s="5">
        <f>G70</f>
        <v>-3.0651089999999999E-3</v>
      </c>
      <c r="Y106" s="5">
        <f t="shared" ref="Y106:AM106" si="41">H70</f>
        <v>-4.5337679999999997E-3</v>
      </c>
      <c r="Z106" s="5">
        <f t="shared" si="41"/>
        <v>-4.1236880000000004E-3</v>
      </c>
      <c r="AA106" s="5">
        <f t="shared" si="41"/>
        <v>7.1473120000000001E-2</v>
      </c>
      <c r="AB106" s="5">
        <f t="shared" si="41"/>
        <v>-4.5709610000000001E-3</v>
      </c>
      <c r="AC106" s="5">
        <f t="shared" si="41"/>
        <v>-5.1841739999999997E-3</v>
      </c>
      <c r="AD106" s="5">
        <f t="shared" si="41"/>
        <v>-5.1789280000000002E-3</v>
      </c>
      <c r="AE106" s="5">
        <f t="shared" si="41"/>
        <v>-4.1007999999999999E-3</v>
      </c>
      <c r="AF106" s="5">
        <f t="shared" si="41"/>
        <v>-4.940987E-3</v>
      </c>
      <c r="AG106" s="5">
        <f t="shared" si="41"/>
        <v>-3.6492349999999998E-3</v>
      </c>
      <c r="AH106" s="5">
        <f t="shared" si="41"/>
        <v>-4.2481419999999999E-3</v>
      </c>
      <c r="AI106" s="5">
        <f t="shared" si="41"/>
        <v>-4.4660569999999998E-3</v>
      </c>
      <c r="AJ106" s="5">
        <f t="shared" si="41"/>
        <v>-4.7340389999999998E-3</v>
      </c>
      <c r="AK106" s="5">
        <f t="shared" si="41"/>
        <v>-3.813744E-3</v>
      </c>
      <c r="AL106" s="5">
        <f t="shared" si="41"/>
        <v>-3.1752590000000002E-3</v>
      </c>
      <c r="AM106" s="5">
        <f t="shared" si="41"/>
        <v>-3.7355420000000001E-3</v>
      </c>
    </row>
    <row r="107" spans="7:39" x14ac:dyDescent="0.25">
      <c r="G107" s="5">
        <v>16</v>
      </c>
      <c r="H107" s="6">
        <f>G72</f>
        <v>-9.5558169999999997E-4</v>
      </c>
      <c r="I107" s="6">
        <f t="shared" ref="I107:W107" si="42">H72</f>
        <v>6.5941810000000002E-3</v>
      </c>
      <c r="J107" s="6">
        <f t="shared" si="42"/>
        <v>6.0453410000000001E-3</v>
      </c>
      <c r="K107" s="6">
        <f t="shared" si="42"/>
        <v>7.3771000000000003E-2</v>
      </c>
      <c r="L107" s="6">
        <f t="shared" si="42"/>
        <v>3.2839779999999999E-3</v>
      </c>
      <c r="M107" s="6">
        <f t="shared" si="42"/>
        <v>-4.0340420000000002E-4</v>
      </c>
      <c r="N107" s="6">
        <f t="shared" si="42"/>
        <v>7.4052809999999999E-4</v>
      </c>
      <c r="O107" s="6">
        <f t="shared" si="42"/>
        <v>1.5120509999999999E-3</v>
      </c>
      <c r="P107" s="6">
        <f t="shared" si="42"/>
        <v>1.053333E-3</v>
      </c>
      <c r="Q107" s="6">
        <f t="shared" si="42"/>
        <v>7.2087760000000001E-2</v>
      </c>
      <c r="R107" s="6">
        <f t="shared" si="42"/>
        <v>2.0742420000000001E-4</v>
      </c>
      <c r="S107" s="6">
        <f t="shared" si="42"/>
        <v>-5.0830839999999999E-4</v>
      </c>
      <c r="T107" s="6">
        <f t="shared" si="42"/>
        <v>2.9677869999999999E-2</v>
      </c>
      <c r="U107" s="6">
        <f t="shared" si="42"/>
        <v>-1.77002E-3</v>
      </c>
      <c r="V107" s="6">
        <f t="shared" si="42"/>
        <v>-1.386642E-3</v>
      </c>
      <c r="W107" s="6">
        <f t="shared" si="42"/>
        <v>-2.1920199999999998E-3</v>
      </c>
      <c r="X107" s="6">
        <f>G73</f>
        <v>-3.0651089999999999E-3</v>
      </c>
      <c r="Y107" s="6">
        <f t="shared" ref="Y107:AM107" si="43">H73</f>
        <v>-4.7125819999999999E-3</v>
      </c>
      <c r="Z107" s="6">
        <f t="shared" si="43"/>
        <v>-3.762722E-3</v>
      </c>
      <c r="AA107" s="6">
        <f t="shared" si="43"/>
        <v>7.3026659999999993E-2</v>
      </c>
      <c r="AB107" s="6">
        <f t="shared" si="43"/>
        <v>-4.5709610000000001E-3</v>
      </c>
      <c r="AC107" s="6">
        <f t="shared" si="43"/>
        <v>-5.3625110000000004E-3</v>
      </c>
      <c r="AD107" s="6">
        <f t="shared" si="43"/>
        <v>-4.8327450000000003E-3</v>
      </c>
      <c r="AE107" s="6">
        <f t="shared" si="43"/>
        <v>-3.9191249999999999E-3</v>
      </c>
      <c r="AF107" s="6">
        <f t="shared" si="43"/>
        <v>-5.1193239999999997E-3</v>
      </c>
      <c r="AG107" s="6">
        <f t="shared" si="43"/>
        <v>-3.6492349999999998E-3</v>
      </c>
      <c r="AH107" s="6">
        <f t="shared" si="43"/>
        <v>-4.0678980000000003E-3</v>
      </c>
      <c r="AI107" s="6">
        <f t="shared" si="43"/>
        <v>-4.2862890000000004E-3</v>
      </c>
      <c r="AJ107" s="6">
        <f t="shared" si="43"/>
        <v>-4.5595169999999999E-3</v>
      </c>
      <c r="AK107" s="6">
        <f t="shared" si="43"/>
        <v>-4.3568610000000001E-3</v>
      </c>
      <c r="AL107" s="6">
        <f t="shared" si="43"/>
        <v>-3.539085E-3</v>
      </c>
      <c r="AM107" s="6">
        <f t="shared" si="43"/>
        <v>-3.5576819999999999E-3</v>
      </c>
    </row>
    <row r="108" spans="7:39" x14ac:dyDescent="0.25">
      <c r="G108" s="5">
        <v>17</v>
      </c>
      <c r="H108" s="6">
        <f>G75</f>
        <v>-1.8339160000000001E-3</v>
      </c>
      <c r="I108" s="6">
        <f t="shared" ref="I108:W108" si="44">H75</f>
        <v>6.5183639999999996E-3</v>
      </c>
      <c r="J108" s="6">
        <f t="shared" si="44"/>
        <v>5.7315830000000002E-3</v>
      </c>
      <c r="K108" s="6">
        <f t="shared" si="44"/>
        <v>7.5135709999999994E-2</v>
      </c>
      <c r="L108" s="6">
        <f t="shared" si="44"/>
        <v>3.293037E-3</v>
      </c>
      <c r="M108" s="6">
        <f t="shared" si="44"/>
        <v>-4.0054320000000002E-4</v>
      </c>
      <c r="N108" s="6">
        <f t="shared" si="44"/>
        <v>7.8964230000000001E-4</v>
      </c>
      <c r="O108" s="6">
        <f t="shared" si="44"/>
        <v>1.3332369999999999E-3</v>
      </c>
      <c r="P108" s="6">
        <f t="shared" si="44"/>
        <v>1.234055E-3</v>
      </c>
      <c r="Q108" s="6">
        <f t="shared" si="44"/>
        <v>7.1425440000000007E-2</v>
      </c>
      <c r="R108" s="6">
        <f t="shared" si="44"/>
        <v>4.4059749999999999E-4</v>
      </c>
      <c r="S108" s="6">
        <f t="shared" si="44"/>
        <v>-7.9536440000000004E-4</v>
      </c>
      <c r="T108" s="6">
        <f t="shared" si="44"/>
        <v>2.8792379999999999E-2</v>
      </c>
      <c r="U108" s="6">
        <f t="shared" si="44"/>
        <v>-1.594067E-3</v>
      </c>
      <c r="V108" s="6">
        <f t="shared" si="44"/>
        <v>-1.5478130000000001E-3</v>
      </c>
      <c r="W108" s="6">
        <f t="shared" si="44"/>
        <v>-2.2602080000000001E-3</v>
      </c>
      <c r="X108" s="6">
        <f>G76</f>
        <v>-3.4298900000000001E-3</v>
      </c>
      <c r="Y108" s="6">
        <f t="shared" ref="Y108:AM108" si="45">H76</f>
        <v>-5.1984789999999998E-3</v>
      </c>
      <c r="Z108" s="6">
        <f t="shared" si="45"/>
        <v>-4.1255950000000001E-3</v>
      </c>
      <c r="AA108" s="6">
        <f t="shared" si="45"/>
        <v>7.4236869999999996E-2</v>
      </c>
      <c r="AB108" s="6">
        <f t="shared" si="45"/>
        <v>-4.7512049999999997E-3</v>
      </c>
      <c r="AC108" s="6">
        <f t="shared" si="45"/>
        <v>-5.0058359999999996E-3</v>
      </c>
      <c r="AD108" s="6">
        <f t="shared" si="45"/>
        <v>-5.154133E-3</v>
      </c>
      <c r="AE108" s="6">
        <f t="shared" si="45"/>
        <v>-4.1079519999999998E-3</v>
      </c>
      <c r="AF108" s="6">
        <f t="shared" si="45"/>
        <v>-5.2299499999999997E-3</v>
      </c>
      <c r="AG108" s="6">
        <f t="shared" si="45"/>
        <v>-3.8323400000000001E-3</v>
      </c>
      <c r="AH108" s="6">
        <f t="shared" si="45"/>
        <v>-4.2557719999999997E-3</v>
      </c>
      <c r="AI108" s="6">
        <f t="shared" si="45"/>
        <v>-4.4708250000000003E-3</v>
      </c>
      <c r="AJ108" s="6">
        <f t="shared" si="45"/>
        <v>-4.8403739999999997E-3</v>
      </c>
      <c r="AK108" s="6">
        <f t="shared" si="45"/>
        <v>-3.9982799999999999E-3</v>
      </c>
      <c r="AL108" s="6">
        <f t="shared" si="45"/>
        <v>-3.7212370000000001E-3</v>
      </c>
      <c r="AM108" s="6">
        <f t="shared" si="45"/>
        <v>-4.4364929999999997E-3</v>
      </c>
    </row>
    <row r="109" spans="7:39" x14ac:dyDescent="0.25">
      <c r="G109" s="5">
        <v>18</v>
      </c>
      <c r="H109" s="6">
        <f>G78</f>
        <v>-2.890587E-3</v>
      </c>
      <c r="I109" s="6">
        <f t="shared" ref="I109:W109" si="46">H78</f>
        <v>6.1688419999999999E-3</v>
      </c>
      <c r="J109" s="6">
        <f t="shared" si="46"/>
        <v>5.9065819999999996E-3</v>
      </c>
      <c r="K109" s="6">
        <f t="shared" si="46"/>
        <v>7.6330659999999995E-2</v>
      </c>
      <c r="L109" s="6">
        <f t="shared" si="46"/>
        <v>3.8061140000000002E-3</v>
      </c>
      <c r="M109" s="6">
        <f t="shared" si="46"/>
        <v>-7.4529649999999995E-4</v>
      </c>
      <c r="N109" s="6">
        <f t="shared" si="46"/>
        <v>1.141071E-3</v>
      </c>
      <c r="O109" s="6">
        <f t="shared" si="46"/>
        <v>1.8548970000000001E-3</v>
      </c>
      <c r="P109" s="6">
        <f t="shared" si="46"/>
        <v>1.407623E-3</v>
      </c>
      <c r="Q109" s="6">
        <f t="shared" si="46"/>
        <v>7.0388790000000007E-2</v>
      </c>
      <c r="R109" s="6">
        <f t="shared" si="46"/>
        <v>7.8630449999999999E-4</v>
      </c>
      <c r="S109" s="6">
        <f t="shared" si="46"/>
        <v>-4.5013429999999998E-4</v>
      </c>
      <c r="T109" s="6">
        <f t="shared" si="46"/>
        <v>2.7907850000000001E-2</v>
      </c>
      <c r="U109" s="6">
        <f t="shared" si="46"/>
        <v>-1.2493129999999999E-3</v>
      </c>
      <c r="V109" s="6">
        <f t="shared" si="46"/>
        <v>-1.9121170000000001E-3</v>
      </c>
      <c r="W109" s="6">
        <f t="shared" si="46"/>
        <v>-2.440453E-3</v>
      </c>
      <c r="X109" s="5">
        <f>G79</f>
        <v>-3.6110880000000001E-3</v>
      </c>
      <c r="Y109" s="5">
        <f t="shared" ref="Y109:AM109" si="47">H79</f>
        <v>-5.5556299999999998E-3</v>
      </c>
      <c r="Z109" s="5">
        <f t="shared" si="47"/>
        <v>-4.3063160000000001E-3</v>
      </c>
      <c r="AA109" s="5">
        <f t="shared" si="47"/>
        <v>7.5272080000000005E-2</v>
      </c>
      <c r="AB109" s="5">
        <f t="shared" si="47"/>
        <v>-4.9314500000000004E-3</v>
      </c>
      <c r="AC109" s="5">
        <f t="shared" si="47"/>
        <v>-5.5408480000000001E-3</v>
      </c>
      <c r="AD109" s="5">
        <f t="shared" si="47"/>
        <v>-5.3267480000000001E-3</v>
      </c>
      <c r="AE109" s="5">
        <f t="shared" si="47"/>
        <v>-4.4708250000000003E-3</v>
      </c>
      <c r="AF109" s="5">
        <f t="shared" si="47"/>
        <v>-5.4087639999999999E-3</v>
      </c>
      <c r="AG109" s="5">
        <f t="shared" si="47"/>
        <v>-4.0159230000000002E-3</v>
      </c>
      <c r="AH109" s="5">
        <f t="shared" si="47"/>
        <v>-4.6157840000000004E-3</v>
      </c>
      <c r="AI109" s="5">
        <f t="shared" si="47"/>
        <v>-4.8303599999999997E-3</v>
      </c>
      <c r="AJ109" s="5">
        <f t="shared" si="47"/>
        <v>-4.6658519999999998E-3</v>
      </c>
      <c r="AK109" s="5">
        <f t="shared" si="47"/>
        <v>-4.1794780000000004E-3</v>
      </c>
      <c r="AL109" s="5">
        <f t="shared" si="47"/>
        <v>-3.3569339999999998E-3</v>
      </c>
      <c r="AM109" s="5">
        <f t="shared" si="47"/>
        <v>-4.792213E-3</v>
      </c>
    </row>
    <row r="110" spans="7:39" x14ac:dyDescent="0.25"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</row>
  </sheetData>
  <pageMargins left="0.7" right="0.7" top="0.75" bottom="0.75" header="0.3" footer="0.3"/>
  <pageSetup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109"/>
  <sheetViews>
    <sheetView zoomScale="85" zoomScaleNormal="85" workbookViewId="0">
      <selection activeCell="A110" sqref="A110:XFD230"/>
    </sheetView>
  </sheetViews>
  <sheetFormatPr defaultRowHeight="15" x14ac:dyDescent="0.25"/>
  <sheetData>
    <row r="1" spans="1:22" x14ac:dyDescent="0.25">
      <c r="B1">
        <v>9116</v>
      </c>
      <c r="C1">
        <v>6742</v>
      </c>
      <c r="D1">
        <v>1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</row>
    <row r="3" spans="1:22" x14ac:dyDescent="0.25">
      <c r="B3">
        <v>9116</v>
      </c>
      <c r="C3">
        <v>6744</v>
      </c>
      <c r="D3">
        <v>1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29</v>
      </c>
    </row>
    <row r="4" spans="1:22" x14ac:dyDescent="0.25">
      <c r="A4" t="s">
        <v>30</v>
      </c>
      <c r="B4" t="s">
        <v>31</v>
      </c>
      <c r="C4" t="s">
        <v>32</v>
      </c>
      <c r="D4" t="s">
        <v>33</v>
      </c>
      <c r="E4" t="s">
        <v>34</v>
      </c>
      <c r="F4" t="s">
        <v>35</v>
      </c>
    </row>
    <row r="5" spans="1:22" x14ac:dyDescent="0.25">
      <c r="A5" t="s">
        <v>36</v>
      </c>
    </row>
    <row r="6" spans="1:22" x14ac:dyDescent="0.25">
      <c r="A6" t="s">
        <v>36</v>
      </c>
    </row>
    <row r="7" spans="1:22" x14ac:dyDescent="0.25">
      <c r="A7" t="s">
        <v>123</v>
      </c>
    </row>
    <row r="8" spans="1:22" x14ac:dyDescent="0.25">
      <c r="A8" t="s">
        <v>98</v>
      </c>
    </row>
    <row r="9" spans="1:22" x14ac:dyDescent="0.25">
      <c r="A9">
        <v>11.244999999999999</v>
      </c>
      <c r="B9">
        <v>9116</v>
      </c>
      <c r="C9">
        <v>6742</v>
      </c>
      <c r="D9">
        <v>1</v>
      </c>
      <c r="E9">
        <v>1</v>
      </c>
      <c r="F9" t="s">
        <v>13</v>
      </c>
      <c r="G9" s="3">
        <v>-6.1464310000000004E-4</v>
      </c>
      <c r="H9" s="3">
        <v>-6.4849850000000002E-4</v>
      </c>
      <c r="I9" s="3">
        <v>-4.6157840000000001E-4</v>
      </c>
      <c r="J9" s="3">
        <v>3.9632319999999999E-2</v>
      </c>
      <c r="K9" s="3">
        <v>-2.5653839999999998E-4</v>
      </c>
      <c r="L9" s="3">
        <v>-6.1178209999999998E-4</v>
      </c>
      <c r="M9" s="3">
        <v>-1.2450219999999999E-3</v>
      </c>
      <c r="N9" s="3">
        <v>-1.192093E-4</v>
      </c>
      <c r="O9" s="3">
        <v>4.3630600000000002E-4</v>
      </c>
      <c r="P9" s="3">
        <v>4.3742179999999999E-2</v>
      </c>
      <c r="Q9" s="3">
        <v>7.2145460000000005E-4</v>
      </c>
      <c r="R9" s="3">
        <v>9.8705290000000004E-5</v>
      </c>
      <c r="S9" s="3">
        <v>1.8774030000000001E-2</v>
      </c>
      <c r="T9" s="3">
        <v>-3.0565259999999999E-4</v>
      </c>
      <c r="U9" s="3">
        <v>2.3031230000000001E-4</v>
      </c>
      <c r="V9" s="3">
        <v>-1.416206E-4</v>
      </c>
    </row>
    <row r="10" spans="1:22" x14ac:dyDescent="0.25">
      <c r="A10">
        <v>11.268000000000001</v>
      </c>
      <c r="B10">
        <v>9116</v>
      </c>
      <c r="C10">
        <v>6744</v>
      </c>
      <c r="D10">
        <v>1</v>
      </c>
      <c r="E10">
        <v>1</v>
      </c>
      <c r="F10" t="s">
        <v>13</v>
      </c>
      <c r="G10" s="3">
        <v>-6.5183639999999996E-4</v>
      </c>
      <c r="H10" s="3">
        <v>-1.280308E-3</v>
      </c>
      <c r="I10" s="3">
        <v>-8.8691710000000004E-5</v>
      </c>
      <c r="J10" s="3">
        <v>3.4039020000000003E-2</v>
      </c>
      <c r="K10" s="3">
        <v>-3.2901760000000001E-5</v>
      </c>
      <c r="L10" s="3">
        <v>-5.0067899999999997E-4</v>
      </c>
      <c r="M10" s="3">
        <v>-1.240253E-3</v>
      </c>
      <c r="N10" s="3">
        <v>9.9182129999999996E-5</v>
      </c>
      <c r="O10" s="3">
        <v>-9.5558169999999997E-4</v>
      </c>
      <c r="P10" s="3">
        <v>3.7574769999999997E-4</v>
      </c>
      <c r="Q10" s="3">
        <v>2.7942659999999998E-4</v>
      </c>
      <c r="R10" s="3">
        <v>-3.8957599999999998E-4</v>
      </c>
      <c r="S10" s="3">
        <v>-1.029968E-3</v>
      </c>
      <c r="T10" s="3">
        <v>3.9672850000000001E-4</v>
      </c>
      <c r="U10" s="3">
        <v>1.037121E-3</v>
      </c>
      <c r="V10" s="3">
        <v>2.0885470000000001E-4</v>
      </c>
    </row>
    <row r="11" spans="1:22" x14ac:dyDescent="0.25">
      <c r="A11" t="s">
        <v>99</v>
      </c>
    </row>
    <row r="12" spans="1:22" x14ac:dyDescent="0.25">
      <c r="A12">
        <v>967.03099999999995</v>
      </c>
      <c r="B12">
        <v>9116</v>
      </c>
      <c r="C12">
        <v>6742</v>
      </c>
      <c r="D12">
        <v>1</v>
      </c>
      <c r="E12">
        <v>1</v>
      </c>
      <c r="F12" t="s">
        <v>13</v>
      </c>
      <c r="G12" s="3">
        <v>-5.6257249999999998E-3</v>
      </c>
      <c r="H12" s="3">
        <v>-5.2297589999999998E-2</v>
      </c>
      <c r="I12">
        <v>-4.4849399999999998E-2</v>
      </c>
      <c r="J12" s="3">
        <v>6.5330979999999997E-2</v>
      </c>
      <c r="K12" s="3">
        <v>-3.2037259999999998E-2</v>
      </c>
      <c r="L12" s="3">
        <v>-2.458572E-3</v>
      </c>
      <c r="M12" s="3">
        <v>-2.6875019999999999E-2</v>
      </c>
      <c r="N12" s="3">
        <v>-2.327156E-2</v>
      </c>
      <c r="O12" s="3">
        <v>-2.1201129999999999E-2</v>
      </c>
      <c r="P12" s="3">
        <v>5.1121710000000001E-2</v>
      </c>
      <c r="Q12" s="3">
        <v>-1.418352E-2</v>
      </c>
      <c r="R12" s="3">
        <v>-1.239491E-2</v>
      </c>
      <c r="S12" s="3">
        <v>2.194977E-2</v>
      </c>
      <c r="T12" s="3">
        <v>-8.6245539999999996E-3</v>
      </c>
      <c r="U12" s="3">
        <v>-6.0095790000000001E-3</v>
      </c>
      <c r="V12" s="3">
        <v>-4.7678950000000003E-3</v>
      </c>
    </row>
    <row r="13" spans="1:22" x14ac:dyDescent="0.25">
      <c r="A13">
        <v>967.05</v>
      </c>
      <c r="B13">
        <v>9116</v>
      </c>
      <c r="C13">
        <v>6744</v>
      </c>
      <c r="D13">
        <v>1</v>
      </c>
      <c r="E13">
        <v>1</v>
      </c>
      <c r="F13" t="s">
        <v>13</v>
      </c>
      <c r="G13" s="3">
        <v>-3.646374E-3</v>
      </c>
      <c r="H13" s="3">
        <v>-3.1790730000000001E-3</v>
      </c>
      <c r="I13" s="3">
        <v>-1.9922260000000002E-3</v>
      </c>
      <c r="J13" s="3">
        <v>5.6728359999999999E-2</v>
      </c>
      <c r="K13" s="3">
        <v>-3.1485559999999998E-3</v>
      </c>
      <c r="L13" s="3">
        <v>-4.3239589999999996E-3</v>
      </c>
      <c r="M13" s="3">
        <v>-5.1436420000000004E-3</v>
      </c>
      <c r="N13" s="3">
        <v>-3.6625859999999998E-3</v>
      </c>
      <c r="O13" s="3">
        <v>-4.8098560000000004E-3</v>
      </c>
      <c r="P13" s="3">
        <v>-2.5506019999999999E-3</v>
      </c>
      <c r="Q13" s="3">
        <v>-2.0241740000000001E-3</v>
      </c>
      <c r="R13" s="3">
        <v>1.4114379999999999E-4</v>
      </c>
      <c r="S13" s="3">
        <v>1.716614E-3</v>
      </c>
      <c r="T13" s="3">
        <v>5.5718419999999996E-3</v>
      </c>
      <c r="U13" s="3">
        <v>1.046419E-2</v>
      </c>
      <c r="V13" s="3">
        <v>1.531744E-2</v>
      </c>
    </row>
    <row r="14" spans="1:22" x14ac:dyDescent="0.25">
      <c r="A14" t="s">
        <v>100</v>
      </c>
    </row>
    <row r="15" spans="1:22" x14ac:dyDescent="0.25">
      <c r="A15">
        <v>976.024</v>
      </c>
      <c r="B15">
        <v>9116</v>
      </c>
      <c r="C15">
        <v>6742</v>
      </c>
      <c r="D15">
        <v>1</v>
      </c>
      <c r="E15">
        <v>1</v>
      </c>
      <c r="F15" t="s">
        <v>13</v>
      </c>
      <c r="G15" s="3">
        <v>1.250744E-3</v>
      </c>
      <c r="H15" s="3">
        <v>-4.4481279999999998E-2</v>
      </c>
      <c r="I15" s="3">
        <v>-3.9947990000000003E-2</v>
      </c>
      <c r="J15" s="3">
        <v>6.1937329999999999E-2</v>
      </c>
      <c r="K15" s="3">
        <v>-2.8956409999999998E-2</v>
      </c>
      <c r="L15" s="3">
        <v>-2.1138189999999999E-3</v>
      </c>
      <c r="M15" s="3">
        <v>-2.5067809999999999E-2</v>
      </c>
      <c r="N15" s="3">
        <v>-2.1531109999999999E-2</v>
      </c>
      <c r="O15">
        <v>-1.8338199999999999E-2</v>
      </c>
      <c r="P15" s="3">
        <v>5.094862E-2</v>
      </c>
      <c r="Q15" s="3">
        <v>-1.487494E-2</v>
      </c>
      <c r="R15" s="3">
        <v>-1.1127949999999999E-2</v>
      </c>
      <c r="S15" s="3">
        <v>1.9298550000000001E-2</v>
      </c>
      <c r="T15" s="3">
        <v>-8.4514619999999999E-3</v>
      </c>
      <c r="U15" s="3">
        <v>-6.1702730000000004E-3</v>
      </c>
      <c r="V15" s="3">
        <v>-4.5857429999999998E-3</v>
      </c>
    </row>
    <row r="16" spans="1:22" x14ac:dyDescent="0.25">
      <c r="A16">
        <v>976.04300000000001</v>
      </c>
      <c r="B16">
        <v>9116</v>
      </c>
      <c r="C16">
        <v>6744</v>
      </c>
      <c r="D16">
        <v>1</v>
      </c>
      <c r="E16">
        <v>1</v>
      </c>
      <c r="F16" t="s">
        <v>13</v>
      </c>
      <c r="G16" s="3">
        <v>-3.6487580000000002E-3</v>
      </c>
      <c r="H16" s="3">
        <v>-3.1771659999999999E-3</v>
      </c>
      <c r="I16" s="3">
        <v>-1.8134119999999999E-3</v>
      </c>
      <c r="J16" s="3">
        <v>5.4140090000000002E-2</v>
      </c>
      <c r="K16" s="3">
        <v>-3.3283229999999998E-3</v>
      </c>
      <c r="L16" s="3">
        <v>-4.8594470000000002E-3</v>
      </c>
      <c r="M16" s="3">
        <v>-6.0095790000000001E-3</v>
      </c>
      <c r="N16" s="3">
        <v>-4.3959619999999998E-3</v>
      </c>
      <c r="O16" s="3">
        <v>-6.1783790000000003E-3</v>
      </c>
      <c r="P16" s="3">
        <v>-4.2009350000000003E-3</v>
      </c>
      <c r="Q16" s="3">
        <v>-3.8228030000000001E-3</v>
      </c>
      <c r="R16">
        <v>-1.6674999999999999E-3</v>
      </c>
      <c r="S16" s="3">
        <v>-6.9618230000000004E-4</v>
      </c>
      <c r="T16" s="3">
        <v>3.2172199999999998E-3</v>
      </c>
      <c r="U16" s="3">
        <v>8.0962180000000005E-3</v>
      </c>
      <c r="V16" s="3">
        <v>1.301336E-2</v>
      </c>
    </row>
    <row r="17" spans="1:22" x14ac:dyDescent="0.25">
      <c r="A17" t="s">
        <v>101</v>
      </c>
    </row>
    <row r="18" spans="1:22" x14ac:dyDescent="0.25">
      <c r="A18">
        <v>984.87599999999998</v>
      </c>
      <c r="B18">
        <v>9116</v>
      </c>
      <c r="C18">
        <v>6742</v>
      </c>
      <c r="D18">
        <v>1</v>
      </c>
      <c r="E18">
        <v>1</v>
      </c>
      <c r="F18" t="s">
        <v>13</v>
      </c>
      <c r="G18" s="3">
        <v>7.9541209999999998E-3</v>
      </c>
      <c r="H18" s="3">
        <v>-3.6624909999999997E-2</v>
      </c>
      <c r="I18" s="3">
        <v>-3.4498210000000001E-2</v>
      </c>
      <c r="J18" s="3">
        <v>6.0400490000000001E-2</v>
      </c>
      <c r="K18">
        <v>-2.6045800000000001E-2</v>
      </c>
      <c r="L18" s="3">
        <v>-2.1004679999999999E-3</v>
      </c>
      <c r="M18" s="3">
        <v>-2.3088930000000001E-2</v>
      </c>
      <c r="N18" s="3">
        <v>-2.0138260000000002E-2</v>
      </c>
      <c r="O18" s="3">
        <v>-1.7039780000000001E-2</v>
      </c>
      <c r="P18" s="3">
        <v>5.0449849999999997E-2</v>
      </c>
      <c r="Q18" s="3">
        <v>-1.3370989999999999E-2</v>
      </c>
      <c r="R18" s="3">
        <v>-1.279593E-2</v>
      </c>
      <c r="S18" s="3">
        <v>1.735592E-2</v>
      </c>
      <c r="T18" s="3">
        <v>-8.2764629999999995E-3</v>
      </c>
      <c r="U18" s="3">
        <v>-5.60379E-3</v>
      </c>
      <c r="V18" s="3">
        <v>-4.4732089999999997E-3</v>
      </c>
    </row>
    <row r="19" spans="1:22" x14ac:dyDescent="0.25">
      <c r="A19">
        <v>984.89499999999998</v>
      </c>
      <c r="B19">
        <v>9116</v>
      </c>
      <c r="C19">
        <v>6744</v>
      </c>
      <c r="D19">
        <v>1</v>
      </c>
      <c r="E19">
        <v>1</v>
      </c>
      <c r="F19" t="s">
        <v>13</v>
      </c>
      <c r="G19" s="3">
        <v>-3.8294790000000002E-3</v>
      </c>
      <c r="H19" s="3">
        <v>-3.1256679999999998E-3</v>
      </c>
      <c r="I19" s="3">
        <v>-2.3555759999999999E-3</v>
      </c>
      <c r="J19" s="3">
        <v>5.2758689999999997E-2</v>
      </c>
      <c r="K19" s="3">
        <v>-3.3307079999999999E-3</v>
      </c>
      <c r="L19" s="3">
        <v>-4.6830179999999997E-3</v>
      </c>
      <c r="M19" s="3">
        <v>-7.0476530000000001E-3</v>
      </c>
      <c r="N19" s="3">
        <v>-6.0281750000000002E-3</v>
      </c>
      <c r="O19" s="3">
        <v>-7.1811679999999999E-3</v>
      </c>
      <c r="P19" s="3">
        <v>-5.4845809999999997E-3</v>
      </c>
      <c r="Q19" s="3">
        <v>-5.4421419999999996E-3</v>
      </c>
      <c r="R19" s="3">
        <v>-3.8361549999999999E-3</v>
      </c>
      <c r="S19" s="3">
        <v>-1.8815990000000001E-3</v>
      </c>
      <c r="T19" s="3">
        <v>6.7949299999999998E-4</v>
      </c>
      <c r="U19" s="3">
        <v>5.9103970000000004E-3</v>
      </c>
      <c r="V19" s="3">
        <v>9.9983220000000005E-3</v>
      </c>
    </row>
    <row r="20" spans="1:22" x14ac:dyDescent="0.25">
      <c r="A20" t="s">
        <v>102</v>
      </c>
    </row>
    <row r="21" spans="1:22" x14ac:dyDescent="0.25">
      <c r="A21">
        <v>994.673</v>
      </c>
      <c r="B21">
        <v>9116</v>
      </c>
      <c r="C21">
        <v>6742</v>
      </c>
      <c r="D21">
        <v>1</v>
      </c>
      <c r="E21">
        <v>1</v>
      </c>
      <c r="F21" t="s">
        <v>13</v>
      </c>
      <c r="G21" s="3">
        <v>1.306534E-2</v>
      </c>
      <c r="H21" s="3">
        <v>-2.8232569999999999E-2</v>
      </c>
      <c r="I21">
        <v>-2.7505399999999999E-2</v>
      </c>
      <c r="J21" s="3">
        <v>5.8351519999999997E-2</v>
      </c>
      <c r="K21" s="3">
        <v>-2.2797580000000001E-2</v>
      </c>
      <c r="L21" s="3">
        <v>-1.9283289999999999E-3</v>
      </c>
      <c r="M21" s="3">
        <v>-2.1509170000000001E-2</v>
      </c>
      <c r="N21" s="3">
        <v>-1.787472E-2</v>
      </c>
      <c r="O21" s="3">
        <v>-1.6174319999999999E-2</v>
      </c>
      <c r="P21" s="3">
        <v>4.9412249999999998E-2</v>
      </c>
      <c r="Q21" s="3">
        <v>-1.2505530000000001E-2</v>
      </c>
      <c r="R21" s="3">
        <v>-1.141548E-2</v>
      </c>
      <c r="S21" s="3">
        <v>1.5763280000000001E-2</v>
      </c>
      <c r="T21" s="3">
        <v>-8.2764629999999995E-3</v>
      </c>
      <c r="U21" s="3">
        <v>-5.2399639999999997E-3</v>
      </c>
      <c r="V21" s="3">
        <v>-4.8341749999999996E-3</v>
      </c>
    </row>
    <row r="22" spans="1:22" x14ac:dyDescent="0.25">
      <c r="A22">
        <v>994.69799999999998</v>
      </c>
      <c r="B22">
        <v>9116</v>
      </c>
      <c r="C22">
        <v>6744</v>
      </c>
      <c r="D22">
        <v>1</v>
      </c>
      <c r="E22">
        <v>1</v>
      </c>
      <c r="F22" t="s">
        <v>13</v>
      </c>
      <c r="G22" s="3">
        <v>-4.1918750000000003E-3</v>
      </c>
      <c r="H22" s="3">
        <v>-4.1990279999999996E-3</v>
      </c>
      <c r="I22" s="3">
        <v>-2.3555759999999999E-3</v>
      </c>
      <c r="J22" s="3">
        <v>5.0341129999999998E-2</v>
      </c>
      <c r="K22" s="3">
        <v>-3.5109519999999999E-3</v>
      </c>
      <c r="L22" s="3">
        <v>-5.2180289999999999E-3</v>
      </c>
      <c r="M22" s="3">
        <v>-7.9131129999999994E-3</v>
      </c>
      <c r="N22" s="3">
        <v>-7.2984699999999996E-3</v>
      </c>
      <c r="O22" s="3">
        <v>-8.7914470000000008E-3</v>
      </c>
      <c r="P22" s="3">
        <v>-7.134914E-3</v>
      </c>
      <c r="Q22" s="3">
        <v>-7.6017380000000002E-3</v>
      </c>
      <c r="R22" s="3">
        <v>-6.1759950000000001E-3</v>
      </c>
      <c r="S22" s="3">
        <v>-5.1980020000000002E-3</v>
      </c>
      <c r="T22" s="3">
        <v>-2.2182460000000001E-3</v>
      </c>
      <c r="U22" s="3">
        <v>1.539707E-3</v>
      </c>
      <c r="V22" s="3">
        <v>6.4377779999999999E-3</v>
      </c>
    </row>
    <row r="23" spans="1:22" x14ac:dyDescent="0.25">
      <c r="A23" t="s">
        <v>103</v>
      </c>
    </row>
    <row r="24" spans="1:22" x14ac:dyDescent="0.25">
      <c r="A24">
        <v>1003.854</v>
      </c>
      <c r="B24">
        <v>9116</v>
      </c>
      <c r="C24">
        <v>6742</v>
      </c>
      <c r="D24">
        <v>1</v>
      </c>
      <c r="E24">
        <v>1</v>
      </c>
      <c r="F24" t="s">
        <v>13</v>
      </c>
      <c r="G24" s="3">
        <v>1.729727E-2</v>
      </c>
      <c r="H24" s="3">
        <v>-1.9651410000000001E-2</v>
      </c>
      <c r="I24" s="3">
        <v>-2.187824E-2</v>
      </c>
      <c r="J24" s="3">
        <v>5.7690140000000001E-2</v>
      </c>
      <c r="K24" s="3">
        <v>-1.9208909999999999E-2</v>
      </c>
      <c r="L24" s="3">
        <v>-1.742363E-3</v>
      </c>
      <c r="M24">
        <v>-1.8700600000000001E-2</v>
      </c>
      <c r="N24" s="3">
        <v>-1.6139029999999999E-2</v>
      </c>
      <c r="O24" s="3">
        <v>-1.479101E-2</v>
      </c>
      <c r="P24" s="3">
        <v>4.8893930000000002E-2</v>
      </c>
      <c r="Q24" s="3">
        <v>-1.1640070000000001E-2</v>
      </c>
      <c r="R24" s="3">
        <v>-1.038027E-2</v>
      </c>
      <c r="S24" s="3">
        <v>1.4877319999999999E-2</v>
      </c>
      <c r="T24" s="3">
        <v>-8.448601E-3</v>
      </c>
      <c r="U24" s="3">
        <v>-5.7859419999999996E-3</v>
      </c>
      <c r="V24" s="3">
        <v>-3.8189890000000001E-3</v>
      </c>
    </row>
    <row r="25" spans="1:22" x14ac:dyDescent="0.25">
      <c r="A25">
        <v>1003.878</v>
      </c>
      <c r="B25">
        <v>9116</v>
      </c>
      <c r="C25">
        <v>6744</v>
      </c>
      <c r="D25">
        <v>1</v>
      </c>
      <c r="E25">
        <v>1</v>
      </c>
      <c r="F25" t="s">
        <v>13</v>
      </c>
      <c r="G25" s="3">
        <v>-3.1051640000000001E-3</v>
      </c>
      <c r="H25" s="3">
        <v>-4.0197369999999998E-3</v>
      </c>
      <c r="I25" s="3">
        <v>-3.8070679999999998E-3</v>
      </c>
      <c r="J25" s="3">
        <v>4.8448560000000002E-2</v>
      </c>
      <c r="K25" s="3">
        <v>-4.4126510000000001E-3</v>
      </c>
      <c r="L25" s="3">
        <v>-5.9313769999999998E-3</v>
      </c>
      <c r="M25" s="3">
        <v>-8.9526180000000007E-3</v>
      </c>
      <c r="N25" s="3">
        <v>-8.7666510000000003E-3</v>
      </c>
      <c r="O25">
        <v>-1.00441E-2</v>
      </c>
      <c r="P25" s="3">
        <v>-9.5195769999999996E-3</v>
      </c>
      <c r="Q25">
        <v>-9.7785000000000007E-3</v>
      </c>
      <c r="R25" s="3">
        <v>-9.2349049999999999E-3</v>
      </c>
      <c r="S25" s="3">
        <v>-8.4791180000000008E-3</v>
      </c>
      <c r="T25" s="3">
        <v>-6.3867569999999999E-3</v>
      </c>
      <c r="U25" s="3">
        <v>-2.8305050000000001E-3</v>
      </c>
      <c r="V25" s="3">
        <v>1.441002E-3</v>
      </c>
    </row>
    <row r="26" spans="1:22" x14ac:dyDescent="0.25">
      <c r="A26" t="s">
        <v>104</v>
      </c>
    </row>
    <row r="27" spans="1:22" x14ac:dyDescent="0.25">
      <c r="A27">
        <v>1013.241</v>
      </c>
      <c r="B27">
        <v>9116</v>
      </c>
      <c r="C27">
        <v>6742</v>
      </c>
      <c r="D27">
        <v>1</v>
      </c>
      <c r="E27">
        <v>1</v>
      </c>
      <c r="F27" t="s">
        <v>13</v>
      </c>
      <c r="G27" s="3">
        <v>1.9073010000000001E-2</v>
      </c>
      <c r="H27" s="3">
        <v>-1.2318610000000001E-2</v>
      </c>
      <c r="I27" s="3">
        <v>-1.6636850000000002E-2</v>
      </c>
      <c r="J27" s="3">
        <v>5.4445739999999999E-2</v>
      </c>
      <c r="K27" s="3">
        <v>-1.612282E-2</v>
      </c>
      <c r="L27" s="3">
        <v>-1.570702E-3</v>
      </c>
      <c r="M27" s="3">
        <v>-1.7073629999999999E-2</v>
      </c>
      <c r="N27" s="3">
        <v>-1.457644E-2</v>
      </c>
      <c r="O27" s="3">
        <v>-1.3319020000000001E-2</v>
      </c>
      <c r="P27" s="3">
        <v>4.856825E-2</v>
      </c>
      <c r="Q27" s="3">
        <v>-1.0775089999999999E-2</v>
      </c>
      <c r="R27" s="3">
        <v>-1.0036949999999999E-2</v>
      </c>
      <c r="S27" s="3">
        <v>1.204586E-2</v>
      </c>
      <c r="T27" s="3">
        <v>-7.4100490000000001E-3</v>
      </c>
      <c r="U27" s="3">
        <v>-6.1297419999999997E-3</v>
      </c>
      <c r="V27" s="3">
        <v>-2.4433139999999998E-3</v>
      </c>
    </row>
    <row r="28" spans="1:22" x14ac:dyDescent="0.25">
      <c r="A28">
        <v>1013.264</v>
      </c>
      <c r="B28">
        <v>9116</v>
      </c>
      <c r="C28">
        <v>6744</v>
      </c>
      <c r="D28">
        <v>1</v>
      </c>
      <c r="E28">
        <v>1</v>
      </c>
      <c r="F28" t="s">
        <v>13</v>
      </c>
      <c r="G28" s="3">
        <v>-2.384663E-3</v>
      </c>
      <c r="H28" s="3">
        <v>-2.1810530000000001E-3</v>
      </c>
      <c r="I28" s="3">
        <v>-4.1732790000000002E-3</v>
      </c>
      <c r="J28" s="3">
        <v>4.534531E-2</v>
      </c>
      <c r="K28" s="3">
        <v>-5.135059E-3</v>
      </c>
      <c r="L28" s="3">
        <v>-7.1830749999999997E-3</v>
      </c>
      <c r="M28" s="3">
        <v>-1.0497569999999999E-2</v>
      </c>
      <c r="N28" s="3">
        <v>-1.0209559999999999E-2</v>
      </c>
      <c r="O28" s="3">
        <v>-1.229858E-2</v>
      </c>
      <c r="P28" s="3">
        <v>-1.1353490000000001E-2</v>
      </c>
      <c r="Q28" s="3">
        <v>-1.193953E-2</v>
      </c>
      <c r="R28">
        <v>-1.2115000000000001E-2</v>
      </c>
      <c r="S28" s="3">
        <v>-1.113081E-2</v>
      </c>
      <c r="T28" s="3">
        <v>-9.8280910000000006E-3</v>
      </c>
      <c r="U28" s="3">
        <v>-7.3847770000000004E-3</v>
      </c>
      <c r="V28" s="3">
        <v>-4.2443280000000003E-3</v>
      </c>
    </row>
    <row r="29" spans="1:22" x14ac:dyDescent="0.25">
      <c r="A29" t="s">
        <v>105</v>
      </c>
    </row>
    <row r="30" spans="1:22" x14ac:dyDescent="0.25">
      <c r="A30">
        <v>1022.513</v>
      </c>
      <c r="B30">
        <v>9116</v>
      </c>
      <c r="C30">
        <v>6742</v>
      </c>
      <c r="D30">
        <v>1</v>
      </c>
      <c r="E30">
        <v>1</v>
      </c>
      <c r="F30" t="s">
        <v>13</v>
      </c>
      <c r="G30" s="3">
        <v>2.048349E-2</v>
      </c>
      <c r="H30" s="3">
        <v>-5.4998399999999998E-3</v>
      </c>
      <c r="I30" s="3">
        <v>-1.051712E-2</v>
      </c>
      <c r="J30" s="3">
        <v>5.1201339999999998E-2</v>
      </c>
      <c r="K30" s="3">
        <v>-1.270342E-2</v>
      </c>
      <c r="L30" s="3">
        <v>-1.398563E-3</v>
      </c>
      <c r="M30" s="3">
        <v>-1.443958E-2</v>
      </c>
      <c r="N30" s="3">
        <v>-1.2487409999999999E-2</v>
      </c>
      <c r="O30" s="3">
        <v>-1.1761189999999999E-2</v>
      </c>
      <c r="P30" s="3">
        <v>4.787636E-2</v>
      </c>
      <c r="Q30" s="3">
        <v>-9.5629689999999993E-3</v>
      </c>
      <c r="R30" s="3">
        <v>-9.0012549999999997E-3</v>
      </c>
      <c r="S30" s="3">
        <v>9.3913079999999993E-3</v>
      </c>
      <c r="T30" s="3">
        <v>-7.0643420000000004E-3</v>
      </c>
      <c r="U30" s="3">
        <v>-5.94759E-3</v>
      </c>
      <c r="V30" s="3">
        <v>-2.9854769999999998E-3</v>
      </c>
    </row>
    <row r="31" spans="1:22" x14ac:dyDescent="0.25">
      <c r="A31">
        <v>1022.535</v>
      </c>
      <c r="B31">
        <v>9116</v>
      </c>
      <c r="C31">
        <v>6744</v>
      </c>
      <c r="D31">
        <v>1</v>
      </c>
      <c r="E31">
        <v>1</v>
      </c>
      <c r="F31" t="s">
        <v>13</v>
      </c>
      <c r="G31" s="3">
        <v>-2.2034649999999999E-3</v>
      </c>
      <c r="H31" s="3">
        <v>-1.286983E-3</v>
      </c>
      <c r="I31" s="3">
        <v>-3.2696719999999999E-3</v>
      </c>
      <c r="J31" s="3">
        <v>4.1891570000000003E-2</v>
      </c>
      <c r="K31" s="3">
        <v>-6.216526E-3</v>
      </c>
      <c r="L31" s="3">
        <v>-7.7185630000000003E-3</v>
      </c>
      <c r="M31" s="3">
        <v>-1.153564E-2</v>
      </c>
      <c r="N31">
        <v>-1.2024399999999999E-2</v>
      </c>
      <c r="O31" s="3">
        <v>-1.3371940000000001E-2</v>
      </c>
      <c r="P31">
        <v>-1.28212E-2</v>
      </c>
      <c r="Q31" s="3">
        <v>-1.3919829999999999E-2</v>
      </c>
      <c r="R31" s="3">
        <v>-1.4454359999999999E-2</v>
      </c>
      <c r="S31" s="3">
        <v>-1.427221E-2</v>
      </c>
      <c r="T31" s="3">
        <v>-1.290703E-2</v>
      </c>
      <c r="U31" s="3">
        <v>-1.1937140000000001E-2</v>
      </c>
      <c r="V31" s="3">
        <v>-1.0119919999999999E-2</v>
      </c>
    </row>
    <row r="32" spans="1:22" x14ac:dyDescent="0.25">
      <c r="A32" t="s">
        <v>106</v>
      </c>
    </row>
    <row r="33" spans="1:22" x14ac:dyDescent="0.25">
      <c r="A33">
        <v>1032.365</v>
      </c>
      <c r="B33">
        <v>9116</v>
      </c>
      <c r="C33">
        <v>6742</v>
      </c>
      <c r="D33">
        <v>1</v>
      </c>
      <c r="E33">
        <v>1</v>
      </c>
      <c r="F33" t="s">
        <v>13</v>
      </c>
      <c r="G33" s="3">
        <v>1.9248009999999999E-2</v>
      </c>
      <c r="H33" s="3">
        <v>2.6226039999999997E-4</v>
      </c>
      <c r="I33" s="3">
        <v>-5.622864E-3</v>
      </c>
      <c r="J33" s="3">
        <v>4.8851489999999997E-2</v>
      </c>
      <c r="K33" s="3">
        <v>-9.8013879999999994E-3</v>
      </c>
      <c r="L33" s="3">
        <v>-1.384735E-3</v>
      </c>
      <c r="M33" s="3">
        <v>-1.298761E-2</v>
      </c>
      <c r="N33" s="3">
        <v>-1.0915279999999999E-2</v>
      </c>
      <c r="O33" s="3">
        <v>-1.0114669999999999E-2</v>
      </c>
      <c r="P33" s="3">
        <v>4.7550679999999998E-2</v>
      </c>
      <c r="Q33" s="3">
        <v>-8.2912449999999992E-3</v>
      </c>
      <c r="R33" s="3">
        <v>-7.7357290000000002E-3</v>
      </c>
      <c r="S33" s="3">
        <v>7.8020099999999998E-3</v>
      </c>
      <c r="T33" s="3">
        <v>-5.8560369999999997E-3</v>
      </c>
      <c r="U33" s="3">
        <v>-4.8551560000000002E-3</v>
      </c>
      <c r="V33" s="3">
        <v>-4.7235489999999996E-3</v>
      </c>
    </row>
    <row r="34" spans="1:22" x14ac:dyDescent="0.25">
      <c r="A34">
        <v>1032.386</v>
      </c>
      <c r="B34">
        <v>9116</v>
      </c>
      <c r="C34">
        <v>6744</v>
      </c>
      <c r="D34">
        <v>1</v>
      </c>
      <c r="E34">
        <v>1</v>
      </c>
      <c r="F34" t="s">
        <v>13</v>
      </c>
      <c r="G34" s="3">
        <v>-2.3865700000000002E-3</v>
      </c>
      <c r="H34" s="3">
        <v>-1.005173E-3</v>
      </c>
      <c r="I34" s="3">
        <v>-2.7246480000000001E-3</v>
      </c>
      <c r="J34" s="3">
        <v>3.9987559999999998E-2</v>
      </c>
      <c r="K34" s="3">
        <v>-6.5770150000000003E-3</v>
      </c>
      <c r="L34" s="3">
        <v>-8.2559590000000002E-3</v>
      </c>
      <c r="M34" s="3">
        <v>-1.221466E-2</v>
      </c>
      <c r="N34" s="3">
        <v>-1.275826E-2</v>
      </c>
      <c r="O34">
        <v>-1.5048499999999999E-2</v>
      </c>
      <c r="P34" s="3">
        <v>-1.4471049999999999E-2</v>
      </c>
      <c r="Q34" s="3">
        <v>-1.6087529999999999E-2</v>
      </c>
      <c r="R34" s="3">
        <v>-1.7159460000000001E-2</v>
      </c>
      <c r="S34" s="3">
        <v>-1.7901420000000001E-2</v>
      </c>
      <c r="T34" s="3">
        <v>-1.7437459999999998E-2</v>
      </c>
      <c r="U34" s="3">
        <v>-1.7035959999999999E-2</v>
      </c>
      <c r="V34" s="3">
        <v>-1.668501E-2</v>
      </c>
    </row>
    <row r="35" spans="1:22" x14ac:dyDescent="0.25">
      <c r="A35" t="s">
        <v>107</v>
      </c>
    </row>
    <row r="36" spans="1:22" x14ac:dyDescent="0.25">
      <c r="A36">
        <v>1042.1769999999999</v>
      </c>
      <c r="B36">
        <v>9116</v>
      </c>
      <c r="C36">
        <v>6742</v>
      </c>
      <c r="D36">
        <v>1</v>
      </c>
      <c r="E36">
        <v>1</v>
      </c>
      <c r="F36" t="s">
        <v>13</v>
      </c>
      <c r="G36" s="3">
        <v>1.6956329999999999E-2</v>
      </c>
      <c r="H36" s="3">
        <v>6.2079429999999996E-3</v>
      </c>
      <c r="I36" s="3">
        <v>-5.5170060000000001E-4</v>
      </c>
      <c r="J36" s="3">
        <v>4.7826769999999998E-2</v>
      </c>
      <c r="K36" s="3">
        <v>-5.6982040000000001E-3</v>
      </c>
      <c r="L36" s="3">
        <v>-8.6784359999999997E-4</v>
      </c>
      <c r="M36" s="3">
        <v>-1.000214E-2</v>
      </c>
      <c r="N36" s="3">
        <v>-8.4776880000000006E-3</v>
      </c>
      <c r="O36" s="3">
        <v>-7.8649519999999997E-3</v>
      </c>
      <c r="P36" s="3">
        <v>4.685926E-2</v>
      </c>
      <c r="Q36" s="3">
        <v>-7.4253080000000003E-3</v>
      </c>
      <c r="R36" s="3">
        <v>-6.527901E-3</v>
      </c>
      <c r="S36" s="3">
        <v>6.0319900000000001E-3</v>
      </c>
      <c r="T36" s="3">
        <v>-5.1655770000000002E-3</v>
      </c>
      <c r="U36" s="3">
        <v>-3.762722E-3</v>
      </c>
      <c r="V36" s="3">
        <v>-4.1818619999999997E-3</v>
      </c>
    </row>
    <row r="37" spans="1:22" x14ac:dyDescent="0.25">
      <c r="A37">
        <v>1042.1969999999999</v>
      </c>
      <c r="B37">
        <v>9116</v>
      </c>
      <c r="C37">
        <v>6744</v>
      </c>
      <c r="D37">
        <v>1</v>
      </c>
      <c r="E37">
        <v>1</v>
      </c>
      <c r="F37" t="s">
        <v>13</v>
      </c>
      <c r="G37" s="3">
        <v>-3.837109E-3</v>
      </c>
      <c r="H37" s="3">
        <v>-1.3628010000000001E-3</v>
      </c>
      <c r="I37" s="3">
        <v>-3.2668110000000001E-3</v>
      </c>
      <c r="J37" s="3">
        <v>3.895092E-2</v>
      </c>
      <c r="K37" s="3">
        <v>-6.2160490000000004E-3</v>
      </c>
      <c r="L37" s="3">
        <v>-8.9697839999999997E-3</v>
      </c>
      <c r="M37" s="3">
        <v>-1.377249E-2</v>
      </c>
      <c r="N37">
        <v>-1.45731E-2</v>
      </c>
      <c r="O37" s="3">
        <v>-1.7016409999999999E-2</v>
      </c>
      <c r="P37" s="3">
        <v>-1.6855720000000001E-2</v>
      </c>
      <c r="Q37" s="3">
        <v>-1.878786E-2</v>
      </c>
      <c r="R37" s="3">
        <v>-2.0578860000000001E-2</v>
      </c>
      <c r="S37">
        <v>-2.1218299999999999E-2</v>
      </c>
      <c r="T37" s="3">
        <v>-2.1603109999999998E-2</v>
      </c>
      <c r="U37" s="3">
        <v>-2.3045059999999999E-2</v>
      </c>
      <c r="V37" s="3">
        <v>-2.4518970000000001E-2</v>
      </c>
    </row>
    <row r="38" spans="1:22" x14ac:dyDescent="0.25">
      <c r="A38" t="s">
        <v>108</v>
      </c>
    </row>
    <row r="39" spans="1:22" x14ac:dyDescent="0.25">
      <c r="A39">
        <v>1050.991</v>
      </c>
      <c r="B39">
        <v>9116</v>
      </c>
      <c r="C39">
        <v>6742</v>
      </c>
      <c r="D39">
        <v>1</v>
      </c>
      <c r="E39">
        <v>1</v>
      </c>
      <c r="F39" t="s">
        <v>13</v>
      </c>
      <c r="G39" s="3">
        <v>1.202774E-2</v>
      </c>
      <c r="H39" s="3">
        <v>1.1020179999999999E-2</v>
      </c>
      <c r="I39" s="3">
        <v>4.0612219999999997E-3</v>
      </c>
      <c r="J39" s="3">
        <v>4.490471E-2</v>
      </c>
      <c r="K39" s="3">
        <v>-3.1290049999999998E-3</v>
      </c>
      <c r="L39" s="3">
        <v>-8.6784359999999997E-4</v>
      </c>
      <c r="M39" s="3">
        <v>-7.1458820000000001E-3</v>
      </c>
      <c r="N39" s="3">
        <v>-6.392956E-3</v>
      </c>
      <c r="O39" s="3">
        <v>-5.7835580000000003E-3</v>
      </c>
      <c r="P39" s="3">
        <v>4.6705719999999999E-2</v>
      </c>
      <c r="Q39" s="3">
        <v>-5.9819219999999998E-3</v>
      </c>
      <c r="R39" s="3">
        <v>-5.6667330000000002E-3</v>
      </c>
      <c r="S39" s="3">
        <v>4.0893550000000002E-3</v>
      </c>
      <c r="T39" s="3">
        <v>-4.2991640000000003E-3</v>
      </c>
      <c r="U39" s="3">
        <v>-3.0145649999999999E-3</v>
      </c>
      <c r="V39" s="3">
        <v>-2.1500590000000002E-3</v>
      </c>
    </row>
    <row r="40" spans="1:22" x14ac:dyDescent="0.25">
      <c r="A40">
        <v>1051.01</v>
      </c>
      <c r="B40">
        <v>9116</v>
      </c>
      <c r="C40">
        <v>6744</v>
      </c>
      <c r="D40">
        <v>1</v>
      </c>
      <c r="E40">
        <v>1</v>
      </c>
      <c r="F40" t="s">
        <v>13</v>
      </c>
      <c r="G40" s="3">
        <v>-2.9296880000000002E-3</v>
      </c>
      <c r="H40" s="3">
        <v>-3.0236239999999999E-3</v>
      </c>
      <c r="I40" s="3">
        <v>-3.8146970000000001E-3</v>
      </c>
      <c r="J40" s="3">
        <v>3.6021230000000001E-2</v>
      </c>
      <c r="K40" s="3">
        <v>-6.4015390000000004E-3</v>
      </c>
      <c r="L40" s="3">
        <v>-9.1505049999999998E-3</v>
      </c>
      <c r="M40" s="3">
        <v>-1.5316959999999999E-2</v>
      </c>
      <c r="N40" s="3">
        <v>-1.6222480000000001E-2</v>
      </c>
      <c r="O40" s="3">
        <v>-1.8846990000000001E-2</v>
      </c>
      <c r="P40" s="3">
        <v>-1.8873689999999999E-2</v>
      </c>
      <c r="Q40" s="3">
        <v>-2.166891E-2</v>
      </c>
      <c r="R40" s="3">
        <v>-2.3998740000000001E-2</v>
      </c>
      <c r="S40" s="3">
        <v>-2.5197029999999999E-2</v>
      </c>
      <c r="T40" s="3">
        <v>-2.6494029999999998E-2</v>
      </c>
      <c r="U40" s="3">
        <v>-3.0332089999999999E-2</v>
      </c>
      <c r="V40" s="3">
        <v>-3.3766749999999998E-2</v>
      </c>
    </row>
    <row r="41" spans="1:22" x14ac:dyDescent="0.25">
      <c r="A41" t="s">
        <v>109</v>
      </c>
    </row>
    <row r="42" spans="1:22" x14ac:dyDescent="0.25">
      <c r="A42">
        <v>1060.8889999999999</v>
      </c>
      <c r="B42">
        <v>9116</v>
      </c>
      <c r="C42">
        <v>6742</v>
      </c>
      <c r="D42">
        <v>1</v>
      </c>
      <c r="E42">
        <v>1</v>
      </c>
      <c r="F42" t="s">
        <v>13</v>
      </c>
      <c r="G42" s="3">
        <v>5.1388739999999999E-3</v>
      </c>
      <c r="H42" s="3">
        <v>1.406336E-2</v>
      </c>
      <c r="I42" s="3">
        <v>7.3461530000000002E-3</v>
      </c>
      <c r="J42" s="3">
        <v>4.2343619999999998E-2</v>
      </c>
      <c r="K42" s="3">
        <v>-5.6409839999999999E-4</v>
      </c>
      <c r="L42" s="3">
        <v>-1.027584E-3</v>
      </c>
      <c r="M42" s="3">
        <v>-5.4893490000000001E-3</v>
      </c>
      <c r="N42" s="3">
        <v>-4.8255920000000001E-3</v>
      </c>
      <c r="O42" s="3">
        <v>-4.9262050000000003E-3</v>
      </c>
      <c r="P42" s="3">
        <v>4.6320920000000002E-2</v>
      </c>
      <c r="Q42" s="3">
        <v>-4.8303599999999997E-3</v>
      </c>
      <c r="R42" s="3">
        <v>-4.9767489999999999E-3</v>
      </c>
      <c r="S42">
        <v>1.9659999999999999E-3</v>
      </c>
      <c r="T42" s="3">
        <v>-3.7846569999999999E-3</v>
      </c>
      <c r="U42" s="3">
        <v>-2.3069380000000001E-3</v>
      </c>
      <c r="V42" s="3">
        <v>-2.5572780000000001E-3</v>
      </c>
    </row>
    <row r="43" spans="1:22" x14ac:dyDescent="0.25">
      <c r="A43">
        <v>1060.9090000000001</v>
      </c>
      <c r="B43">
        <v>9116</v>
      </c>
      <c r="C43">
        <v>6744</v>
      </c>
      <c r="D43">
        <v>1</v>
      </c>
      <c r="E43">
        <v>1</v>
      </c>
      <c r="F43" t="s">
        <v>13</v>
      </c>
      <c r="G43" s="3">
        <v>-1.6617769999999999E-3</v>
      </c>
      <c r="H43" s="3">
        <v>-2.1276469999999999E-3</v>
      </c>
      <c r="I43" s="3">
        <v>-3.9925580000000002E-3</v>
      </c>
      <c r="J43" s="3">
        <v>3.326225E-2</v>
      </c>
      <c r="K43" s="3">
        <v>-7.1210860000000004E-3</v>
      </c>
      <c r="L43" s="3">
        <v>-9.5071789999999993E-3</v>
      </c>
      <c r="M43" s="3">
        <v>-1.6354560000000001E-2</v>
      </c>
      <c r="N43" s="3">
        <v>-1.7121790000000001E-2</v>
      </c>
      <c r="O43" s="3">
        <v>-1.992035E-2</v>
      </c>
      <c r="P43" s="3">
        <v>-2.0709040000000001E-2</v>
      </c>
      <c r="Q43" s="3">
        <v>-2.3124220000000001E-2</v>
      </c>
      <c r="R43" s="3">
        <v>-2.6164050000000001E-2</v>
      </c>
      <c r="S43" s="3">
        <v>-2.8511519999999999E-2</v>
      </c>
      <c r="T43" s="3">
        <v>-3.0483719999999999E-2</v>
      </c>
      <c r="U43" s="3">
        <v>-3.5613060000000002E-2</v>
      </c>
      <c r="V43" s="3">
        <v>-4.1787619999999998E-2</v>
      </c>
    </row>
    <row r="44" spans="1:22" x14ac:dyDescent="0.25">
      <c r="A44" t="s">
        <v>110</v>
      </c>
    </row>
    <row r="45" spans="1:22" x14ac:dyDescent="0.25">
      <c r="A45">
        <v>1070.4359999999999</v>
      </c>
      <c r="B45">
        <v>9116</v>
      </c>
      <c r="C45">
        <v>6742</v>
      </c>
      <c r="D45">
        <v>1</v>
      </c>
      <c r="E45">
        <v>1</v>
      </c>
      <c r="F45" t="s">
        <v>13</v>
      </c>
      <c r="G45" s="3">
        <v>-1.382351E-3</v>
      </c>
      <c r="H45" s="3">
        <v>1.5461920000000001E-2</v>
      </c>
      <c r="I45" s="3">
        <v>9.7937579999999996E-3</v>
      </c>
      <c r="J45" s="3">
        <v>3.8415909999999998E-2</v>
      </c>
      <c r="K45" s="3">
        <v>1.829624E-3</v>
      </c>
      <c r="L45" s="3">
        <v>-1.1997220000000001E-3</v>
      </c>
      <c r="M45" s="3">
        <v>-3.558159E-3</v>
      </c>
      <c r="N45" s="3">
        <v>-3.6072729999999998E-3</v>
      </c>
      <c r="O45" s="3">
        <v>-3.7150379999999999E-3</v>
      </c>
      <c r="P45" s="3">
        <v>4.5802120000000002E-2</v>
      </c>
      <c r="Q45" s="3">
        <v>-3.9644240000000002E-3</v>
      </c>
      <c r="R45" s="3">
        <v>-4.2862890000000004E-3</v>
      </c>
      <c r="S45" s="3">
        <v>-5.1164630000000003E-4</v>
      </c>
      <c r="T45" s="3">
        <v>-3.7846569999999999E-3</v>
      </c>
      <c r="U45" s="3">
        <v>-2.3069380000000001E-3</v>
      </c>
      <c r="V45" s="3">
        <v>-2.0151140000000001E-3</v>
      </c>
    </row>
    <row r="46" spans="1:22" x14ac:dyDescent="0.25">
      <c r="A46">
        <v>1070.454</v>
      </c>
      <c r="B46">
        <v>9116</v>
      </c>
      <c r="C46">
        <v>6744</v>
      </c>
      <c r="D46">
        <v>1</v>
      </c>
      <c r="E46">
        <v>1</v>
      </c>
      <c r="F46" t="s">
        <v>13</v>
      </c>
      <c r="G46" s="3">
        <v>-1.298904E-3</v>
      </c>
      <c r="H46" s="3">
        <v>-2.1276469999999999E-3</v>
      </c>
      <c r="I46" s="3">
        <v>-3.4503939999999999E-3</v>
      </c>
      <c r="J46" s="3">
        <v>2.8772349999999999E-2</v>
      </c>
      <c r="K46" s="3">
        <v>-6.9403650000000004E-3</v>
      </c>
      <c r="L46" s="3">
        <v>-9.6855159999999999E-3</v>
      </c>
      <c r="M46" s="3">
        <v>-1.5661720000000001E-2</v>
      </c>
      <c r="N46" s="3">
        <v>-1.8936629999999999E-2</v>
      </c>
      <c r="O46" s="3">
        <v>-2.188826E-2</v>
      </c>
      <c r="P46" s="3">
        <v>-2.217674E-2</v>
      </c>
      <c r="Q46" s="3">
        <v>-2.4924760000000001E-2</v>
      </c>
      <c r="R46" s="3">
        <v>-2.8683190000000001E-2</v>
      </c>
      <c r="S46" s="3">
        <v>-3.1129839999999999E-2</v>
      </c>
      <c r="T46" s="3">
        <v>-3.4649369999999999E-2</v>
      </c>
      <c r="U46" s="3">
        <v>-4.125786E-2</v>
      </c>
      <c r="V46" s="3">
        <v>-4.8909189999999998E-2</v>
      </c>
    </row>
    <row r="47" spans="1:22" x14ac:dyDescent="0.25">
      <c r="A47" t="s">
        <v>111</v>
      </c>
    </row>
    <row r="48" spans="1:22" x14ac:dyDescent="0.25">
      <c r="A48">
        <v>1079.202</v>
      </c>
      <c r="B48">
        <v>9116</v>
      </c>
      <c r="C48">
        <v>6742</v>
      </c>
      <c r="D48">
        <v>1</v>
      </c>
      <c r="E48">
        <v>1</v>
      </c>
      <c r="F48" t="s">
        <v>13</v>
      </c>
      <c r="G48" s="3">
        <v>-9.2935559999999997E-3</v>
      </c>
      <c r="H48" s="3">
        <v>1.793194E-2</v>
      </c>
      <c r="I48" s="3">
        <v>1.266193E-2</v>
      </c>
      <c r="J48" s="3">
        <v>3.6216739999999997E-2</v>
      </c>
      <c r="K48" s="3">
        <v>4.0564540000000001E-3</v>
      </c>
      <c r="L48" s="3">
        <v>-1.6403199999999999E-4</v>
      </c>
      <c r="M48" s="3">
        <v>-2.1824840000000002E-3</v>
      </c>
      <c r="N48" s="3">
        <v>-2.2234920000000001E-3</v>
      </c>
      <c r="O48" s="3">
        <v>-2.3250580000000001E-3</v>
      </c>
      <c r="P48" s="3">
        <v>4.551554E-2</v>
      </c>
      <c r="Q48" s="3">
        <v>-3.846169E-3</v>
      </c>
      <c r="R48" s="3">
        <v>-3.6540029999999999E-3</v>
      </c>
      <c r="S48" s="3">
        <v>-3.6954879999999998E-3</v>
      </c>
      <c r="T48" s="3">
        <v>-3.0875210000000002E-3</v>
      </c>
      <c r="U48" s="3">
        <v>-2.0837780000000001E-3</v>
      </c>
      <c r="V48" s="3">
        <v>-1.971722E-3</v>
      </c>
    </row>
    <row r="49" spans="1:22" x14ac:dyDescent="0.25">
      <c r="A49">
        <v>1079.2270000000001</v>
      </c>
      <c r="B49">
        <v>9116</v>
      </c>
      <c r="C49">
        <v>6744</v>
      </c>
      <c r="D49">
        <v>1</v>
      </c>
      <c r="E49">
        <v>1</v>
      </c>
      <c r="F49" t="s">
        <v>13</v>
      </c>
      <c r="G49" s="3">
        <v>-1.6641620000000001E-3</v>
      </c>
      <c r="H49" s="3">
        <v>-2.0251269999999998E-3</v>
      </c>
      <c r="I49" s="3">
        <v>-2.5491709999999998E-3</v>
      </c>
      <c r="J49" s="3">
        <v>2.6534559999999999E-2</v>
      </c>
      <c r="K49" s="3">
        <v>-7.1249010000000003E-3</v>
      </c>
      <c r="L49" s="3">
        <v>-1.0046009999999999E-2</v>
      </c>
      <c r="M49" s="3">
        <v>-1.6874790000000001E-2</v>
      </c>
      <c r="N49" s="3">
        <v>-1.858139E-2</v>
      </c>
      <c r="O49" s="3">
        <v>-2.181959E-2</v>
      </c>
      <c r="P49" s="3">
        <v>-2.364254E-2</v>
      </c>
      <c r="Q49" s="3">
        <v>-2.8524879999999999E-2</v>
      </c>
      <c r="R49" s="3">
        <v>-3.2103060000000003E-2</v>
      </c>
      <c r="S49" s="3">
        <v>-3.4794329999999998E-2</v>
      </c>
      <c r="T49" s="3">
        <v>-3.8455959999999997E-2</v>
      </c>
      <c r="U49" s="3">
        <v>-4.5631409999999997E-2</v>
      </c>
      <c r="V49" s="3">
        <v>-5.5486679999999997E-2</v>
      </c>
    </row>
    <row r="50" spans="1:22" x14ac:dyDescent="0.25">
      <c r="A50" t="s">
        <v>112</v>
      </c>
    </row>
    <row r="51" spans="1:22" x14ac:dyDescent="0.25">
      <c r="A51">
        <v>1089.414</v>
      </c>
      <c r="B51">
        <v>9116</v>
      </c>
      <c r="C51">
        <v>6742</v>
      </c>
      <c r="D51">
        <v>1</v>
      </c>
      <c r="E51">
        <v>1</v>
      </c>
      <c r="F51" t="s">
        <v>13</v>
      </c>
      <c r="G51" s="3">
        <v>-1.722622E-2</v>
      </c>
      <c r="H51" s="3">
        <v>1.7855639999999999E-2</v>
      </c>
      <c r="I51" s="3">
        <v>1.409435E-2</v>
      </c>
      <c r="J51" s="3">
        <v>3.4718510000000001E-2</v>
      </c>
      <c r="K51" s="3">
        <v>5.4340359999999997E-3</v>
      </c>
      <c r="L51" s="3">
        <v>-4.9495699999999997E-4</v>
      </c>
      <c r="M51" s="3">
        <v>-9.0551379999999999E-4</v>
      </c>
      <c r="N51" s="3">
        <v>-1.0085109999999999E-3</v>
      </c>
      <c r="O51" s="3">
        <v>-1.1148449999999999E-3</v>
      </c>
      <c r="P51" s="3">
        <v>4.4630530000000002E-2</v>
      </c>
      <c r="Q51" s="3">
        <v>-2.4013519999999998E-3</v>
      </c>
      <c r="R51" s="3">
        <v>-3.2505989999999998E-3</v>
      </c>
      <c r="S51" s="3">
        <v>-4.9333570000000002E-3</v>
      </c>
      <c r="T51" s="3">
        <v>-3.433228E-3</v>
      </c>
      <c r="U51" s="3">
        <v>-2.4480819999999999E-3</v>
      </c>
      <c r="V51" s="3">
        <v>-1.8591879999999999E-3</v>
      </c>
    </row>
    <row r="52" spans="1:22" x14ac:dyDescent="0.25">
      <c r="A52">
        <v>1089.4380000000001</v>
      </c>
      <c r="B52">
        <v>9116</v>
      </c>
      <c r="C52">
        <v>6744</v>
      </c>
      <c r="D52">
        <v>1</v>
      </c>
      <c r="E52">
        <v>1</v>
      </c>
      <c r="F52" t="s">
        <v>13</v>
      </c>
      <c r="G52" s="3">
        <v>-1.6641620000000001E-3</v>
      </c>
      <c r="H52" s="3">
        <v>-2.0251269999999998E-3</v>
      </c>
      <c r="I52" s="3">
        <v>-2.732277E-3</v>
      </c>
      <c r="J52" s="3">
        <v>2.5156970000000001E-2</v>
      </c>
      <c r="K52" s="3">
        <v>-6.9441800000000003E-3</v>
      </c>
      <c r="L52" s="3">
        <v>-9.6883769999999998E-3</v>
      </c>
      <c r="M52" s="3">
        <v>-1.7381190000000001E-2</v>
      </c>
      <c r="N52" s="3">
        <v>-1.9496920000000001E-2</v>
      </c>
      <c r="O52" s="3">
        <v>-2.282619E-2</v>
      </c>
      <c r="P52" s="3">
        <v>-2.3643020000000001E-2</v>
      </c>
      <c r="Q52" s="3">
        <v>-2.618504E-2</v>
      </c>
      <c r="R52" s="3">
        <v>-3.5883430000000001E-2</v>
      </c>
      <c r="S52" s="3">
        <v>-3.9090159999999999E-2</v>
      </c>
      <c r="T52" s="3">
        <v>-4.3530939999999997E-2</v>
      </c>
      <c r="U52" s="3">
        <v>-5.1095010000000003E-2</v>
      </c>
      <c r="V52" s="3">
        <v>-5.9571739999999998E-2</v>
      </c>
    </row>
    <row r="53" spans="1:22" x14ac:dyDescent="0.25">
      <c r="A53" t="s">
        <v>113</v>
      </c>
    </row>
    <row r="54" spans="1:22" x14ac:dyDescent="0.25">
      <c r="A54">
        <v>1098.3520000000001</v>
      </c>
      <c r="B54">
        <v>9116</v>
      </c>
      <c r="C54">
        <v>6742</v>
      </c>
      <c r="D54">
        <v>1</v>
      </c>
      <c r="E54">
        <v>1</v>
      </c>
      <c r="F54" t="s">
        <v>13</v>
      </c>
      <c r="G54" s="3">
        <v>-2.6216030000000001E-2</v>
      </c>
      <c r="H54" s="3">
        <v>1.8205639999999999E-2</v>
      </c>
      <c r="I54" s="3">
        <v>1.531887E-2</v>
      </c>
      <c r="J54" s="3">
        <v>3.4035210000000003E-2</v>
      </c>
      <c r="K54" s="3">
        <v>7.143974E-3</v>
      </c>
      <c r="L54" s="3">
        <v>-1.5020370000000001E-4</v>
      </c>
      <c r="M54" s="3">
        <v>3.2424930000000003E-4</v>
      </c>
      <c r="N54" s="3">
        <v>3.8480760000000002E-4</v>
      </c>
      <c r="O54" s="3">
        <v>-7.6293949999999995E-5</v>
      </c>
      <c r="P54" s="3">
        <v>4.3939110000000003E-2</v>
      </c>
      <c r="Q54" s="3">
        <v>-2.055168E-3</v>
      </c>
      <c r="R54" s="3">
        <v>-3.0779840000000002E-3</v>
      </c>
      <c r="S54" s="3">
        <v>-5.4645539999999999E-3</v>
      </c>
      <c r="T54" s="3">
        <v>-3.260612E-3</v>
      </c>
      <c r="U54" s="3">
        <v>-2.0837780000000001E-3</v>
      </c>
      <c r="V54" s="3">
        <v>-2.2206309999999998E-3</v>
      </c>
    </row>
    <row r="55" spans="1:22" x14ac:dyDescent="0.25">
      <c r="A55">
        <v>1098.376</v>
      </c>
      <c r="B55">
        <v>9116</v>
      </c>
      <c r="C55">
        <v>6744</v>
      </c>
      <c r="D55">
        <v>1</v>
      </c>
      <c r="E55">
        <v>1</v>
      </c>
      <c r="F55" t="s">
        <v>13</v>
      </c>
      <c r="G55" s="3">
        <v>-2.0265579999999999E-3</v>
      </c>
      <c r="H55" s="3">
        <v>-2.9196740000000001E-3</v>
      </c>
      <c r="I55" s="3">
        <v>-2.912998E-3</v>
      </c>
      <c r="J55" s="3">
        <v>2.3602959999999999E-2</v>
      </c>
      <c r="K55" s="3">
        <v>-6.583691E-3</v>
      </c>
      <c r="L55" s="3">
        <v>-9.6883769999999998E-3</v>
      </c>
      <c r="M55" s="3">
        <v>-1.7900940000000001E-2</v>
      </c>
      <c r="N55" s="3">
        <v>-2.040434E-2</v>
      </c>
      <c r="O55" s="3">
        <v>-2.3183820000000001E-2</v>
      </c>
      <c r="P55" s="3">
        <v>-2.4743080000000001E-2</v>
      </c>
      <c r="Q55" s="3">
        <v>-2.8705120000000001E-2</v>
      </c>
      <c r="R55" s="3">
        <v>-3.0663490000000002E-2</v>
      </c>
      <c r="S55">
        <v>-5.0436500000000002E-2</v>
      </c>
      <c r="T55" s="3">
        <v>-5.1863670000000001E-2</v>
      </c>
      <c r="U55" s="3">
        <v>-5.6011680000000001E-2</v>
      </c>
      <c r="V55" s="3">
        <v>-6.4735409999999993E-2</v>
      </c>
    </row>
    <row r="56" spans="1:22" x14ac:dyDescent="0.25">
      <c r="A56" t="s">
        <v>114</v>
      </c>
    </row>
    <row r="57" spans="1:22" x14ac:dyDescent="0.25">
      <c r="A57">
        <v>1108.68</v>
      </c>
      <c r="B57">
        <v>9116</v>
      </c>
      <c r="C57">
        <v>6742</v>
      </c>
      <c r="D57">
        <v>1</v>
      </c>
      <c r="E57">
        <v>1</v>
      </c>
      <c r="F57" t="s">
        <v>13</v>
      </c>
      <c r="G57" s="3">
        <v>-3.5029890000000001E-2</v>
      </c>
      <c r="H57">
        <v>1.8031599999999998E-2</v>
      </c>
      <c r="I57">
        <v>1.6891E-2</v>
      </c>
      <c r="J57" s="3">
        <v>3.2498840000000001E-2</v>
      </c>
      <c r="K57" s="3">
        <v>8.5067749999999994E-3</v>
      </c>
      <c r="L57" s="3">
        <v>-4.8255919999999999E-4</v>
      </c>
      <c r="M57" s="3">
        <v>1.5525820000000001E-3</v>
      </c>
      <c r="N57" s="3">
        <v>1.6040799999999999E-3</v>
      </c>
      <c r="O57" s="3">
        <v>1.0514260000000001E-3</v>
      </c>
      <c r="P57" s="3">
        <v>4.3459419999999999E-2</v>
      </c>
      <c r="Q57" s="3">
        <v>-1.1887550000000001E-3</v>
      </c>
      <c r="R57" s="3">
        <v>-2.0422940000000001E-3</v>
      </c>
      <c r="S57" s="3">
        <v>-6.7014689999999998E-3</v>
      </c>
      <c r="T57" s="3">
        <v>-2.9120449999999998E-3</v>
      </c>
      <c r="U57" s="3">
        <v>-2.4271010000000001E-3</v>
      </c>
      <c r="V57" s="3">
        <v>-2.3322109999999998E-3</v>
      </c>
    </row>
    <row r="58" spans="1:22" x14ac:dyDescent="0.25">
      <c r="A58">
        <v>1108.7049999999999</v>
      </c>
      <c r="B58">
        <v>9116</v>
      </c>
      <c r="C58">
        <v>6744</v>
      </c>
      <c r="D58">
        <v>1</v>
      </c>
      <c r="E58">
        <v>1</v>
      </c>
      <c r="F58" t="s">
        <v>13</v>
      </c>
      <c r="G58" s="3">
        <v>-2.2101400000000002E-3</v>
      </c>
      <c r="H58" s="3">
        <v>-3.2272339999999998E-3</v>
      </c>
      <c r="I58" s="3">
        <v>-3.2773020000000002E-3</v>
      </c>
      <c r="J58" s="3">
        <v>2.1876340000000001E-2</v>
      </c>
      <c r="K58" s="3">
        <v>-6.0429569999999998E-3</v>
      </c>
      <c r="L58" s="3">
        <v>-9.5114710000000005E-3</v>
      </c>
      <c r="M58" s="3">
        <v>-1.7701629999999999E-2</v>
      </c>
      <c r="N58" s="3">
        <v>-2.0948890000000001E-2</v>
      </c>
      <c r="O58" s="3">
        <v>-2.4189470000000001E-2</v>
      </c>
      <c r="P58" s="3">
        <v>-2.6211740000000001E-2</v>
      </c>
      <c r="Q58" s="3">
        <v>-3.0163289999999999E-2</v>
      </c>
      <c r="R58">
        <v>-3.1569E-2</v>
      </c>
      <c r="S58" s="3">
        <v>-5.6891919999999999E-2</v>
      </c>
      <c r="T58" s="3">
        <v>-5.7660580000000003E-2</v>
      </c>
      <c r="U58" s="3">
        <v>-5.8560849999999998E-2</v>
      </c>
      <c r="V58">
        <v>-6.3844200000000004E-2</v>
      </c>
    </row>
    <row r="59" spans="1:22" x14ac:dyDescent="0.25">
      <c r="A59" t="s">
        <v>115</v>
      </c>
    </row>
    <row r="60" spans="1:22" x14ac:dyDescent="0.25">
      <c r="A60">
        <v>1117.8150000000001</v>
      </c>
      <c r="B60">
        <v>9116</v>
      </c>
      <c r="C60">
        <v>6742</v>
      </c>
      <c r="D60">
        <v>1</v>
      </c>
      <c r="E60">
        <v>1</v>
      </c>
      <c r="F60" t="s">
        <v>13</v>
      </c>
      <c r="G60" s="3">
        <v>-4.4369220000000001E-2</v>
      </c>
      <c r="H60" s="3">
        <v>1.8030640000000001E-2</v>
      </c>
      <c r="I60" s="3">
        <v>1.7627239999999999E-2</v>
      </c>
      <c r="J60" s="3">
        <v>3.1664369999999997E-2</v>
      </c>
      <c r="K60" s="3">
        <v>1.0050770000000001E-2</v>
      </c>
      <c r="L60" s="3">
        <v>4.8637390000000002E-5</v>
      </c>
      <c r="M60" s="3">
        <v>3.1814579999999999E-3</v>
      </c>
      <c r="N60" s="3">
        <v>2.8181080000000002E-3</v>
      </c>
      <c r="O60" s="3">
        <v>1.832008E-3</v>
      </c>
      <c r="P60" s="3">
        <v>4.311371E-2</v>
      </c>
      <c r="Q60" s="3">
        <v>-4.3725969999999998E-4</v>
      </c>
      <c r="R60" s="3">
        <v>-1.8711089999999999E-3</v>
      </c>
      <c r="S60" s="3">
        <v>-7.5831409999999998E-3</v>
      </c>
      <c r="T60" s="3">
        <v>-2.908707E-3</v>
      </c>
      <c r="U60" s="3">
        <v>-2.0422940000000001E-3</v>
      </c>
      <c r="V60" s="3">
        <v>-2.2196770000000002E-3</v>
      </c>
    </row>
    <row r="61" spans="1:22" x14ac:dyDescent="0.25">
      <c r="A61">
        <v>1117.838</v>
      </c>
      <c r="B61">
        <v>9116</v>
      </c>
      <c r="C61">
        <v>6744</v>
      </c>
      <c r="D61">
        <v>1</v>
      </c>
      <c r="E61">
        <v>1</v>
      </c>
      <c r="F61" t="s">
        <v>13</v>
      </c>
      <c r="G61" s="3">
        <v>-2.9349329999999998E-3</v>
      </c>
      <c r="H61" s="3">
        <v>-3.585815E-3</v>
      </c>
      <c r="I61" s="3">
        <v>-3.098965E-3</v>
      </c>
      <c r="J61" s="3">
        <v>2.0669940000000001E-2</v>
      </c>
      <c r="K61" s="3">
        <v>-6.2236790000000002E-3</v>
      </c>
      <c r="L61" s="3">
        <v>-9.3331339999999999E-3</v>
      </c>
      <c r="M61" s="3">
        <v>-1.857996E-2</v>
      </c>
      <c r="N61" s="3">
        <v>-2.1138669999999998E-2</v>
      </c>
      <c r="O61" s="3">
        <v>-2.5082110000000001E-2</v>
      </c>
      <c r="P61" s="3">
        <v>-2.6762009999999999E-2</v>
      </c>
      <c r="Q61" s="3">
        <v>-3.0883310000000001E-2</v>
      </c>
      <c r="R61" s="3">
        <v>-3.5169119999999998E-2</v>
      </c>
      <c r="S61" s="3">
        <v>-6.2614920000000004E-2</v>
      </c>
      <c r="T61" s="3">
        <v>-6.3094620000000004E-2</v>
      </c>
      <c r="U61" s="3">
        <v>-6.2939170000000003E-2</v>
      </c>
      <c r="V61" s="3">
        <v>-6.7039970000000004E-2</v>
      </c>
    </row>
    <row r="62" spans="1:22" x14ac:dyDescent="0.25">
      <c r="A62" t="s">
        <v>116</v>
      </c>
    </row>
    <row r="63" spans="1:22" x14ac:dyDescent="0.25">
      <c r="A63">
        <v>1126.8389999999999</v>
      </c>
      <c r="B63">
        <v>9116</v>
      </c>
      <c r="C63">
        <v>6742</v>
      </c>
      <c r="D63">
        <v>1</v>
      </c>
      <c r="E63">
        <v>1</v>
      </c>
      <c r="F63" t="s">
        <v>13</v>
      </c>
      <c r="G63" s="3">
        <v>-5.159569E-2</v>
      </c>
      <c r="H63" s="3">
        <v>1.7331119999999998E-2</v>
      </c>
      <c r="I63" s="3">
        <v>1.8326760000000001E-2</v>
      </c>
      <c r="J63">
        <v>3.1834599999999998E-2</v>
      </c>
      <c r="K63">
        <v>1.159E-2</v>
      </c>
      <c r="L63" s="3">
        <v>3.9339069999999999E-4</v>
      </c>
      <c r="M63" s="3">
        <v>4.5862200000000002E-3</v>
      </c>
      <c r="N63" s="3">
        <v>3.5152439999999998E-3</v>
      </c>
      <c r="O63" s="3">
        <v>2.3508069999999999E-3</v>
      </c>
      <c r="P63">
        <v>4.2249200000000001E-2</v>
      </c>
      <c r="Q63" s="3">
        <v>-2.641678E-4</v>
      </c>
      <c r="R63" s="3">
        <v>-1.3532640000000001E-3</v>
      </c>
      <c r="S63" s="3">
        <v>-8.2912449999999992E-3</v>
      </c>
      <c r="T63" s="3">
        <v>-2.7360919999999999E-3</v>
      </c>
      <c r="U63" s="3">
        <v>-2.4065969999999999E-3</v>
      </c>
      <c r="V63" s="3">
        <v>-2.4003980000000002E-3</v>
      </c>
    </row>
    <row r="64" spans="1:22" x14ac:dyDescent="0.25">
      <c r="A64">
        <v>1126.8610000000001</v>
      </c>
      <c r="B64">
        <v>9116</v>
      </c>
      <c r="C64">
        <v>6744</v>
      </c>
      <c r="D64">
        <v>1</v>
      </c>
      <c r="E64">
        <v>1</v>
      </c>
      <c r="F64" t="s">
        <v>13</v>
      </c>
      <c r="G64" s="3">
        <v>-3.479004E-3</v>
      </c>
      <c r="H64" s="3">
        <v>-4.8384669999999999E-3</v>
      </c>
      <c r="I64" s="3">
        <v>-4.0025709999999999E-3</v>
      </c>
      <c r="J64" s="3">
        <v>2.170563E-2</v>
      </c>
      <c r="K64" s="3">
        <v>-6.0439109999999999E-3</v>
      </c>
      <c r="L64" s="3">
        <v>-8.7976459999999992E-3</v>
      </c>
      <c r="M64" s="3">
        <v>-1.736832E-2</v>
      </c>
      <c r="N64" s="3">
        <v>-2.0776269999999999E-2</v>
      </c>
      <c r="O64">
        <v>-2.49033E-2</v>
      </c>
      <c r="P64">
        <v>-2.6578899999999999E-2</v>
      </c>
      <c r="Q64" s="3">
        <v>-3.1243320000000002E-2</v>
      </c>
      <c r="R64" s="3">
        <v>-4.6147819999999999E-2</v>
      </c>
      <c r="S64">
        <v>-6.4186099999999996E-2</v>
      </c>
      <c r="T64" s="3">
        <v>-6.4362530000000001E-2</v>
      </c>
      <c r="U64">
        <v>-6.3667299999999996E-2</v>
      </c>
      <c r="V64" s="3">
        <v>-6.5793509999999999E-2</v>
      </c>
    </row>
    <row r="65" spans="1:22" x14ac:dyDescent="0.25">
      <c r="A65" t="s">
        <v>117</v>
      </c>
    </row>
    <row r="66" spans="1:22" x14ac:dyDescent="0.25">
      <c r="A66">
        <v>1136.0830000000001</v>
      </c>
      <c r="B66">
        <v>9116</v>
      </c>
      <c r="C66">
        <v>6742</v>
      </c>
      <c r="D66">
        <v>1</v>
      </c>
      <c r="E66">
        <v>1</v>
      </c>
      <c r="F66" t="s">
        <v>13</v>
      </c>
      <c r="G66" s="3">
        <v>-2.7617929999999999E-2</v>
      </c>
      <c r="H66" s="3">
        <v>1.8231870000000001E-2</v>
      </c>
      <c r="I66" s="3">
        <v>1.6926770000000001E-2</v>
      </c>
      <c r="J66">
        <v>3.2670499999999998E-2</v>
      </c>
      <c r="K66" s="3">
        <v>9.8848340000000003E-3</v>
      </c>
      <c r="L66" s="3">
        <v>-1.2302400000000001E-4</v>
      </c>
      <c r="M66" s="3">
        <v>2.7036669999999999E-3</v>
      </c>
      <c r="N66" s="3">
        <v>2.64883E-3</v>
      </c>
      <c r="O66" s="3">
        <v>1.749039E-3</v>
      </c>
      <c r="P66" s="3">
        <v>4.1404249999999997E-2</v>
      </c>
      <c r="Q66" s="3">
        <v>-1.416683E-3</v>
      </c>
      <c r="R66" s="3">
        <v>-2.848625E-3</v>
      </c>
      <c r="S66" s="3">
        <v>-8.1148149999999992E-3</v>
      </c>
      <c r="T66" s="3">
        <v>-4.1170119999999998E-3</v>
      </c>
      <c r="U66" s="3">
        <v>-4.0450099999999999E-3</v>
      </c>
      <c r="V66" s="3">
        <v>-5.2442549999999998E-3</v>
      </c>
    </row>
    <row r="67" spans="1:22" x14ac:dyDescent="0.25">
      <c r="A67">
        <v>1136.1030000000001</v>
      </c>
      <c r="B67">
        <v>9116</v>
      </c>
      <c r="C67">
        <v>6744</v>
      </c>
      <c r="D67">
        <v>1</v>
      </c>
      <c r="E67">
        <v>1</v>
      </c>
      <c r="F67" t="s">
        <v>13</v>
      </c>
      <c r="G67" s="3">
        <v>-6.7458149999999996E-3</v>
      </c>
      <c r="H67" s="3">
        <v>-7.8272819999999996E-3</v>
      </c>
      <c r="I67" s="3">
        <v>-7.6184269999999997E-3</v>
      </c>
      <c r="J67" s="3">
        <v>2.2574420000000001E-2</v>
      </c>
      <c r="K67" s="3">
        <v>-1.199484E-2</v>
      </c>
      <c r="L67" s="3">
        <v>-1.5224929999999999E-2</v>
      </c>
      <c r="M67" s="3">
        <v>-2.4453160000000002E-2</v>
      </c>
      <c r="N67" s="3">
        <v>-2.4958129999999999E-2</v>
      </c>
      <c r="O67" s="3">
        <v>-2.6512620000000001E-2</v>
      </c>
      <c r="P67" s="3">
        <v>-2.547932E-2</v>
      </c>
      <c r="Q67" s="3">
        <v>-2.6391029999999999E-2</v>
      </c>
      <c r="R67" s="3">
        <v>-2.8161530000000001E-2</v>
      </c>
      <c r="S67" s="3">
        <v>-2.8575420000000001E-2</v>
      </c>
      <c r="T67" s="3">
        <v>-2.7413369999999999E-2</v>
      </c>
      <c r="U67" s="3">
        <v>-2.524042E-2</v>
      </c>
      <c r="V67" s="3">
        <v>-2.393818E-2</v>
      </c>
    </row>
    <row r="68" spans="1:22" x14ac:dyDescent="0.25">
      <c r="A68" t="s">
        <v>118</v>
      </c>
    </row>
    <row r="69" spans="1:22" x14ac:dyDescent="0.25">
      <c r="A69">
        <v>1146.1369999999999</v>
      </c>
      <c r="B69">
        <v>9116</v>
      </c>
      <c r="C69">
        <v>6742</v>
      </c>
      <c r="D69">
        <v>1</v>
      </c>
      <c r="E69">
        <v>1</v>
      </c>
      <c r="F69" t="s">
        <v>13</v>
      </c>
      <c r="G69" s="3">
        <v>-1.457024E-2</v>
      </c>
      <c r="H69">
        <v>1.7883300000000001E-2</v>
      </c>
      <c r="I69" s="3">
        <v>1.5388489999999999E-2</v>
      </c>
      <c r="J69" s="3">
        <v>3.2689089999999997E-2</v>
      </c>
      <c r="K69" s="3">
        <v>8.3508490000000005E-3</v>
      </c>
      <c r="L69" s="3">
        <v>-1.091957E-4</v>
      </c>
      <c r="M69" s="3">
        <v>1.474857E-3</v>
      </c>
      <c r="N69" s="3">
        <v>1.5950199999999999E-3</v>
      </c>
      <c r="O69" s="3">
        <v>7.1191790000000004E-4</v>
      </c>
      <c r="P69" s="3">
        <v>4.1078089999999998E-2</v>
      </c>
      <c r="Q69" s="3">
        <v>-2.1691319999999998E-3</v>
      </c>
      <c r="R69" s="3">
        <v>-3.3645630000000001E-3</v>
      </c>
      <c r="S69" s="3">
        <v>-8.2879070000000006E-3</v>
      </c>
      <c r="T69" s="3">
        <v>-5.6681630000000004E-3</v>
      </c>
      <c r="U69" s="3">
        <v>-5.8445930000000004E-3</v>
      </c>
      <c r="V69" s="3">
        <v>-7.9488749999999993E-3</v>
      </c>
    </row>
    <row r="70" spans="1:22" x14ac:dyDescent="0.25">
      <c r="A70">
        <v>1146.1559999999999</v>
      </c>
      <c r="B70">
        <v>9116</v>
      </c>
      <c r="C70">
        <v>6744</v>
      </c>
      <c r="D70">
        <v>1</v>
      </c>
      <c r="E70">
        <v>1</v>
      </c>
      <c r="F70" t="s">
        <v>13</v>
      </c>
      <c r="G70" s="3">
        <v>-1.037502E-2</v>
      </c>
      <c r="H70" s="3">
        <v>-1.212072E-2</v>
      </c>
      <c r="I70" s="3">
        <v>-1.3042929999999999E-2</v>
      </c>
      <c r="J70" s="3">
        <v>2.3440840000000001E-2</v>
      </c>
      <c r="K70" s="3">
        <v>-1.596498E-2</v>
      </c>
      <c r="L70" s="3">
        <v>-1.808357E-2</v>
      </c>
      <c r="M70" s="3">
        <v>-1.9952770000000002E-2</v>
      </c>
      <c r="N70" s="3">
        <v>-1.9150259999999999E-2</v>
      </c>
      <c r="O70" s="3">
        <v>-2.0185950000000001E-2</v>
      </c>
      <c r="P70" s="3">
        <v>-1.8693919999999999E-2</v>
      </c>
      <c r="Q70" s="3">
        <v>-1.9188879999999998E-2</v>
      </c>
      <c r="R70" s="3">
        <v>-2.096605E-2</v>
      </c>
      <c r="S70" s="3">
        <v>-2.0207880000000001E-2</v>
      </c>
      <c r="T70" s="3">
        <v>-1.9988059999999998E-2</v>
      </c>
      <c r="U70" s="3">
        <v>-1.904869E-2</v>
      </c>
      <c r="V70" s="3">
        <v>-1.8777849999999999E-2</v>
      </c>
    </row>
    <row r="71" spans="1:22" x14ac:dyDescent="0.25">
      <c r="A71" t="s">
        <v>119</v>
      </c>
    </row>
    <row r="72" spans="1:22" x14ac:dyDescent="0.25">
      <c r="A72">
        <v>1155.395</v>
      </c>
      <c r="B72">
        <v>9116</v>
      </c>
      <c r="C72">
        <v>6742</v>
      </c>
      <c r="D72">
        <v>1</v>
      </c>
      <c r="E72">
        <v>1</v>
      </c>
      <c r="F72" t="s">
        <v>13</v>
      </c>
      <c r="G72" s="3">
        <v>-6.9894789999999998E-3</v>
      </c>
      <c r="H72">
        <v>1.8058299999999999E-2</v>
      </c>
      <c r="I72" s="3">
        <v>1.451445E-2</v>
      </c>
      <c r="J72" s="3">
        <v>3.3713819999999999E-2</v>
      </c>
      <c r="K72" s="3">
        <v>7.6665880000000002E-3</v>
      </c>
      <c r="L72" s="3">
        <v>-4.5394899999999999E-4</v>
      </c>
      <c r="M72" s="3">
        <v>1.474857E-3</v>
      </c>
      <c r="N72" s="3">
        <v>1.2469289999999999E-3</v>
      </c>
      <c r="O72" s="3">
        <v>7.1191790000000004E-4</v>
      </c>
      <c r="P72" s="3">
        <v>4.0559289999999998E-2</v>
      </c>
      <c r="Q72" s="3">
        <v>-2.6884080000000002E-3</v>
      </c>
      <c r="R72" s="3">
        <v>-4.0550229999999996E-3</v>
      </c>
      <c r="S72" s="3">
        <v>-8.4648129999999999E-3</v>
      </c>
      <c r="T72">
        <v>-6.3591000000000003E-3</v>
      </c>
      <c r="U72" s="3">
        <v>-6.7548749999999996E-3</v>
      </c>
      <c r="V72" s="3">
        <v>-9.3936920000000004E-3</v>
      </c>
    </row>
    <row r="73" spans="1:22" x14ac:dyDescent="0.25">
      <c r="A73">
        <v>1155.4169999999999</v>
      </c>
      <c r="B73">
        <v>9116</v>
      </c>
      <c r="C73">
        <v>6744</v>
      </c>
      <c r="D73">
        <v>1</v>
      </c>
      <c r="E73">
        <v>1</v>
      </c>
      <c r="F73" t="s">
        <v>13</v>
      </c>
      <c r="G73" s="3">
        <v>-1.1825560000000001E-2</v>
      </c>
      <c r="H73" s="3">
        <v>-1.4983649999999999E-2</v>
      </c>
      <c r="I73">
        <v>-1.5573500000000001E-2</v>
      </c>
      <c r="J73" s="3">
        <v>2.5858880000000001E-2</v>
      </c>
      <c r="K73" s="3">
        <v>-1.668644E-2</v>
      </c>
      <c r="L73" s="3">
        <v>-1.7548560000000001E-2</v>
      </c>
      <c r="M73" s="3">
        <v>-1.631784E-2</v>
      </c>
      <c r="N73" s="3">
        <v>-1.533937E-2</v>
      </c>
      <c r="O73" s="3">
        <v>-1.6249179999999998E-2</v>
      </c>
      <c r="P73" s="3">
        <v>-1.5025139999999999E-2</v>
      </c>
      <c r="Q73" s="3">
        <v>-1.5768529999999999E-2</v>
      </c>
      <c r="R73" s="3">
        <v>-1.6105649999999999E-2</v>
      </c>
      <c r="S73" s="3">
        <v>-1.5843869999999999E-2</v>
      </c>
      <c r="T73" s="3">
        <v>-1.509666E-2</v>
      </c>
      <c r="U73" s="3">
        <v>-1.4677519999999999E-2</v>
      </c>
      <c r="V73" s="3">
        <v>-1.503849E-2</v>
      </c>
    </row>
    <row r="74" spans="1:22" x14ac:dyDescent="0.25">
      <c r="A74" t="s">
        <v>120</v>
      </c>
    </row>
    <row r="75" spans="1:22" x14ac:dyDescent="0.25">
      <c r="A75">
        <v>1166.627</v>
      </c>
      <c r="B75">
        <v>9116</v>
      </c>
      <c r="C75">
        <v>6742</v>
      </c>
      <c r="D75">
        <v>1</v>
      </c>
      <c r="E75">
        <v>1</v>
      </c>
      <c r="F75" t="s">
        <v>13</v>
      </c>
      <c r="G75" s="3">
        <v>-8.0404280000000005E-3</v>
      </c>
      <c r="H75" s="3">
        <v>1.7983909999999999E-2</v>
      </c>
      <c r="I75" s="3">
        <v>1.5774730000000001E-2</v>
      </c>
      <c r="J75" s="3">
        <v>3.5932539999999999E-2</v>
      </c>
      <c r="K75" s="3">
        <v>8.0084800000000001E-3</v>
      </c>
      <c r="L75" s="3">
        <v>-4.5204160000000002E-4</v>
      </c>
      <c r="M75" s="3">
        <v>1.5244480000000001E-3</v>
      </c>
      <c r="N75" s="3">
        <v>1.4209750000000001E-3</v>
      </c>
      <c r="O75" s="3">
        <v>7.1191790000000004E-4</v>
      </c>
      <c r="P75" s="3">
        <v>4.0040489999999998E-2</v>
      </c>
      <c r="Q75" s="3">
        <v>-2.1085740000000002E-3</v>
      </c>
      <c r="R75" s="3">
        <v>-3.9391519999999996E-3</v>
      </c>
      <c r="S75" s="3">
        <v>-7.2255130000000002E-3</v>
      </c>
      <c r="T75" s="3">
        <v>-6.3586240000000002E-3</v>
      </c>
      <c r="U75" s="3">
        <v>-7.139683E-3</v>
      </c>
      <c r="V75" s="3">
        <v>-9.1004369999999994E-3</v>
      </c>
    </row>
    <row r="76" spans="1:22" x14ac:dyDescent="0.25">
      <c r="A76">
        <v>1166.6510000000001</v>
      </c>
      <c r="B76">
        <v>9116</v>
      </c>
      <c r="C76">
        <v>6744</v>
      </c>
      <c r="D76">
        <v>1</v>
      </c>
      <c r="E76">
        <v>1</v>
      </c>
      <c r="F76" t="s">
        <v>13</v>
      </c>
      <c r="G76" s="3">
        <v>-1.1825560000000001E-2</v>
      </c>
      <c r="H76" s="3">
        <v>-1.5517710000000001E-2</v>
      </c>
      <c r="I76">
        <v>-1.52154E-2</v>
      </c>
      <c r="J76" s="3">
        <v>2.8276920000000001E-2</v>
      </c>
      <c r="K76" s="3">
        <v>-1.632929E-2</v>
      </c>
      <c r="L76" s="3">
        <v>-1.6837120000000001E-2</v>
      </c>
      <c r="M76" s="3">
        <v>-1.6304019999999999E-2</v>
      </c>
      <c r="N76" s="3">
        <v>-1.516581E-2</v>
      </c>
      <c r="O76" s="3">
        <v>-1.6002659999999998E-2</v>
      </c>
      <c r="P76" s="3">
        <v>-1.4658930000000001E-2</v>
      </c>
      <c r="Q76" s="3">
        <v>-1.4877319999999999E-2</v>
      </c>
      <c r="R76" s="3">
        <v>-1.5565870000000001E-2</v>
      </c>
      <c r="S76" s="3">
        <v>-1.546001E-2</v>
      </c>
      <c r="T76">
        <v>-1.4192099999999999E-2</v>
      </c>
      <c r="U76" s="3">
        <v>-1.431465E-2</v>
      </c>
      <c r="V76" s="3">
        <v>-1.449347E-2</v>
      </c>
    </row>
    <row r="77" spans="1:22" x14ac:dyDescent="0.25">
      <c r="A77" t="s">
        <v>121</v>
      </c>
    </row>
    <row r="78" spans="1:22" x14ac:dyDescent="0.25">
      <c r="A78">
        <v>1174.8610000000001</v>
      </c>
      <c r="B78">
        <v>9116</v>
      </c>
      <c r="C78">
        <v>6742</v>
      </c>
      <c r="D78">
        <v>1</v>
      </c>
      <c r="E78">
        <v>1</v>
      </c>
      <c r="F78" t="s">
        <v>13</v>
      </c>
      <c r="G78" s="3">
        <v>-1.033211E-2</v>
      </c>
      <c r="H78" s="3">
        <v>1.8332959999999999E-2</v>
      </c>
      <c r="I78" s="3">
        <v>1.6299250000000001E-2</v>
      </c>
      <c r="J78" s="3">
        <v>3.7127970000000003E-2</v>
      </c>
      <c r="K78" s="3">
        <v>9.718895E-3</v>
      </c>
      <c r="L78" s="3">
        <v>6.4849849999999994E-5</v>
      </c>
      <c r="M78" s="3">
        <v>2.7542109999999999E-3</v>
      </c>
      <c r="N78" s="3">
        <v>2.1171570000000002E-3</v>
      </c>
      <c r="O78" s="3">
        <v>1.4042849999999999E-3</v>
      </c>
      <c r="P78" s="3">
        <v>3.9694790000000001E-2</v>
      </c>
      <c r="Q78" s="3">
        <v>-1.76239E-3</v>
      </c>
      <c r="R78" s="3">
        <v>-3.2491680000000002E-3</v>
      </c>
      <c r="S78" s="3">
        <v>-6.6947939999999996E-3</v>
      </c>
      <c r="T78" s="3">
        <v>-6.0133929999999997E-3</v>
      </c>
      <c r="U78" s="3">
        <v>-7.5035099999999997E-3</v>
      </c>
      <c r="V78" s="3">
        <v>-1.000357E-2</v>
      </c>
    </row>
    <row r="79" spans="1:22" x14ac:dyDescent="0.25">
      <c r="A79">
        <v>1174.8889999999999</v>
      </c>
      <c r="B79">
        <v>9116</v>
      </c>
      <c r="C79">
        <v>6744</v>
      </c>
      <c r="D79">
        <v>1</v>
      </c>
      <c r="E79">
        <v>1</v>
      </c>
      <c r="F79" t="s">
        <v>13</v>
      </c>
      <c r="G79" s="3">
        <v>-1.2550830000000001E-2</v>
      </c>
      <c r="H79" s="3">
        <v>-1.5875340000000002E-2</v>
      </c>
      <c r="I79">
        <v>-1.6119000000000001E-2</v>
      </c>
      <c r="J79" s="3">
        <v>2.879524E-2</v>
      </c>
      <c r="K79" s="3">
        <v>-1.7231460000000001E-2</v>
      </c>
      <c r="L79" s="3">
        <v>-1.7551420000000002E-2</v>
      </c>
      <c r="M79" s="3">
        <v>-1.6822810000000001E-2</v>
      </c>
      <c r="N79" s="3">
        <v>-1.5892030000000001E-2</v>
      </c>
      <c r="O79" s="3">
        <v>-1.653957E-2</v>
      </c>
      <c r="P79" s="3">
        <v>-1.5576359999999999E-2</v>
      </c>
      <c r="Q79" s="3">
        <v>-1.595736E-2</v>
      </c>
      <c r="R79">
        <v>-1.6285899999999999E-2</v>
      </c>
      <c r="S79" s="3">
        <v>-1.6681669999999999E-2</v>
      </c>
      <c r="T79" s="3">
        <v>-1.546001E-2</v>
      </c>
      <c r="U79" s="3">
        <v>-1.522541E-2</v>
      </c>
      <c r="V79" s="3">
        <v>-1.520586E-2</v>
      </c>
    </row>
    <row r="84" spans="7:39" x14ac:dyDescent="0.25">
      <c r="G84" s="5"/>
      <c r="H84" s="5" t="s">
        <v>44</v>
      </c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</row>
    <row r="85" spans="7:39" x14ac:dyDescent="0.25">
      <c r="G85" s="5" t="s">
        <v>45</v>
      </c>
      <c r="H85" s="5" t="s">
        <v>14</v>
      </c>
      <c r="I85" s="5" t="s">
        <v>15</v>
      </c>
      <c r="J85" s="5" t="s">
        <v>16</v>
      </c>
      <c r="K85" s="5" t="s">
        <v>17</v>
      </c>
      <c r="L85" s="5" t="s">
        <v>18</v>
      </c>
      <c r="M85" s="5" t="s">
        <v>19</v>
      </c>
      <c r="N85" s="5" t="s">
        <v>20</v>
      </c>
      <c r="O85" s="5" t="s">
        <v>21</v>
      </c>
      <c r="P85" s="5" t="s">
        <v>22</v>
      </c>
      <c r="Q85" s="5" t="s">
        <v>23</v>
      </c>
      <c r="R85" s="5" t="s">
        <v>24</v>
      </c>
      <c r="S85" s="5" t="s">
        <v>25</v>
      </c>
      <c r="T85" s="5" t="s">
        <v>26</v>
      </c>
      <c r="U85" s="5" t="s">
        <v>27</v>
      </c>
      <c r="V85" s="5" t="s">
        <v>28</v>
      </c>
      <c r="W85" s="5" t="s">
        <v>29</v>
      </c>
      <c r="X85" s="5" t="s">
        <v>46</v>
      </c>
      <c r="Y85" s="5" t="s">
        <v>47</v>
      </c>
      <c r="Z85" s="5" t="s">
        <v>48</v>
      </c>
      <c r="AA85" s="5" t="s">
        <v>49</v>
      </c>
      <c r="AB85" s="5" t="s">
        <v>50</v>
      </c>
      <c r="AC85" s="5" t="s">
        <v>51</v>
      </c>
      <c r="AD85" s="5" t="s">
        <v>52</v>
      </c>
      <c r="AE85" s="5" t="s">
        <v>53</v>
      </c>
      <c r="AF85" s="5" t="s">
        <v>54</v>
      </c>
      <c r="AG85" s="5" t="s">
        <v>55</v>
      </c>
      <c r="AH85" s="5" t="s">
        <v>56</v>
      </c>
      <c r="AI85" s="5" t="s">
        <v>57</v>
      </c>
      <c r="AJ85" s="5" t="s">
        <v>58</v>
      </c>
      <c r="AK85" s="5" t="s">
        <v>59</v>
      </c>
      <c r="AL85" s="5" t="s">
        <v>60</v>
      </c>
      <c r="AM85" s="5" t="s">
        <v>61</v>
      </c>
    </row>
    <row r="86" spans="7:39" x14ac:dyDescent="0.25">
      <c r="G86" s="5" t="s">
        <v>62</v>
      </c>
      <c r="H86" s="6">
        <f>G9</f>
        <v>-6.1464310000000004E-4</v>
      </c>
      <c r="I86" s="6">
        <f t="shared" ref="I86:W86" si="0">H9</f>
        <v>-6.4849850000000002E-4</v>
      </c>
      <c r="J86" s="6">
        <f t="shared" si="0"/>
        <v>-4.6157840000000001E-4</v>
      </c>
      <c r="K86" s="6">
        <f t="shared" si="0"/>
        <v>3.9632319999999999E-2</v>
      </c>
      <c r="L86" s="6">
        <f t="shared" si="0"/>
        <v>-2.5653839999999998E-4</v>
      </c>
      <c r="M86" s="6">
        <f t="shared" si="0"/>
        <v>-6.1178209999999998E-4</v>
      </c>
      <c r="N86" s="6">
        <f t="shared" si="0"/>
        <v>-1.2450219999999999E-3</v>
      </c>
      <c r="O86" s="6">
        <f t="shared" si="0"/>
        <v>-1.192093E-4</v>
      </c>
      <c r="P86" s="6">
        <f t="shared" si="0"/>
        <v>4.3630600000000002E-4</v>
      </c>
      <c r="Q86" s="6">
        <f t="shared" si="0"/>
        <v>4.3742179999999999E-2</v>
      </c>
      <c r="R86" s="6">
        <f t="shared" si="0"/>
        <v>7.2145460000000005E-4</v>
      </c>
      <c r="S86" s="6">
        <f t="shared" si="0"/>
        <v>9.8705290000000004E-5</v>
      </c>
      <c r="T86" s="6">
        <f t="shared" si="0"/>
        <v>1.8774030000000001E-2</v>
      </c>
      <c r="U86" s="6">
        <f t="shared" si="0"/>
        <v>-3.0565259999999999E-4</v>
      </c>
      <c r="V86" s="6">
        <f t="shared" si="0"/>
        <v>2.3031230000000001E-4</v>
      </c>
      <c r="W86" s="6">
        <f t="shared" si="0"/>
        <v>-1.416206E-4</v>
      </c>
      <c r="X86" s="6">
        <f>G10</f>
        <v>-6.5183639999999996E-4</v>
      </c>
      <c r="Y86" s="6">
        <f t="shared" ref="Y86:AM86" si="1">H10</f>
        <v>-1.280308E-3</v>
      </c>
      <c r="Z86" s="6">
        <f t="shared" si="1"/>
        <v>-8.8691710000000004E-5</v>
      </c>
      <c r="AA86" s="6">
        <f t="shared" si="1"/>
        <v>3.4039020000000003E-2</v>
      </c>
      <c r="AB86" s="6">
        <f t="shared" si="1"/>
        <v>-3.2901760000000001E-5</v>
      </c>
      <c r="AC86" s="6">
        <f t="shared" si="1"/>
        <v>-5.0067899999999997E-4</v>
      </c>
      <c r="AD86" s="6">
        <f t="shared" si="1"/>
        <v>-1.240253E-3</v>
      </c>
      <c r="AE86" s="6">
        <f t="shared" si="1"/>
        <v>9.9182129999999996E-5</v>
      </c>
      <c r="AF86" s="6">
        <f t="shared" si="1"/>
        <v>-9.5558169999999997E-4</v>
      </c>
      <c r="AG86" s="6">
        <f t="shared" si="1"/>
        <v>3.7574769999999997E-4</v>
      </c>
      <c r="AH86" s="6">
        <f t="shared" si="1"/>
        <v>2.7942659999999998E-4</v>
      </c>
      <c r="AI86" s="6">
        <f t="shared" si="1"/>
        <v>-3.8957599999999998E-4</v>
      </c>
      <c r="AJ86" s="6">
        <f t="shared" si="1"/>
        <v>-1.029968E-3</v>
      </c>
      <c r="AK86" s="6">
        <f t="shared" si="1"/>
        <v>3.9672850000000001E-4</v>
      </c>
      <c r="AL86" s="6">
        <f t="shared" si="1"/>
        <v>1.037121E-3</v>
      </c>
      <c r="AM86" s="6">
        <f t="shared" si="1"/>
        <v>2.0885470000000001E-4</v>
      </c>
    </row>
    <row r="87" spans="7:39" x14ac:dyDescent="0.25">
      <c r="G87" s="5">
        <v>-4</v>
      </c>
      <c r="H87" s="6">
        <f>G12</f>
        <v>-5.6257249999999998E-3</v>
      </c>
      <c r="I87" s="6">
        <f t="shared" ref="I87:W87" si="2">H12</f>
        <v>-5.2297589999999998E-2</v>
      </c>
      <c r="J87" s="6">
        <f t="shared" si="2"/>
        <v>-4.4849399999999998E-2</v>
      </c>
      <c r="K87" s="6">
        <f t="shared" si="2"/>
        <v>6.5330979999999997E-2</v>
      </c>
      <c r="L87" s="6">
        <f t="shared" si="2"/>
        <v>-3.2037259999999998E-2</v>
      </c>
      <c r="M87" s="6">
        <f t="shared" si="2"/>
        <v>-2.458572E-3</v>
      </c>
      <c r="N87" s="6">
        <f t="shared" si="2"/>
        <v>-2.6875019999999999E-2</v>
      </c>
      <c r="O87" s="6">
        <f t="shared" si="2"/>
        <v>-2.327156E-2</v>
      </c>
      <c r="P87" s="6">
        <f t="shared" si="2"/>
        <v>-2.1201129999999999E-2</v>
      </c>
      <c r="Q87" s="6">
        <f t="shared" si="2"/>
        <v>5.1121710000000001E-2</v>
      </c>
      <c r="R87" s="6">
        <f t="shared" si="2"/>
        <v>-1.418352E-2</v>
      </c>
      <c r="S87" s="6">
        <f t="shared" si="2"/>
        <v>-1.239491E-2</v>
      </c>
      <c r="T87" s="6">
        <f t="shared" si="2"/>
        <v>2.194977E-2</v>
      </c>
      <c r="U87" s="6">
        <f t="shared" si="2"/>
        <v>-8.6245539999999996E-3</v>
      </c>
      <c r="V87" s="6">
        <f t="shared" si="2"/>
        <v>-6.0095790000000001E-3</v>
      </c>
      <c r="W87" s="6">
        <f t="shared" si="2"/>
        <v>-4.7678950000000003E-3</v>
      </c>
      <c r="X87" s="6">
        <f>G13</f>
        <v>-3.646374E-3</v>
      </c>
      <c r="Y87" s="6">
        <f t="shared" ref="Y87:AM87" si="3">H13</f>
        <v>-3.1790730000000001E-3</v>
      </c>
      <c r="Z87" s="6">
        <f t="shared" si="3"/>
        <v>-1.9922260000000002E-3</v>
      </c>
      <c r="AA87" s="6">
        <f t="shared" si="3"/>
        <v>5.6728359999999999E-2</v>
      </c>
      <c r="AB87" s="6">
        <f t="shared" si="3"/>
        <v>-3.1485559999999998E-3</v>
      </c>
      <c r="AC87" s="6">
        <f t="shared" si="3"/>
        <v>-4.3239589999999996E-3</v>
      </c>
      <c r="AD87" s="6">
        <f t="shared" si="3"/>
        <v>-5.1436420000000004E-3</v>
      </c>
      <c r="AE87" s="6">
        <f t="shared" si="3"/>
        <v>-3.6625859999999998E-3</v>
      </c>
      <c r="AF87" s="6">
        <f t="shared" si="3"/>
        <v>-4.8098560000000004E-3</v>
      </c>
      <c r="AG87" s="6">
        <f t="shared" si="3"/>
        <v>-2.5506019999999999E-3</v>
      </c>
      <c r="AH87" s="6">
        <f t="shared" si="3"/>
        <v>-2.0241740000000001E-3</v>
      </c>
      <c r="AI87" s="6">
        <f t="shared" si="3"/>
        <v>1.4114379999999999E-4</v>
      </c>
      <c r="AJ87" s="6">
        <f t="shared" si="3"/>
        <v>1.716614E-3</v>
      </c>
      <c r="AK87" s="6">
        <f t="shared" si="3"/>
        <v>5.5718419999999996E-3</v>
      </c>
      <c r="AL87" s="6">
        <f t="shared" si="3"/>
        <v>1.046419E-2</v>
      </c>
      <c r="AM87" s="6">
        <f t="shared" si="3"/>
        <v>1.531744E-2</v>
      </c>
    </row>
    <row r="88" spans="7:39" x14ac:dyDescent="0.25">
      <c r="G88" s="5">
        <v>-3</v>
      </c>
      <c r="H88" s="6">
        <f>G15</f>
        <v>1.250744E-3</v>
      </c>
      <c r="I88" s="6">
        <f t="shared" ref="I88:W88" si="4">H15</f>
        <v>-4.4481279999999998E-2</v>
      </c>
      <c r="J88" s="6">
        <f t="shared" si="4"/>
        <v>-3.9947990000000003E-2</v>
      </c>
      <c r="K88" s="6">
        <f t="shared" si="4"/>
        <v>6.1937329999999999E-2</v>
      </c>
      <c r="L88" s="6">
        <f t="shared" si="4"/>
        <v>-2.8956409999999998E-2</v>
      </c>
      <c r="M88" s="6">
        <f t="shared" si="4"/>
        <v>-2.1138189999999999E-3</v>
      </c>
      <c r="N88" s="6">
        <f t="shared" si="4"/>
        <v>-2.5067809999999999E-2</v>
      </c>
      <c r="O88" s="6">
        <f t="shared" si="4"/>
        <v>-2.1531109999999999E-2</v>
      </c>
      <c r="P88" s="6">
        <f t="shared" si="4"/>
        <v>-1.8338199999999999E-2</v>
      </c>
      <c r="Q88" s="6">
        <f t="shared" si="4"/>
        <v>5.094862E-2</v>
      </c>
      <c r="R88" s="6">
        <f t="shared" si="4"/>
        <v>-1.487494E-2</v>
      </c>
      <c r="S88" s="6">
        <f t="shared" si="4"/>
        <v>-1.1127949999999999E-2</v>
      </c>
      <c r="T88" s="6">
        <f t="shared" si="4"/>
        <v>1.9298550000000001E-2</v>
      </c>
      <c r="U88" s="6">
        <f t="shared" si="4"/>
        <v>-8.4514619999999999E-3</v>
      </c>
      <c r="V88" s="6">
        <f t="shared" si="4"/>
        <v>-6.1702730000000004E-3</v>
      </c>
      <c r="W88" s="6">
        <f t="shared" si="4"/>
        <v>-4.5857429999999998E-3</v>
      </c>
      <c r="X88" s="6">
        <f>G16</f>
        <v>-3.6487580000000002E-3</v>
      </c>
      <c r="Y88" s="6">
        <f t="shared" ref="Y88:AM88" si="5">H16</f>
        <v>-3.1771659999999999E-3</v>
      </c>
      <c r="Z88" s="6">
        <f t="shared" si="5"/>
        <v>-1.8134119999999999E-3</v>
      </c>
      <c r="AA88" s="6">
        <f t="shared" si="5"/>
        <v>5.4140090000000002E-2</v>
      </c>
      <c r="AB88" s="6">
        <f t="shared" si="5"/>
        <v>-3.3283229999999998E-3</v>
      </c>
      <c r="AC88" s="6">
        <f t="shared" si="5"/>
        <v>-4.8594470000000002E-3</v>
      </c>
      <c r="AD88" s="6">
        <f t="shared" si="5"/>
        <v>-6.0095790000000001E-3</v>
      </c>
      <c r="AE88" s="6">
        <f t="shared" si="5"/>
        <v>-4.3959619999999998E-3</v>
      </c>
      <c r="AF88" s="6">
        <f t="shared" si="5"/>
        <v>-6.1783790000000003E-3</v>
      </c>
      <c r="AG88" s="6">
        <f t="shared" si="5"/>
        <v>-4.2009350000000003E-3</v>
      </c>
      <c r="AH88" s="6">
        <f t="shared" si="5"/>
        <v>-3.8228030000000001E-3</v>
      </c>
      <c r="AI88" s="6">
        <f t="shared" si="5"/>
        <v>-1.6674999999999999E-3</v>
      </c>
      <c r="AJ88" s="6">
        <f t="shared" si="5"/>
        <v>-6.9618230000000004E-4</v>
      </c>
      <c r="AK88" s="6">
        <f t="shared" si="5"/>
        <v>3.2172199999999998E-3</v>
      </c>
      <c r="AL88" s="6">
        <f t="shared" si="5"/>
        <v>8.0962180000000005E-3</v>
      </c>
      <c r="AM88" s="6">
        <f t="shared" si="5"/>
        <v>1.301336E-2</v>
      </c>
    </row>
    <row r="89" spans="7:39" x14ac:dyDescent="0.25">
      <c r="G89" s="5">
        <v>-2</v>
      </c>
      <c r="H89" s="6">
        <f>G18</f>
        <v>7.9541209999999998E-3</v>
      </c>
      <c r="I89" s="6">
        <f t="shared" ref="I89:W89" si="6">H18</f>
        <v>-3.6624909999999997E-2</v>
      </c>
      <c r="J89" s="6">
        <f t="shared" si="6"/>
        <v>-3.4498210000000001E-2</v>
      </c>
      <c r="K89" s="6">
        <f t="shared" si="6"/>
        <v>6.0400490000000001E-2</v>
      </c>
      <c r="L89" s="6">
        <f t="shared" si="6"/>
        <v>-2.6045800000000001E-2</v>
      </c>
      <c r="M89" s="6">
        <f t="shared" si="6"/>
        <v>-2.1004679999999999E-3</v>
      </c>
      <c r="N89" s="6">
        <f t="shared" si="6"/>
        <v>-2.3088930000000001E-2</v>
      </c>
      <c r="O89" s="6">
        <f t="shared" si="6"/>
        <v>-2.0138260000000002E-2</v>
      </c>
      <c r="P89" s="6">
        <f t="shared" si="6"/>
        <v>-1.7039780000000001E-2</v>
      </c>
      <c r="Q89" s="6">
        <f t="shared" si="6"/>
        <v>5.0449849999999997E-2</v>
      </c>
      <c r="R89" s="6">
        <f t="shared" si="6"/>
        <v>-1.3370989999999999E-2</v>
      </c>
      <c r="S89" s="6">
        <f t="shared" si="6"/>
        <v>-1.279593E-2</v>
      </c>
      <c r="T89" s="6">
        <f t="shared" si="6"/>
        <v>1.735592E-2</v>
      </c>
      <c r="U89" s="6">
        <f t="shared" si="6"/>
        <v>-8.2764629999999995E-3</v>
      </c>
      <c r="V89" s="6">
        <f t="shared" si="6"/>
        <v>-5.60379E-3</v>
      </c>
      <c r="W89" s="6">
        <f t="shared" si="6"/>
        <v>-4.4732089999999997E-3</v>
      </c>
      <c r="X89" s="6">
        <f>G19</f>
        <v>-3.8294790000000002E-3</v>
      </c>
      <c r="Y89" s="6">
        <f t="shared" ref="Y89:AM89" si="7">H19</f>
        <v>-3.1256679999999998E-3</v>
      </c>
      <c r="Z89" s="6">
        <f t="shared" si="7"/>
        <v>-2.3555759999999999E-3</v>
      </c>
      <c r="AA89" s="6">
        <f t="shared" si="7"/>
        <v>5.2758689999999997E-2</v>
      </c>
      <c r="AB89" s="6">
        <f t="shared" si="7"/>
        <v>-3.3307079999999999E-3</v>
      </c>
      <c r="AC89" s="6">
        <f t="shared" si="7"/>
        <v>-4.6830179999999997E-3</v>
      </c>
      <c r="AD89" s="6">
        <f t="shared" si="7"/>
        <v>-7.0476530000000001E-3</v>
      </c>
      <c r="AE89" s="6">
        <f t="shared" si="7"/>
        <v>-6.0281750000000002E-3</v>
      </c>
      <c r="AF89" s="6">
        <f t="shared" si="7"/>
        <v>-7.1811679999999999E-3</v>
      </c>
      <c r="AG89" s="6">
        <f t="shared" si="7"/>
        <v>-5.4845809999999997E-3</v>
      </c>
      <c r="AH89" s="6">
        <f t="shared" si="7"/>
        <v>-5.4421419999999996E-3</v>
      </c>
      <c r="AI89" s="6">
        <f t="shared" si="7"/>
        <v>-3.8361549999999999E-3</v>
      </c>
      <c r="AJ89" s="6">
        <f t="shared" si="7"/>
        <v>-1.8815990000000001E-3</v>
      </c>
      <c r="AK89" s="6">
        <f t="shared" si="7"/>
        <v>6.7949299999999998E-4</v>
      </c>
      <c r="AL89" s="6">
        <f t="shared" si="7"/>
        <v>5.9103970000000004E-3</v>
      </c>
      <c r="AM89" s="6">
        <f t="shared" si="7"/>
        <v>9.9983220000000005E-3</v>
      </c>
    </row>
    <row r="90" spans="7:39" x14ac:dyDescent="0.25">
      <c r="G90" s="5">
        <v>-1</v>
      </c>
      <c r="H90" s="6">
        <f>G21</f>
        <v>1.306534E-2</v>
      </c>
      <c r="I90" s="6">
        <f t="shared" ref="I90:W90" si="8">H21</f>
        <v>-2.8232569999999999E-2</v>
      </c>
      <c r="J90" s="6">
        <f t="shared" si="8"/>
        <v>-2.7505399999999999E-2</v>
      </c>
      <c r="K90" s="6">
        <f t="shared" si="8"/>
        <v>5.8351519999999997E-2</v>
      </c>
      <c r="L90" s="6">
        <f t="shared" si="8"/>
        <v>-2.2797580000000001E-2</v>
      </c>
      <c r="M90" s="6">
        <f t="shared" si="8"/>
        <v>-1.9283289999999999E-3</v>
      </c>
      <c r="N90" s="6">
        <f t="shared" si="8"/>
        <v>-2.1509170000000001E-2</v>
      </c>
      <c r="O90" s="6">
        <f t="shared" si="8"/>
        <v>-1.787472E-2</v>
      </c>
      <c r="P90" s="6">
        <f t="shared" si="8"/>
        <v>-1.6174319999999999E-2</v>
      </c>
      <c r="Q90" s="6">
        <f t="shared" si="8"/>
        <v>4.9412249999999998E-2</v>
      </c>
      <c r="R90" s="6">
        <f t="shared" si="8"/>
        <v>-1.2505530000000001E-2</v>
      </c>
      <c r="S90" s="6">
        <f t="shared" si="8"/>
        <v>-1.141548E-2</v>
      </c>
      <c r="T90" s="6">
        <f t="shared" si="8"/>
        <v>1.5763280000000001E-2</v>
      </c>
      <c r="U90" s="6">
        <f t="shared" si="8"/>
        <v>-8.2764629999999995E-3</v>
      </c>
      <c r="V90" s="6">
        <f t="shared" si="8"/>
        <v>-5.2399639999999997E-3</v>
      </c>
      <c r="W90" s="6">
        <f t="shared" si="8"/>
        <v>-4.8341749999999996E-3</v>
      </c>
      <c r="X90" s="6">
        <f>G22</f>
        <v>-4.1918750000000003E-3</v>
      </c>
      <c r="Y90" s="6">
        <f t="shared" ref="Y90:AM90" si="9">H22</f>
        <v>-4.1990279999999996E-3</v>
      </c>
      <c r="Z90" s="6">
        <f t="shared" si="9"/>
        <v>-2.3555759999999999E-3</v>
      </c>
      <c r="AA90" s="6">
        <f t="shared" si="9"/>
        <v>5.0341129999999998E-2</v>
      </c>
      <c r="AB90" s="6">
        <f t="shared" si="9"/>
        <v>-3.5109519999999999E-3</v>
      </c>
      <c r="AC90" s="6">
        <f t="shared" si="9"/>
        <v>-5.2180289999999999E-3</v>
      </c>
      <c r="AD90" s="6">
        <f t="shared" si="9"/>
        <v>-7.9131129999999994E-3</v>
      </c>
      <c r="AE90" s="6">
        <f t="shared" si="9"/>
        <v>-7.2984699999999996E-3</v>
      </c>
      <c r="AF90" s="6">
        <f t="shared" si="9"/>
        <v>-8.7914470000000008E-3</v>
      </c>
      <c r="AG90" s="6">
        <f t="shared" si="9"/>
        <v>-7.134914E-3</v>
      </c>
      <c r="AH90" s="6">
        <f t="shared" si="9"/>
        <v>-7.6017380000000002E-3</v>
      </c>
      <c r="AI90" s="6">
        <f t="shared" si="9"/>
        <v>-6.1759950000000001E-3</v>
      </c>
      <c r="AJ90" s="6">
        <f t="shared" si="9"/>
        <v>-5.1980020000000002E-3</v>
      </c>
      <c r="AK90" s="6">
        <f t="shared" si="9"/>
        <v>-2.2182460000000001E-3</v>
      </c>
      <c r="AL90" s="6">
        <f t="shared" si="9"/>
        <v>1.539707E-3</v>
      </c>
      <c r="AM90" s="6">
        <f t="shared" si="9"/>
        <v>6.4377779999999999E-3</v>
      </c>
    </row>
    <row r="91" spans="7:39" x14ac:dyDescent="0.25">
      <c r="G91" s="5">
        <v>0</v>
      </c>
      <c r="H91" s="6">
        <f>G24</f>
        <v>1.729727E-2</v>
      </c>
      <c r="I91" s="6">
        <f t="shared" ref="I91:W91" si="10">H24</f>
        <v>-1.9651410000000001E-2</v>
      </c>
      <c r="J91" s="6">
        <f t="shared" si="10"/>
        <v>-2.187824E-2</v>
      </c>
      <c r="K91" s="6">
        <f t="shared" si="10"/>
        <v>5.7690140000000001E-2</v>
      </c>
      <c r="L91" s="6">
        <f t="shared" si="10"/>
        <v>-1.9208909999999999E-2</v>
      </c>
      <c r="M91" s="6">
        <f t="shared" si="10"/>
        <v>-1.742363E-3</v>
      </c>
      <c r="N91" s="6">
        <f t="shared" si="10"/>
        <v>-1.8700600000000001E-2</v>
      </c>
      <c r="O91" s="6">
        <f t="shared" si="10"/>
        <v>-1.6139029999999999E-2</v>
      </c>
      <c r="P91" s="6">
        <f t="shared" si="10"/>
        <v>-1.479101E-2</v>
      </c>
      <c r="Q91" s="6">
        <f t="shared" si="10"/>
        <v>4.8893930000000002E-2</v>
      </c>
      <c r="R91" s="6">
        <f t="shared" si="10"/>
        <v>-1.1640070000000001E-2</v>
      </c>
      <c r="S91" s="6">
        <f t="shared" si="10"/>
        <v>-1.038027E-2</v>
      </c>
      <c r="T91" s="6">
        <f t="shared" si="10"/>
        <v>1.4877319999999999E-2</v>
      </c>
      <c r="U91" s="6">
        <f t="shared" si="10"/>
        <v>-8.448601E-3</v>
      </c>
      <c r="V91" s="6">
        <f t="shared" si="10"/>
        <v>-5.7859419999999996E-3</v>
      </c>
      <c r="W91" s="6">
        <f t="shared" si="10"/>
        <v>-3.8189890000000001E-3</v>
      </c>
      <c r="X91" s="6">
        <f>G25</f>
        <v>-3.1051640000000001E-3</v>
      </c>
      <c r="Y91" s="6">
        <f t="shared" ref="Y91:AM91" si="11">H25</f>
        <v>-4.0197369999999998E-3</v>
      </c>
      <c r="Z91" s="6">
        <f t="shared" si="11"/>
        <v>-3.8070679999999998E-3</v>
      </c>
      <c r="AA91" s="6">
        <f t="shared" si="11"/>
        <v>4.8448560000000002E-2</v>
      </c>
      <c r="AB91" s="6">
        <f t="shared" si="11"/>
        <v>-4.4126510000000001E-3</v>
      </c>
      <c r="AC91" s="6">
        <f t="shared" si="11"/>
        <v>-5.9313769999999998E-3</v>
      </c>
      <c r="AD91" s="6">
        <f t="shared" si="11"/>
        <v>-8.9526180000000007E-3</v>
      </c>
      <c r="AE91" s="6">
        <f t="shared" si="11"/>
        <v>-8.7666510000000003E-3</v>
      </c>
      <c r="AF91" s="6">
        <f t="shared" si="11"/>
        <v>-1.00441E-2</v>
      </c>
      <c r="AG91" s="6">
        <f t="shared" si="11"/>
        <v>-9.5195769999999996E-3</v>
      </c>
      <c r="AH91" s="6">
        <f t="shared" si="11"/>
        <v>-9.7785000000000007E-3</v>
      </c>
      <c r="AI91" s="6">
        <f t="shared" si="11"/>
        <v>-9.2349049999999999E-3</v>
      </c>
      <c r="AJ91" s="6">
        <f t="shared" si="11"/>
        <v>-8.4791180000000008E-3</v>
      </c>
      <c r="AK91" s="6">
        <f t="shared" si="11"/>
        <v>-6.3867569999999999E-3</v>
      </c>
      <c r="AL91" s="6">
        <f t="shared" si="11"/>
        <v>-2.8305050000000001E-3</v>
      </c>
      <c r="AM91" s="6">
        <f t="shared" si="11"/>
        <v>1.441002E-3</v>
      </c>
    </row>
    <row r="92" spans="7:39" x14ac:dyDescent="0.25">
      <c r="G92" s="5">
        <v>1</v>
      </c>
      <c r="H92" s="6">
        <f>G27</f>
        <v>1.9073010000000001E-2</v>
      </c>
      <c r="I92" s="6">
        <f t="shared" ref="I92:W92" si="12">H27</f>
        <v>-1.2318610000000001E-2</v>
      </c>
      <c r="J92" s="6">
        <f t="shared" si="12"/>
        <v>-1.6636850000000002E-2</v>
      </c>
      <c r="K92" s="6">
        <f t="shared" si="12"/>
        <v>5.4445739999999999E-2</v>
      </c>
      <c r="L92" s="6">
        <f t="shared" si="12"/>
        <v>-1.612282E-2</v>
      </c>
      <c r="M92" s="6">
        <f t="shared" si="12"/>
        <v>-1.570702E-3</v>
      </c>
      <c r="N92" s="6">
        <f t="shared" si="12"/>
        <v>-1.7073629999999999E-2</v>
      </c>
      <c r="O92" s="6">
        <f t="shared" si="12"/>
        <v>-1.457644E-2</v>
      </c>
      <c r="P92" s="6">
        <f t="shared" si="12"/>
        <v>-1.3319020000000001E-2</v>
      </c>
      <c r="Q92" s="6">
        <f t="shared" si="12"/>
        <v>4.856825E-2</v>
      </c>
      <c r="R92" s="6">
        <f t="shared" si="12"/>
        <v>-1.0775089999999999E-2</v>
      </c>
      <c r="S92" s="6">
        <f t="shared" si="12"/>
        <v>-1.0036949999999999E-2</v>
      </c>
      <c r="T92" s="6">
        <f t="shared" si="12"/>
        <v>1.204586E-2</v>
      </c>
      <c r="U92" s="6">
        <f t="shared" si="12"/>
        <v>-7.4100490000000001E-3</v>
      </c>
      <c r="V92" s="6">
        <f t="shared" si="12"/>
        <v>-6.1297419999999997E-3</v>
      </c>
      <c r="W92" s="6">
        <f t="shared" si="12"/>
        <v>-2.4433139999999998E-3</v>
      </c>
      <c r="X92" s="6">
        <f>G28</f>
        <v>-2.384663E-3</v>
      </c>
      <c r="Y92" s="6">
        <f t="shared" ref="Y92:AM92" si="13">H28</f>
        <v>-2.1810530000000001E-3</v>
      </c>
      <c r="Z92" s="6">
        <f t="shared" si="13"/>
        <v>-4.1732790000000002E-3</v>
      </c>
      <c r="AA92" s="6">
        <f t="shared" si="13"/>
        <v>4.534531E-2</v>
      </c>
      <c r="AB92" s="6">
        <f t="shared" si="13"/>
        <v>-5.135059E-3</v>
      </c>
      <c r="AC92" s="6">
        <f t="shared" si="13"/>
        <v>-7.1830749999999997E-3</v>
      </c>
      <c r="AD92" s="6">
        <f t="shared" si="13"/>
        <v>-1.0497569999999999E-2</v>
      </c>
      <c r="AE92" s="6">
        <f t="shared" si="13"/>
        <v>-1.0209559999999999E-2</v>
      </c>
      <c r="AF92" s="6">
        <f t="shared" si="13"/>
        <v>-1.229858E-2</v>
      </c>
      <c r="AG92" s="6">
        <f t="shared" si="13"/>
        <v>-1.1353490000000001E-2</v>
      </c>
      <c r="AH92" s="6">
        <f t="shared" si="13"/>
        <v>-1.193953E-2</v>
      </c>
      <c r="AI92" s="6">
        <f t="shared" si="13"/>
        <v>-1.2115000000000001E-2</v>
      </c>
      <c r="AJ92" s="6">
        <f t="shared" si="13"/>
        <v>-1.113081E-2</v>
      </c>
      <c r="AK92" s="6">
        <f t="shared" si="13"/>
        <v>-9.8280910000000006E-3</v>
      </c>
      <c r="AL92" s="6">
        <f t="shared" si="13"/>
        <v>-7.3847770000000004E-3</v>
      </c>
      <c r="AM92" s="6">
        <f t="shared" si="13"/>
        <v>-4.2443280000000003E-3</v>
      </c>
    </row>
    <row r="93" spans="7:39" x14ac:dyDescent="0.25">
      <c r="G93" s="5">
        <v>2</v>
      </c>
      <c r="H93" s="6">
        <f>G30</f>
        <v>2.048349E-2</v>
      </c>
      <c r="I93" s="6">
        <f t="shared" ref="I93:W93" si="14">H30</f>
        <v>-5.4998399999999998E-3</v>
      </c>
      <c r="J93" s="6">
        <f t="shared" si="14"/>
        <v>-1.051712E-2</v>
      </c>
      <c r="K93" s="6">
        <f t="shared" si="14"/>
        <v>5.1201339999999998E-2</v>
      </c>
      <c r="L93" s="6">
        <f t="shared" si="14"/>
        <v>-1.270342E-2</v>
      </c>
      <c r="M93" s="6">
        <f t="shared" si="14"/>
        <v>-1.398563E-3</v>
      </c>
      <c r="N93" s="6">
        <f t="shared" si="14"/>
        <v>-1.443958E-2</v>
      </c>
      <c r="O93" s="6">
        <f t="shared" si="14"/>
        <v>-1.2487409999999999E-2</v>
      </c>
      <c r="P93" s="6">
        <f t="shared" si="14"/>
        <v>-1.1761189999999999E-2</v>
      </c>
      <c r="Q93" s="6">
        <f t="shared" si="14"/>
        <v>4.787636E-2</v>
      </c>
      <c r="R93" s="6">
        <f t="shared" si="14"/>
        <v>-9.5629689999999993E-3</v>
      </c>
      <c r="S93" s="6">
        <f t="shared" si="14"/>
        <v>-9.0012549999999997E-3</v>
      </c>
      <c r="T93" s="6">
        <f t="shared" si="14"/>
        <v>9.3913079999999993E-3</v>
      </c>
      <c r="U93" s="6">
        <f t="shared" si="14"/>
        <v>-7.0643420000000004E-3</v>
      </c>
      <c r="V93" s="6">
        <f t="shared" si="14"/>
        <v>-5.94759E-3</v>
      </c>
      <c r="W93" s="6">
        <f t="shared" si="14"/>
        <v>-2.9854769999999998E-3</v>
      </c>
      <c r="X93" s="6">
        <f>G31</f>
        <v>-2.2034649999999999E-3</v>
      </c>
      <c r="Y93" s="6">
        <f t="shared" ref="Y93:AM93" si="15">H31</f>
        <v>-1.286983E-3</v>
      </c>
      <c r="Z93" s="6">
        <f t="shared" si="15"/>
        <v>-3.2696719999999999E-3</v>
      </c>
      <c r="AA93" s="6">
        <f t="shared" si="15"/>
        <v>4.1891570000000003E-2</v>
      </c>
      <c r="AB93" s="6">
        <f t="shared" si="15"/>
        <v>-6.216526E-3</v>
      </c>
      <c r="AC93" s="6">
        <f t="shared" si="15"/>
        <v>-7.7185630000000003E-3</v>
      </c>
      <c r="AD93" s="6">
        <f t="shared" si="15"/>
        <v>-1.153564E-2</v>
      </c>
      <c r="AE93" s="6">
        <f t="shared" si="15"/>
        <v>-1.2024399999999999E-2</v>
      </c>
      <c r="AF93" s="6">
        <f t="shared" si="15"/>
        <v>-1.3371940000000001E-2</v>
      </c>
      <c r="AG93" s="6">
        <f t="shared" si="15"/>
        <v>-1.28212E-2</v>
      </c>
      <c r="AH93" s="6">
        <f t="shared" si="15"/>
        <v>-1.3919829999999999E-2</v>
      </c>
      <c r="AI93" s="6">
        <f t="shared" si="15"/>
        <v>-1.4454359999999999E-2</v>
      </c>
      <c r="AJ93" s="6">
        <f t="shared" si="15"/>
        <v>-1.427221E-2</v>
      </c>
      <c r="AK93" s="6">
        <f t="shared" si="15"/>
        <v>-1.290703E-2</v>
      </c>
      <c r="AL93" s="6">
        <f t="shared" si="15"/>
        <v>-1.1937140000000001E-2</v>
      </c>
      <c r="AM93" s="6">
        <f t="shared" si="15"/>
        <v>-1.0119919999999999E-2</v>
      </c>
    </row>
    <row r="94" spans="7:39" x14ac:dyDescent="0.25">
      <c r="G94" s="5">
        <v>3</v>
      </c>
      <c r="H94" s="6">
        <f>G33</f>
        <v>1.9248009999999999E-2</v>
      </c>
      <c r="I94" s="6">
        <f t="shared" ref="I94:W94" si="16">H33</f>
        <v>2.6226039999999997E-4</v>
      </c>
      <c r="J94" s="6">
        <f t="shared" si="16"/>
        <v>-5.622864E-3</v>
      </c>
      <c r="K94" s="6">
        <f t="shared" si="16"/>
        <v>4.8851489999999997E-2</v>
      </c>
      <c r="L94" s="6">
        <f t="shared" si="16"/>
        <v>-9.8013879999999994E-3</v>
      </c>
      <c r="M94" s="6">
        <f t="shared" si="16"/>
        <v>-1.384735E-3</v>
      </c>
      <c r="N94" s="6">
        <f t="shared" si="16"/>
        <v>-1.298761E-2</v>
      </c>
      <c r="O94" s="6">
        <f t="shared" si="16"/>
        <v>-1.0915279999999999E-2</v>
      </c>
      <c r="P94" s="6">
        <f t="shared" si="16"/>
        <v>-1.0114669999999999E-2</v>
      </c>
      <c r="Q94" s="6">
        <f t="shared" si="16"/>
        <v>4.7550679999999998E-2</v>
      </c>
      <c r="R94" s="6">
        <f t="shared" si="16"/>
        <v>-8.2912449999999992E-3</v>
      </c>
      <c r="S94" s="6">
        <f t="shared" si="16"/>
        <v>-7.7357290000000002E-3</v>
      </c>
      <c r="T94" s="6">
        <f t="shared" si="16"/>
        <v>7.8020099999999998E-3</v>
      </c>
      <c r="U94" s="6">
        <f t="shared" si="16"/>
        <v>-5.8560369999999997E-3</v>
      </c>
      <c r="V94" s="6">
        <f t="shared" si="16"/>
        <v>-4.8551560000000002E-3</v>
      </c>
      <c r="W94" s="6">
        <f t="shared" si="16"/>
        <v>-4.7235489999999996E-3</v>
      </c>
      <c r="X94" s="6">
        <f>G34</f>
        <v>-2.3865700000000002E-3</v>
      </c>
      <c r="Y94" s="6">
        <f t="shared" ref="Y94:AM94" si="17">H34</f>
        <v>-1.005173E-3</v>
      </c>
      <c r="Z94" s="6">
        <f t="shared" si="17"/>
        <v>-2.7246480000000001E-3</v>
      </c>
      <c r="AA94" s="6">
        <f t="shared" si="17"/>
        <v>3.9987559999999998E-2</v>
      </c>
      <c r="AB94" s="6">
        <f t="shared" si="17"/>
        <v>-6.5770150000000003E-3</v>
      </c>
      <c r="AC94" s="6">
        <f t="shared" si="17"/>
        <v>-8.2559590000000002E-3</v>
      </c>
      <c r="AD94" s="6">
        <f t="shared" si="17"/>
        <v>-1.221466E-2</v>
      </c>
      <c r="AE94" s="6">
        <f t="shared" si="17"/>
        <v>-1.275826E-2</v>
      </c>
      <c r="AF94" s="6">
        <f t="shared" si="17"/>
        <v>-1.5048499999999999E-2</v>
      </c>
      <c r="AG94" s="6">
        <f t="shared" si="17"/>
        <v>-1.4471049999999999E-2</v>
      </c>
      <c r="AH94" s="6">
        <f t="shared" si="17"/>
        <v>-1.6087529999999999E-2</v>
      </c>
      <c r="AI94" s="6">
        <f t="shared" si="17"/>
        <v>-1.7159460000000001E-2</v>
      </c>
      <c r="AJ94" s="6">
        <f t="shared" si="17"/>
        <v>-1.7901420000000001E-2</v>
      </c>
      <c r="AK94" s="6">
        <f t="shared" si="17"/>
        <v>-1.7437459999999998E-2</v>
      </c>
      <c r="AL94" s="6">
        <f t="shared" si="17"/>
        <v>-1.7035959999999999E-2</v>
      </c>
      <c r="AM94" s="6">
        <f t="shared" si="17"/>
        <v>-1.668501E-2</v>
      </c>
    </row>
    <row r="95" spans="7:39" x14ac:dyDescent="0.25">
      <c r="G95" s="5">
        <v>4</v>
      </c>
      <c r="H95" s="6">
        <f>G36</f>
        <v>1.6956329999999999E-2</v>
      </c>
      <c r="I95" s="6">
        <f t="shared" ref="I95:W95" si="18">H36</f>
        <v>6.2079429999999996E-3</v>
      </c>
      <c r="J95" s="6">
        <f t="shared" si="18"/>
        <v>-5.5170060000000001E-4</v>
      </c>
      <c r="K95" s="6">
        <f t="shared" si="18"/>
        <v>4.7826769999999998E-2</v>
      </c>
      <c r="L95" s="6">
        <f t="shared" si="18"/>
        <v>-5.6982040000000001E-3</v>
      </c>
      <c r="M95" s="6">
        <f t="shared" si="18"/>
        <v>-8.6784359999999997E-4</v>
      </c>
      <c r="N95" s="6">
        <f t="shared" si="18"/>
        <v>-1.000214E-2</v>
      </c>
      <c r="O95" s="6">
        <f t="shared" si="18"/>
        <v>-8.4776880000000006E-3</v>
      </c>
      <c r="P95" s="6">
        <f t="shared" si="18"/>
        <v>-7.8649519999999997E-3</v>
      </c>
      <c r="Q95" s="6">
        <f t="shared" si="18"/>
        <v>4.685926E-2</v>
      </c>
      <c r="R95" s="6">
        <f t="shared" si="18"/>
        <v>-7.4253080000000003E-3</v>
      </c>
      <c r="S95" s="6">
        <f t="shared" si="18"/>
        <v>-6.527901E-3</v>
      </c>
      <c r="T95" s="6">
        <f t="shared" si="18"/>
        <v>6.0319900000000001E-3</v>
      </c>
      <c r="U95" s="6">
        <f t="shared" si="18"/>
        <v>-5.1655770000000002E-3</v>
      </c>
      <c r="V95" s="6">
        <f t="shared" si="18"/>
        <v>-3.762722E-3</v>
      </c>
      <c r="W95" s="6">
        <f t="shared" si="18"/>
        <v>-4.1818619999999997E-3</v>
      </c>
      <c r="X95" s="6">
        <f>G37</f>
        <v>-3.837109E-3</v>
      </c>
      <c r="Y95" s="6">
        <f t="shared" ref="Y95:AM95" si="19">H37</f>
        <v>-1.3628010000000001E-3</v>
      </c>
      <c r="Z95" s="6">
        <f t="shared" si="19"/>
        <v>-3.2668110000000001E-3</v>
      </c>
      <c r="AA95" s="6">
        <f t="shared" si="19"/>
        <v>3.895092E-2</v>
      </c>
      <c r="AB95" s="6">
        <f t="shared" si="19"/>
        <v>-6.2160490000000004E-3</v>
      </c>
      <c r="AC95" s="6">
        <f t="shared" si="19"/>
        <v>-8.9697839999999997E-3</v>
      </c>
      <c r="AD95" s="6">
        <f t="shared" si="19"/>
        <v>-1.377249E-2</v>
      </c>
      <c r="AE95" s="6">
        <f t="shared" si="19"/>
        <v>-1.45731E-2</v>
      </c>
      <c r="AF95" s="6">
        <f t="shared" si="19"/>
        <v>-1.7016409999999999E-2</v>
      </c>
      <c r="AG95" s="6">
        <f t="shared" si="19"/>
        <v>-1.6855720000000001E-2</v>
      </c>
      <c r="AH95" s="6">
        <f t="shared" si="19"/>
        <v>-1.878786E-2</v>
      </c>
      <c r="AI95" s="6">
        <f t="shared" si="19"/>
        <v>-2.0578860000000001E-2</v>
      </c>
      <c r="AJ95" s="6">
        <f t="shared" si="19"/>
        <v>-2.1218299999999999E-2</v>
      </c>
      <c r="AK95" s="6">
        <f t="shared" si="19"/>
        <v>-2.1603109999999998E-2</v>
      </c>
      <c r="AL95" s="6">
        <f t="shared" si="19"/>
        <v>-2.3045059999999999E-2</v>
      </c>
      <c r="AM95" s="6">
        <f t="shared" si="19"/>
        <v>-2.4518970000000001E-2</v>
      </c>
    </row>
    <row r="96" spans="7:39" x14ac:dyDescent="0.25">
      <c r="G96" s="5">
        <v>5</v>
      </c>
      <c r="H96" s="6">
        <f>G39</f>
        <v>1.202774E-2</v>
      </c>
      <c r="I96" s="6">
        <f t="shared" ref="I96:W96" si="20">H39</f>
        <v>1.1020179999999999E-2</v>
      </c>
      <c r="J96" s="6">
        <f t="shared" si="20"/>
        <v>4.0612219999999997E-3</v>
      </c>
      <c r="K96" s="6">
        <f t="shared" si="20"/>
        <v>4.490471E-2</v>
      </c>
      <c r="L96" s="6">
        <f t="shared" si="20"/>
        <v>-3.1290049999999998E-3</v>
      </c>
      <c r="M96" s="6">
        <f t="shared" si="20"/>
        <v>-8.6784359999999997E-4</v>
      </c>
      <c r="N96" s="6">
        <f t="shared" si="20"/>
        <v>-7.1458820000000001E-3</v>
      </c>
      <c r="O96" s="6">
        <f t="shared" si="20"/>
        <v>-6.392956E-3</v>
      </c>
      <c r="P96" s="6">
        <f t="shared" si="20"/>
        <v>-5.7835580000000003E-3</v>
      </c>
      <c r="Q96" s="6">
        <f t="shared" si="20"/>
        <v>4.6705719999999999E-2</v>
      </c>
      <c r="R96" s="6">
        <f t="shared" si="20"/>
        <v>-5.9819219999999998E-3</v>
      </c>
      <c r="S96" s="6">
        <f t="shared" si="20"/>
        <v>-5.6667330000000002E-3</v>
      </c>
      <c r="T96" s="6">
        <f t="shared" si="20"/>
        <v>4.0893550000000002E-3</v>
      </c>
      <c r="U96" s="6">
        <f t="shared" si="20"/>
        <v>-4.2991640000000003E-3</v>
      </c>
      <c r="V96" s="6">
        <f t="shared" si="20"/>
        <v>-3.0145649999999999E-3</v>
      </c>
      <c r="W96" s="6">
        <f t="shared" si="20"/>
        <v>-2.1500590000000002E-3</v>
      </c>
      <c r="X96" s="6">
        <f>G40</f>
        <v>-2.9296880000000002E-3</v>
      </c>
      <c r="Y96" s="6">
        <f t="shared" ref="Y96:AM96" si="21">H40</f>
        <v>-3.0236239999999999E-3</v>
      </c>
      <c r="Z96" s="6">
        <f t="shared" si="21"/>
        <v>-3.8146970000000001E-3</v>
      </c>
      <c r="AA96" s="6">
        <f t="shared" si="21"/>
        <v>3.6021230000000001E-2</v>
      </c>
      <c r="AB96" s="6">
        <f t="shared" si="21"/>
        <v>-6.4015390000000004E-3</v>
      </c>
      <c r="AC96" s="6">
        <f t="shared" si="21"/>
        <v>-9.1505049999999998E-3</v>
      </c>
      <c r="AD96" s="6">
        <f t="shared" si="21"/>
        <v>-1.5316959999999999E-2</v>
      </c>
      <c r="AE96" s="6">
        <f t="shared" si="21"/>
        <v>-1.6222480000000001E-2</v>
      </c>
      <c r="AF96" s="6">
        <f t="shared" si="21"/>
        <v>-1.8846990000000001E-2</v>
      </c>
      <c r="AG96" s="6">
        <f t="shared" si="21"/>
        <v>-1.8873689999999999E-2</v>
      </c>
      <c r="AH96" s="6">
        <f t="shared" si="21"/>
        <v>-2.166891E-2</v>
      </c>
      <c r="AI96" s="6">
        <f t="shared" si="21"/>
        <v>-2.3998740000000001E-2</v>
      </c>
      <c r="AJ96" s="6">
        <f t="shared" si="21"/>
        <v>-2.5197029999999999E-2</v>
      </c>
      <c r="AK96" s="6">
        <f t="shared" si="21"/>
        <v>-2.6494029999999998E-2</v>
      </c>
      <c r="AL96" s="6">
        <f t="shared" si="21"/>
        <v>-3.0332089999999999E-2</v>
      </c>
      <c r="AM96" s="6">
        <f t="shared" si="21"/>
        <v>-3.3766749999999998E-2</v>
      </c>
    </row>
    <row r="97" spans="7:39" x14ac:dyDescent="0.25">
      <c r="G97" s="5">
        <v>6</v>
      </c>
      <c r="H97" s="6">
        <f>G42</f>
        <v>5.1388739999999999E-3</v>
      </c>
      <c r="I97" s="6">
        <f t="shared" ref="I97:W97" si="22">H42</f>
        <v>1.406336E-2</v>
      </c>
      <c r="J97" s="6">
        <f t="shared" si="22"/>
        <v>7.3461530000000002E-3</v>
      </c>
      <c r="K97" s="6">
        <f t="shared" si="22"/>
        <v>4.2343619999999998E-2</v>
      </c>
      <c r="L97" s="6">
        <f t="shared" si="22"/>
        <v>-5.6409839999999999E-4</v>
      </c>
      <c r="M97" s="6">
        <f t="shared" si="22"/>
        <v>-1.027584E-3</v>
      </c>
      <c r="N97" s="6">
        <f t="shared" si="22"/>
        <v>-5.4893490000000001E-3</v>
      </c>
      <c r="O97" s="6">
        <f t="shared" si="22"/>
        <v>-4.8255920000000001E-3</v>
      </c>
      <c r="P97" s="6">
        <f t="shared" si="22"/>
        <v>-4.9262050000000003E-3</v>
      </c>
      <c r="Q97" s="6">
        <f t="shared" si="22"/>
        <v>4.6320920000000002E-2</v>
      </c>
      <c r="R97" s="6">
        <f t="shared" si="22"/>
        <v>-4.8303599999999997E-3</v>
      </c>
      <c r="S97" s="6">
        <f t="shared" si="22"/>
        <v>-4.9767489999999999E-3</v>
      </c>
      <c r="T97" s="6">
        <f t="shared" si="22"/>
        <v>1.9659999999999999E-3</v>
      </c>
      <c r="U97" s="6">
        <f t="shared" si="22"/>
        <v>-3.7846569999999999E-3</v>
      </c>
      <c r="V97" s="6">
        <f t="shared" si="22"/>
        <v>-2.3069380000000001E-3</v>
      </c>
      <c r="W97" s="6">
        <f t="shared" si="22"/>
        <v>-2.5572780000000001E-3</v>
      </c>
      <c r="X97" s="6">
        <f>G43</f>
        <v>-1.6617769999999999E-3</v>
      </c>
      <c r="Y97" s="6">
        <f t="shared" ref="Y97:AM97" si="23">H43</f>
        <v>-2.1276469999999999E-3</v>
      </c>
      <c r="Z97" s="6">
        <f t="shared" si="23"/>
        <v>-3.9925580000000002E-3</v>
      </c>
      <c r="AA97" s="6">
        <f t="shared" si="23"/>
        <v>3.326225E-2</v>
      </c>
      <c r="AB97" s="6">
        <f t="shared" si="23"/>
        <v>-7.1210860000000004E-3</v>
      </c>
      <c r="AC97" s="6">
        <f t="shared" si="23"/>
        <v>-9.5071789999999993E-3</v>
      </c>
      <c r="AD97" s="6">
        <f t="shared" si="23"/>
        <v>-1.6354560000000001E-2</v>
      </c>
      <c r="AE97" s="6">
        <f t="shared" si="23"/>
        <v>-1.7121790000000001E-2</v>
      </c>
      <c r="AF97" s="6">
        <f t="shared" si="23"/>
        <v>-1.992035E-2</v>
      </c>
      <c r="AG97" s="6">
        <f t="shared" si="23"/>
        <v>-2.0709040000000001E-2</v>
      </c>
      <c r="AH97" s="6">
        <f t="shared" si="23"/>
        <v>-2.3124220000000001E-2</v>
      </c>
      <c r="AI97" s="6">
        <f t="shared" si="23"/>
        <v>-2.6164050000000001E-2</v>
      </c>
      <c r="AJ97" s="6">
        <f t="shared" si="23"/>
        <v>-2.8511519999999999E-2</v>
      </c>
      <c r="AK97" s="6">
        <f t="shared" si="23"/>
        <v>-3.0483719999999999E-2</v>
      </c>
      <c r="AL97" s="6">
        <f t="shared" si="23"/>
        <v>-3.5613060000000002E-2</v>
      </c>
      <c r="AM97" s="6">
        <f t="shared" si="23"/>
        <v>-4.1787619999999998E-2</v>
      </c>
    </row>
    <row r="98" spans="7:39" x14ac:dyDescent="0.25">
      <c r="G98" s="5">
        <v>7</v>
      </c>
      <c r="H98" s="6">
        <f>G45</f>
        <v>-1.382351E-3</v>
      </c>
      <c r="I98" s="6">
        <f t="shared" ref="I98:W98" si="24">H45</f>
        <v>1.5461920000000001E-2</v>
      </c>
      <c r="J98" s="6">
        <f t="shared" si="24"/>
        <v>9.7937579999999996E-3</v>
      </c>
      <c r="K98" s="6">
        <f t="shared" si="24"/>
        <v>3.8415909999999998E-2</v>
      </c>
      <c r="L98" s="6">
        <f t="shared" si="24"/>
        <v>1.829624E-3</v>
      </c>
      <c r="M98" s="6">
        <f t="shared" si="24"/>
        <v>-1.1997220000000001E-3</v>
      </c>
      <c r="N98" s="6">
        <f t="shared" si="24"/>
        <v>-3.558159E-3</v>
      </c>
      <c r="O98" s="6">
        <f t="shared" si="24"/>
        <v>-3.6072729999999998E-3</v>
      </c>
      <c r="P98" s="6">
        <f t="shared" si="24"/>
        <v>-3.7150379999999999E-3</v>
      </c>
      <c r="Q98" s="6">
        <f t="shared" si="24"/>
        <v>4.5802120000000002E-2</v>
      </c>
      <c r="R98" s="6">
        <f t="shared" si="24"/>
        <v>-3.9644240000000002E-3</v>
      </c>
      <c r="S98" s="6">
        <f t="shared" si="24"/>
        <v>-4.2862890000000004E-3</v>
      </c>
      <c r="T98" s="6">
        <f t="shared" si="24"/>
        <v>-5.1164630000000003E-4</v>
      </c>
      <c r="U98" s="6">
        <f t="shared" si="24"/>
        <v>-3.7846569999999999E-3</v>
      </c>
      <c r="V98" s="6">
        <f t="shared" si="24"/>
        <v>-2.3069380000000001E-3</v>
      </c>
      <c r="W98" s="6">
        <f t="shared" si="24"/>
        <v>-2.0151140000000001E-3</v>
      </c>
      <c r="X98" s="6">
        <f>G46</f>
        <v>-1.298904E-3</v>
      </c>
      <c r="Y98" s="6">
        <f t="shared" ref="Y98:AM98" si="25">H46</f>
        <v>-2.1276469999999999E-3</v>
      </c>
      <c r="Z98" s="6">
        <f t="shared" si="25"/>
        <v>-3.4503939999999999E-3</v>
      </c>
      <c r="AA98" s="6">
        <f t="shared" si="25"/>
        <v>2.8772349999999999E-2</v>
      </c>
      <c r="AB98" s="6">
        <f t="shared" si="25"/>
        <v>-6.9403650000000004E-3</v>
      </c>
      <c r="AC98" s="6">
        <f t="shared" si="25"/>
        <v>-9.6855159999999999E-3</v>
      </c>
      <c r="AD98" s="6">
        <f t="shared" si="25"/>
        <v>-1.5661720000000001E-2</v>
      </c>
      <c r="AE98" s="6">
        <f t="shared" si="25"/>
        <v>-1.8936629999999999E-2</v>
      </c>
      <c r="AF98" s="6">
        <f t="shared" si="25"/>
        <v>-2.188826E-2</v>
      </c>
      <c r="AG98" s="6">
        <f t="shared" si="25"/>
        <v>-2.217674E-2</v>
      </c>
      <c r="AH98" s="6">
        <f t="shared" si="25"/>
        <v>-2.4924760000000001E-2</v>
      </c>
      <c r="AI98" s="6">
        <f t="shared" si="25"/>
        <v>-2.8683190000000001E-2</v>
      </c>
      <c r="AJ98" s="6">
        <f t="shared" si="25"/>
        <v>-3.1129839999999999E-2</v>
      </c>
      <c r="AK98" s="6">
        <f t="shared" si="25"/>
        <v>-3.4649369999999999E-2</v>
      </c>
      <c r="AL98" s="6">
        <f t="shared" si="25"/>
        <v>-4.125786E-2</v>
      </c>
      <c r="AM98" s="6">
        <f t="shared" si="25"/>
        <v>-4.8909189999999998E-2</v>
      </c>
    </row>
    <row r="99" spans="7:39" x14ac:dyDescent="0.25">
      <c r="G99" s="5">
        <v>8</v>
      </c>
      <c r="H99" s="6">
        <f>G48</f>
        <v>-9.2935559999999997E-3</v>
      </c>
      <c r="I99" s="6">
        <f t="shared" ref="I99:W99" si="26">H48</f>
        <v>1.793194E-2</v>
      </c>
      <c r="J99" s="6">
        <f t="shared" si="26"/>
        <v>1.266193E-2</v>
      </c>
      <c r="K99" s="6">
        <f t="shared" si="26"/>
        <v>3.6216739999999997E-2</v>
      </c>
      <c r="L99" s="6">
        <f t="shared" si="26"/>
        <v>4.0564540000000001E-3</v>
      </c>
      <c r="M99" s="6">
        <f t="shared" si="26"/>
        <v>-1.6403199999999999E-4</v>
      </c>
      <c r="N99" s="6">
        <f t="shared" si="26"/>
        <v>-2.1824840000000002E-3</v>
      </c>
      <c r="O99" s="6">
        <f t="shared" si="26"/>
        <v>-2.2234920000000001E-3</v>
      </c>
      <c r="P99" s="6">
        <f t="shared" si="26"/>
        <v>-2.3250580000000001E-3</v>
      </c>
      <c r="Q99" s="6">
        <f t="shared" si="26"/>
        <v>4.551554E-2</v>
      </c>
      <c r="R99" s="6">
        <f t="shared" si="26"/>
        <v>-3.846169E-3</v>
      </c>
      <c r="S99" s="6">
        <f t="shared" si="26"/>
        <v>-3.6540029999999999E-3</v>
      </c>
      <c r="T99" s="6">
        <f t="shared" si="26"/>
        <v>-3.6954879999999998E-3</v>
      </c>
      <c r="U99" s="6">
        <f t="shared" si="26"/>
        <v>-3.0875210000000002E-3</v>
      </c>
      <c r="V99" s="6">
        <f t="shared" si="26"/>
        <v>-2.0837780000000001E-3</v>
      </c>
      <c r="W99" s="6">
        <f t="shared" si="26"/>
        <v>-1.971722E-3</v>
      </c>
      <c r="X99" s="6">
        <f>G49</f>
        <v>-1.6641620000000001E-3</v>
      </c>
      <c r="Y99" s="6">
        <f t="shared" ref="Y99:AM99" si="27">H49</f>
        <v>-2.0251269999999998E-3</v>
      </c>
      <c r="Z99" s="6">
        <f t="shared" si="27"/>
        <v>-2.5491709999999998E-3</v>
      </c>
      <c r="AA99" s="6">
        <f t="shared" si="27"/>
        <v>2.6534559999999999E-2</v>
      </c>
      <c r="AB99" s="6">
        <f t="shared" si="27"/>
        <v>-7.1249010000000003E-3</v>
      </c>
      <c r="AC99" s="6">
        <f t="shared" si="27"/>
        <v>-1.0046009999999999E-2</v>
      </c>
      <c r="AD99" s="6">
        <f t="shared" si="27"/>
        <v>-1.6874790000000001E-2</v>
      </c>
      <c r="AE99" s="6">
        <f t="shared" si="27"/>
        <v>-1.858139E-2</v>
      </c>
      <c r="AF99" s="6">
        <f t="shared" si="27"/>
        <v>-2.181959E-2</v>
      </c>
      <c r="AG99" s="6">
        <f t="shared" si="27"/>
        <v>-2.364254E-2</v>
      </c>
      <c r="AH99" s="6">
        <f t="shared" si="27"/>
        <v>-2.8524879999999999E-2</v>
      </c>
      <c r="AI99" s="6">
        <f t="shared" si="27"/>
        <v>-3.2103060000000003E-2</v>
      </c>
      <c r="AJ99" s="6">
        <f t="shared" si="27"/>
        <v>-3.4794329999999998E-2</v>
      </c>
      <c r="AK99" s="6">
        <f t="shared" si="27"/>
        <v>-3.8455959999999997E-2</v>
      </c>
      <c r="AL99" s="6">
        <f t="shared" si="27"/>
        <v>-4.5631409999999997E-2</v>
      </c>
      <c r="AM99" s="6">
        <f t="shared" si="27"/>
        <v>-5.5486679999999997E-2</v>
      </c>
    </row>
    <row r="100" spans="7:39" x14ac:dyDescent="0.25">
      <c r="G100" s="5">
        <v>9</v>
      </c>
      <c r="H100" s="6">
        <f>G51</f>
        <v>-1.722622E-2</v>
      </c>
      <c r="I100" s="6">
        <f t="shared" ref="I100:W100" si="28">H51</f>
        <v>1.7855639999999999E-2</v>
      </c>
      <c r="J100" s="6">
        <f t="shared" si="28"/>
        <v>1.409435E-2</v>
      </c>
      <c r="K100" s="6">
        <f t="shared" si="28"/>
        <v>3.4718510000000001E-2</v>
      </c>
      <c r="L100" s="6">
        <f t="shared" si="28"/>
        <v>5.4340359999999997E-3</v>
      </c>
      <c r="M100" s="6">
        <f t="shared" si="28"/>
        <v>-4.9495699999999997E-4</v>
      </c>
      <c r="N100" s="6">
        <f t="shared" si="28"/>
        <v>-9.0551379999999999E-4</v>
      </c>
      <c r="O100" s="6">
        <f t="shared" si="28"/>
        <v>-1.0085109999999999E-3</v>
      </c>
      <c r="P100" s="6">
        <f t="shared" si="28"/>
        <v>-1.1148449999999999E-3</v>
      </c>
      <c r="Q100" s="6">
        <f t="shared" si="28"/>
        <v>4.4630530000000002E-2</v>
      </c>
      <c r="R100" s="6">
        <f t="shared" si="28"/>
        <v>-2.4013519999999998E-3</v>
      </c>
      <c r="S100" s="6">
        <f t="shared" si="28"/>
        <v>-3.2505989999999998E-3</v>
      </c>
      <c r="T100" s="6">
        <f t="shared" si="28"/>
        <v>-4.9333570000000002E-3</v>
      </c>
      <c r="U100" s="6">
        <f t="shared" si="28"/>
        <v>-3.433228E-3</v>
      </c>
      <c r="V100" s="6">
        <f t="shared" si="28"/>
        <v>-2.4480819999999999E-3</v>
      </c>
      <c r="W100" s="6">
        <f t="shared" si="28"/>
        <v>-1.8591879999999999E-3</v>
      </c>
      <c r="X100" s="6">
        <f>G52</f>
        <v>-1.6641620000000001E-3</v>
      </c>
      <c r="Y100" s="6">
        <f t="shared" ref="Y100:AM100" si="29">H52</f>
        <v>-2.0251269999999998E-3</v>
      </c>
      <c r="Z100" s="6">
        <f t="shared" si="29"/>
        <v>-2.732277E-3</v>
      </c>
      <c r="AA100" s="6">
        <f t="shared" si="29"/>
        <v>2.5156970000000001E-2</v>
      </c>
      <c r="AB100" s="6">
        <f t="shared" si="29"/>
        <v>-6.9441800000000003E-3</v>
      </c>
      <c r="AC100" s="6">
        <f t="shared" si="29"/>
        <v>-9.6883769999999998E-3</v>
      </c>
      <c r="AD100" s="6">
        <f t="shared" si="29"/>
        <v>-1.7381190000000001E-2</v>
      </c>
      <c r="AE100" s="6">
        <f t="shared" si="29"/>
        <v>-1.9496920000000001E-2</v>
      </c>
      <c r="AF100" s="6">
        <f t="shared" si="29"/>
        <v>-2.282619E-2</v>
      </c>
      <c r="AG100" s="6">
        <f t="shared" si="29"/>
        <v>-2.3643020000000001E-2</v>
      </c>
      <c r="AH100" s="6">
        <f t="shared" si="29"/>
        <v>-2.618504E-2</v>
      </c>
      <c r="AI100" s="6">
        <f t="shared" si="29"/>
        <v>-3.5883430000000001E-2</v>
      </c>
      <c r="AJ100" s="6">
        <f t="shared" si="29"/>
        <v>-3.9090159999999999E-2</v>
      </c>
      <c r="AK100" s="6">
        <f t="shared" si="29"/>
        <v>-4.3530939999999997E-2</v>
      </c>
      <c r="AL100" s="6">
        <f t="shared" si="29"/>
        <v>-5.1095010000000003E-2</v>
      </c>
      <c r="AM100" s="6">
        <f t="shared" si="29"/>
        <v>-5.9571739999999998E-2</v>
      </c>
    </row>
    <row r="101" spans="7:39" x14ac:dyDescent="0.25">
      <c r="G101" s="5">
        <v>10</v>
      </c>
      <c r="H101" s="6">
        <f>G54</f>
        <v>-2.6216030000000001E-2</v>
      </c>
      <c r="I101" s="6">
        <f t="shared" ref="I101:W101" si="30">H54</f>
        <v>1.8205639999999999E-2</v>
      </c>
      <c r="J101" s="6">
        <f t="shared" si="30"/>
        <v>1.531887E-2</v>
      </c>
      <c r="K101" s="6">
        <f t="shared" si="30"/>
        <v>3.4035210000000003E-2</v>
      </c>
      <c r="L101" s="6">
        <f t="shared" si="30"/>
        <v>7.143974E-3</v>
      </c>
      <c r="M101" s="6">
        <f t="shared" si="30"/>
        <v>-1.5020370000000001E-4</v>
      </c>
      <c r="N101" s="6">
        <f t="shared" si="30"/>
        <v>3.2424930000000003E-4</v>
      </c>
      <c r="O101" s="6">
        <f t="shared" si="30"/>
        <v>3.8480760000000002E-4</v>
      </c>
      <c r="P101" s="6">
        <f t="shared" si="30"/>
        <v>-7.6293949999999995E-5</v>
      </c>
      <c r="Q101" s="6">
        <f t="shared" si="30"/>
        <v>4.3939110000000003E-2</v>
      </c>
      <c r="R101" s="6">
        <f t="shared" si="30"/>
        <v>-2.055168E-3</v>
      </c>
      <c r="S101" s="6">
        <f t="shared" si="30"/>
        <v>-3.0779840000000002E-3</v>
      </c>
      <c r="T101" s="6">
        <f t="shared" si="30"/>
        <v>-5.4645539999999999E-3</v>
      </c>
      <c r="U101" s="6">
        <f t="shared" si="30"/>
        <v>-3.260612E-3</v>
      </c>
      <c r="V101" s="6">
        <f t="shared" si="30"/>
        <v>-2.0837780000000001E-3</v>
      </c>
      <c r="W101" s="6">
        <f t="shared" si="30"/>
        <v>-2.2206309999999998E-3</v>
      </c>
      <c r="X101" s="6">
        <f>G55</f>
        <v>-2.0265579999999999E-3</v>
      </c>
      <c r="Y101" s="6">
        <f t="shared" ref="Y101:AM101" si="31">H55</f>
        <v>-2.9196740000000001E-3</v>
      </c>
      <c r="Z101" s="6">
        <f t="shared" si="31"/>
        <v>-2.912998E-3</v>
      </c>
      <c r="AA101" s="6">
        <f t="shared" si="31"/>
        <v>2.3602959999999999E-2</v>
      </c>
      <c r="AB101" s="6">
        <f t="shared" si="31"/>
        <v>-6.583691E-3</v>
      </c>
      <c r="AC101" s="6">
        <f t="shared" si="31"/>
        <v>-9.6883769999999998E-3</v>
      </c>
      <c r="AD101" s="6">
        <f t="shared" si="31"/>
        <v>-1.7900940000000001E-2</v>
      </c>
      <c r="AE101" s="6">
        <f t="shared" si="31"/>
        <v>-2.040434E-2</v>
      </c>
      <c r="AF101" s="6">
        <f t="shared" si="31"/>
        <v>-2.3183820000000001E-2</v>
      </c>
      <c r="AG101" s="6">
        <f t="shared" si="31"/>
        <v>-2.4743080000000001E-2</v>
      </c>
      <c r="AH101" s="6">
        <f t="shared" si="31"/>
        <v>-2.8705120000000001E-2</v>
      </c>
      <c r="AI101" s="6">
        <f t="shared" si="31"/>
        <v>-3.0663490000000002E-2</v>
      </c>
      <c r="AJ101" s="6">
        <f t="shared" si="31"/>
        <v>-5.0436500000000002E-2</v>
      </c>
      <c r="AK101" s="6">
        <f t="shared" si="31"/>
        <v>-5.1863670000000001E-2</v>
      </c>
      <c r="AL101" s="6">
        <f t="shared" si="31"/>
        <v>-5.6011680000000001E-2</v>
      </c>
      <c r="AM101" s="6">
        <f t="shared" si="31"/>
        <v>-6.4735409999999993E-2</v>
      </c>
    </row>
    <row r="102" spans="7:39" x14ac:dyDescent="0.25">
      <c r="G102" s="5">
        <v>11</v>
      </c>
      <c r="H102" s="6">
        <f>G57</f>
        <v>-3.5029890000000001E-2</v>
      </c>
      <c r="I102" s="6">
        <f t="shared" ref="I102:W102" si="32">H57</f>
        <v>1.8031599999999998E-2</v>
      </c>
      <c r="J102" s="6">
        <f t="shared" si="32"/>
        <v>1.6891E-2</v>
      </c>
      <c r="K102" s="6">
        <f t="shared" si="32"/>
        <v>3.2498840000000001E-2</v>
      </c>
      <c r="L102" s="6">
        <f t="shared" si="32"/>
        <v>8.5067749999999994E-3</v>
      </c>
      <c r="M102" s="6">
        <f t="shared" si="32"/>
        <v>-4.8255919999999999E-4</v>
      </c>
      <c r="N102" s="6">
        <f t="shared" si="32"/>
        <v>1.5525820000000001E-3</v>
      </c>
      <c r="O102" s="6">
        <f t="shared" si="32"/>
        <v>1.6040799999999999E-3</v>
      </c>
      <c r="P102" s="6">
        <f t="shared" si="32"/>
        <v>1.0514260000000001E-3</v>
      </c>
      <c r="Q102" s="6">
        <f t="shared" si="32"/>
        <v>4.3459419999999999E-2</v>
      </c>
      <c r="R102" s="6">
        <f t="shared" si="32"/>
        <v>-1.1887550000000001E-3</v>
      </c>
      <c r="S102" s="6">
        <f t="shared" si="32"/>
        <v>-2.0422940000000001E-3</v>
      </c>
      <c r="T102" s="6">
        <f t="shared" si="32"/>
        <v>-6.7014689999999998E-3</v>
      </c>
      <c r="U102" s="6">
        <f t="shared" si="32"/>
        <v>-2.9120449999999998E-3</v>
      </c>
      <c r="V102" s="6">
        <f t="shared" si="32"/>
        <v>-2.4271010000000001E-3</v>
      </c>
      <c r="W102" s="6">
        <f t="shared" si="32"/>
        <v>-2.3322109999999998E-3</v>
      </c>
      <c r="X102" s="6">
        <f>G58</f>
        <v>-2.2101400000000002E-3</v>
      </c>
      <c r="Y102" s="6">
        <f t="shared" ref="Y102:AM102" si="33">H58</f>
        <v>-3.2272339999999998E-3</v>
      </c>
      <c r="Z102" s="6">
        <f t="shared" si="33"/>
        <v>-3.2773020000000002E-3</v>
      </c>
      <c r="AA102" s="6">
        <f t="shared" si="33"/>
        <v>2.1876340000000001E-2</v>
      </c>
      <c r="AB102" s="6">
        <f t="shared" si="33"/>
        <v>-6.0429569999999998E-3</v>
      </c>
      <c r="AC102" s="6">
        <f t="shared" si="33"/>
        <v>-9.5114710000000005E-3</v>
      </c>
      <c r="AD102" s="6">
        <f t="shared" si="33"/>
        <v>-1.7701629999999999E-2</v>
      </c>
      <c r="AE102" s="6">
        <f t="shared" si="33"/>
        <v>-2.0948890000000001E-2</v>
      </c>
      <c r="AF102" s="6">
        <f t="shared" si="33"/>
        <v>-2.4189470000000001E-2</v>
      </c>
      <c r="AG102" s="6">
        <f t="shared" si="33"/>
        <v>-2.6211740000000001E-2</v>
      </c>
      <c r="AH102" s="6">
        <f t="shared" si="33"/>
        <v>-3.0163289999999999E-2</v>
      </c>
      <c r="AI102" s="6">
        <f t="shared" si="33"/>
        <v>-3.1569E-2</v>
      </c>
      <c r="AJ102" s="6">
        <f t="shared" si="33"/>
        <v>-5.6891919999999999E-2</v>
      </c>
      <c r="AK102" s="6">
        <f t="shared" si="33"/>
        <v>-5.7660580000000003E-2</v>
      </c>
      <c r="AL102" s="6">
        <f t="shared" si="33"/>
        <v>-5.8560849999999998E-2</v>
      </c>
      <c r="AM102" s="6">
        <f t="shared" si="33"/>
        <v>-6.3844200000000004E-2</v>
      </c>
    </row>
    <row r="103" spans="7:39" x14ac:dyDescent="0.25">
      <c r="G103" s="5">
        <v>12</v>
      </c>
      <c r="H103" s="6">
        <f>G60</f>
        <v>-4.4369220000000001E-2</v>
      </c>
      <c r="I103" s="6">
        <f t="shared" ref="I103:W103" si="34">H60</f>
        <v>1.8030640000000001E-2</v>
      </c>
      <c r="J103" s="6">
        <f t="shared" si="34"/>
        <v>1.7627239999999999E-2</v>
      </c>
      <c r="K103" s="6">
        <f t="shared" si="34"/>
        <v>3.1664369999999997E-2</v>
      </c>
      <c r="L103" s="6">
        <f t="shared" si="34"/>
        <v>1.0050770000000001E-2</v>
      </c>
      <c r="M103" s="6">
        <f t="shared" si="34"/>
        <v>4.8637390000000002E-5</v>
      </c>
      <c r="N103" s="6">
        <f t="shared" si="34"/>
        <v>3.1814579999999999E-3</v>
      </c>
      <c r="O103" s="6">
        <f t="shared" si="34"/>
        <v>2.8181080000000002E-3</v>
      </c>
      <c r="P103" s="6">
        <f t="shared" si="34"/>
        <v>1.832008E-3</v>
      </c>
      <c r="Q103" s="6">
        <f t="shared" si="34"/>
        <v>4.311371E-2</v>
      </c>
      <c r="R103" s="6">
        <f t="shared" si="34"/>
        <v>-4.3725969999999998E-4</v>
      </c>
      <c r="S103" s="6">
        <f t="shared" si="34"/>
        <v>-1.8711089999999999E-3</v>
      </c>
      <c r="T103" s="6">
        <f t="shared" si="34"/>
        <v>-7.5831409999999998E-3</v>
      </c>
      <c r="U103" s="6">
        <f t="shared" si="34"/>
        <v>-2.908707E-3</v>
      </c>
      <c r="V103" s="6">
        <f t="shared" si="34"/>
        <v>-2.0422940000000001E-3</v>
      </c>
      <c r="W103" s="6">
        <f t="shared" si="34"/>
        <v>-2.2196770000000002E-3</v>
      </c>
      <c r="X103" s="6">
        <f>G61</f>
        <v>-2.9349329999999998E-3</v>
      </c>
      <c r="Y103" s="6">
        <f t="shared" ref="Y103:AM103" si="35">H61</f>
        <v>-3.585815E-3</v>
      </c>
      <c r="Z103" s="6">
        <f t="shared" si="35"/>
        <v>-3.098965E-3</v>
      </c>
      <c r="AA103" s="6">
        <f t="shared" si="35"/>
        <v>2.0669940000000001E-2</v>
      </c>
      <c r="AB103" s="6">
        <f t="shared" si="35"/>
        <v>-6.2236790000000002E-3</v>
      </c>
      <c r="AC103" s="6">
        <f t="shared" si="35"/>
        <v>-9.3331339999999999E-3</v>
      </c>
      <c r="AD103" s="6">
        <f t="shared" si="35"/>
        <v>-1.857996E-2</v>
      </c>
      <c r="AE103" s="6">
        <f t="shared" si="35"/>
        <v>-2.1138669999999998E-2</v>
      </c>
      <c r="AF103" s="6">
        <f t="shared" si="35"/>
        <v>-2.5082110000000001E-2</v>
      </c>
      <c r="AG103" s="6">
        <f t="shared" si="35"/>
        <v>-2.6762009999999999E-2</v>
      </c>
      <c r="AH103" s="6">
        <f t="shared" si="35"/>
        <v>-3.0883310000000001E-2</v>
      </c>
      <c r="AI103" s="6">
        <f t="shared" si="35"/>
        <v>-3.5169119999999998E-2</v>
      </c>
      <c r="AJ103" s="6">
        <f t="shared" si="35"/>
        <v>-6.2614920000000004E-2</v>
      </c>
      <c r="AK103" s="6">
        <f t="shared" si="35"/>
        <v>-6.3094620000000004E-2</v>
      </c>
      <c r="AL103" s="6">
        <f t="shared" si="35"/>
        <v>-6.2939170000000003E-2</v>
      </c>
      <c r="AM103" s="6">
        <f t="shared" si="35"/>
        <v>-6.7039970000000004E-2</v>
      </c>
    </row>
    <row r="104" spans="7:39" x14ac:dyDescent="0.25">
      <c r="G104" s="5">
        <v>13</v>
      </c>
      <c r="H104" s="6">
        <f>G63</f>
        <v>-5.159569E-2</v>
      </c>
      <c r="I104" s="6">
        <f t="shared" ref="I104:W104" si="36">H63</f>
        <v>1.7331119999999998E-2</v>
      </c>
      <c r="J104" s="6">
        <f t="shared" si="36"/>
        <v>1.8326760000000001E-2</v>
      </c>
      <c r="K104" s="6">
        <f t="shared" si="36"/>
        <v>3.1834599999999998E-2</v>
      </c>
      <c r="L104" s="6">
        <f t="shared" si="36"/>
        <v>1.159E-2</v>
      </c>
      <c r="M104" s="6">
        <f t="shared" si="36"/>
        <v>3.9339069999999999E-4</v>
      </c>
      <c r="N104" s="6">
        <f t="shared" si="36"/>
        <v>4.5862200000000002E-3</v>
      </c>
      <c r="O104" s="6">
        <f t="shared" si="36"/>
        <v>3.5152439999999998E-3</v>
      </c>
      <c r="P104" s="6">
        <f t="shared" si="36"/>
        <v>2.3508069999999999E-3</v>
      </c>
      <c r="Q104" s="6">
        <f t="shared" si="36"/>
        <v>4.2249200000000001E-2</v>
      </c>
      <c r="R104" s="6">
        <f t="shared" si="36"/>
        <v>-2.641678E-4</v>
      </c>
      <c r="S104" s="6">
        <f t="shared" si="36"/>
        <v>-1.3532640000000001E-3</v>
      </c>
      <c r="T104" s="6">
        <f t="shared" si="36"/>
        <v>-8.2912449999999992E-3</v>
      </c>
      <c r="U104" s="6">
        <f t="shared" si="36"/>
        <v>-2.7360919999999999E-3</v>
      </c>
      <c r="V104" s="6">
        <f t="shared" si="36"/>
        <v>-2.4065969999999999E-3</v>
      </c>
      <c r="W104" s="6">
        <f t="shared" si="36"/>
        <v>-2.4003980000000002E-3</v>
      </c>
      <c r="X104" s="6">
        <f>G64</f>
        <v>-3.479004E-3</v>
      </c>
      <c r="Y104" s="6">
        <f t="shared" ref="Y104:AM104" si="37">H64</f>
        <v>-4.8384669999999999E-3</v>
      </c>
      <c r="Z104" s="6">
        <f t="shared" si="37"/>
        <v>-4.0025709999999999E-3</v>
      </c>
      <c r="AA104" s="6">
        <f t="shared" si="37"/>
        <v>2.170563E-2</v>
      </c>
      <c r="AB104" s="6">
        <f t="shared" si="37"/>
        <v>-6.0439109999999999E-3</v>
      </c>
      <c r="AC104" s="6">
        <f t="shared" si="37"/>
        <v>-8.7976459999999992E-3</v>
      </c>
      <c r="AD104" s="6">
        <f t="shared" si="37"/>
        <v>-1.736832E-2</v>
      </c>
      <c r="AE104" s="6">
        <f t="shared" si="37"/>
        <v>-2.0776269999999999E-2</v>
      </c>
      <c r="AF104" s="6">
        <f t="shared" si="37"/>
        <v>-2.49033E-2</v>
      </c>
      <c r="AG104" s="6">
        <f t="shared" si="37"/>
        <v>-2.6578899999999999E-2</v>
      </c>
      <c r="AH104" s="6">
        <f t="shared" si="37"/>
        <v>-3.1243320000000002E-2</v>
      </c>
      <c r="AI104" s="6">
        <f t="shared" si="37"/>
        <v>-4.6147819999999999E-2</v>
      </c>
      <c r="AJ104" s="6">
        <f t="shared" si="37"/>
        <v>-6.4186099999999996E-2</v>
      </c>
      <c r="AK104" s="6">
        <f t="shared" si="37"/>
        <v>-6.4362530000000001E-2</v>
      </c>
      <c r="AL104" s="6">
        <f t="shared" si="37"/>
        <v>-6.3667299999999996E-2</v>
      </c>
      <c r="AM104" s="6">
        <f t="shared" si="37"/>
        <v>-6.5793509999999999E-2</v>
      </c>
    </row>
    <row r="105" spans="7:39" x14ac:dyDescent="0.25">
      <c r="G105" s="5">
        <v>14</v>
      </c>
      <c r="H105" s="6">
        <f>G66</f>
        <v>-2.7617929999999999E-2</v>
      </c>
      <c r="I105" s="6">
        <f t="shared" ref="I105:W105" si="38">H66</f>
        <v>1.8231870000000001E-2</v>
      </c>
      <c r="J105" s="6">
        <f t="shared" si="38"/>
        <v>1.6926770000000001E-2</v>
      </c>
      <c r="K105" s="6">
        <f t="shared" si="38"/>
        <v>3.2670499999999998E-2</v>
      </c>
      <c r="L105" s="6">
        <f t="shared" si="38"/>
        <v>9.8848340000000003E-3</v>
      </c>
      <c r="M105" s="6">
        <f t="shared" si="38"/>
        <v>-1.2302400000000001E-4</v>
      </c>
      <c r="N105" s="6">
        <f t="shared" si="38"/>
        <v>2.7036669999999999E-3</v>
      </c>
      <c r="O105" s="6">
        <f t="shared" si="38"/>
        <v>2.64883E-3</v>
      </c>
      <c r="P105" s="6">
        <f t="shared" si="38"/>
        <v>1.749039E-3</v>
      </c>
      <c r="Q105" s="6">
        <f t="shared" si="38"/>
        <v>4.1404249999999997E-2</v>
      </c>
      <c r="R105" s="6">
        <f t="shared" si="38"/>
        <v>-1.416683E-3</v>
      </c>
      <c r="S105" s="6">
        <f t="shared" si="38"/>
        <v>-2.848625E-3</v>
      </c>
      <c r="T105" s="6">
        <f t="shared" si="38"/>
        <v>-8.1148149999999992E-3</v>
      </c>
      <c r="U105" s="6">
        <f t="shared" si="38"/>
        <v>-4.1170119999999998E-3</v>
      </c>
      <c r="V105" s="6">
        <f t="shared" si="38"/>
        <v>-4.0450099999999999E-3</v>
      </c>
      <c r="W105" s="6">
        <f t="shared" si="38"/>
        <v>-5.2442549999999998E-3</v>
      </c>
      <c r="X105" s="6">
        <f>G67</f>
        <v>-6.7458149999999996E-3</v>
      </c>
      <c r="Y105" s="6">
        <f t="shared" ref="Y105:AM105" si="39">H67</f>
        <v>-7.8272819999999996E-3</v>
      </c>
      <c r="Z105" s="6">
        <f t="shared" si="39"/>
        <v>-7.6184269999999997E-3</v>
      </c>
      <c r="AA105" s="6">
        <f t="shared" si="39"/>
        <v>2.2574420000000001E-2</v>
      </c>
      <c r="AB105" s="6">
        <f t="shared" si="39"/>
        <v>-1.199484E-2</v>
      </c>
      <c r="AC105" s="6">
        <f t="shared" si="39"/>
        <v>-1.5224929999999999E-2</v>
      </c>
      <c r="AD105" s="6">
        <f t="shared" si="39"/>
        <v>-2.4453160000000002E-2</v>
      </c>
      <c r="AE105" s="6">
        <f t="shared" si="39"/>
        <v>-2.4958129999999999E-2</v>
      </c>
      <c r="AF105" s="6">
        <f t="shared" si="39"/>
        <v>-2.6512620000000001E-2</v>
      </c>
      <c r="AG105" s="6">
        <f t="shared" si="39"/>
        <v>-2.547932E-2</v>
      </c>
      <c r="AH105" s="6">
        <f t="shared" si="39"/>
        <v>-2.6391029999999999E-2</v>
      </c>
      <c r="AI105" s="6">
        <f t="shared" si="39"/>
        <v>-2.8161530000000001E-2</v>
      </c>
      <c r="AJ105" s="6">
        <f t="shared" si="39"/>
        <v>-2.8575420000000001E-2</v>
      </c>
      <c r="AK105" s="6">
        <f t="shared" si="39"/>
        <v>-2.7413369999999999E-2</v>
      </c>
      <c r="AL105" s="6">
        <f t="shared" si="39"/>
        <v>-2.524042E-2</v>
      </c>
      <c r="AM105" s="6">
        <f t="shared" si="39"/>
        <v>-2.393818E-2</v>
      </c>
    </row>
    <row r="106" spans="7:39" x14ac:dyDescent="0.25">
      <c r="G106" s="5">
        <v>15</v>
      </c>
      <c r="H106" s="6">
        <f>G69</f>
        <v>-1.457024E-2</v>
      </c>
      <c r="I106" s="6">
        <f t="shared" ref="I106:W106" si="40">H69</f>
        <v>1.7883300000000001E-2</v>
      </c>
      <c r="J106" s="6">
        <f t="shared" si="40"/>
        <v>1.5388489999999999E-2</v>
      </c>
      <c r="K106" s="6">
        <f t="shared" si="40"/>
        <v>3.2689089999999997E-2</v>
      </c>
      <c r="L106" s="6">
        <f t="shared" si="40"/>
        <v>8.3508490000000005E-3</v>
      </c>
      <c r="M106" s="6">
        <f t="shared" si="40"/>
        <v>-1.091957E-4</v>
      </c>
      <c r="N106" s="6">
        <f t="shared" si="40"/>
        <v>1.474857E-3</v>
      </c>
      <c r="O106" s="6">
        <f t="shared" si="40"/>
        <v>1.5950199999999999E-3</v>
      </c>
      <c r="P106" s="6">
        <f t="shared" si="40"/>
        <v>7.1191790000000004E-4</v>
      </c>
      <c r="Q106" s="6">
        <f t="shared" si="40"/>
        <v>4.1078089999999998E-2</v>
      </c>
      <c r="R106" s="6">
        <f t="shared" si="40"/>
        <v>-2.1691319999999998E-3</v>
      </c>
      <c r="S106" s="6">
        <f t="shared" si="40"/>
        <v>-3.3645630000000001E-3</v>
      </c>
      <c r="T106" s="6">
        <f t="shared" si="40"/>
        <v>-8.2879070000000006E-3</v>
      </c>
      <c r="U106" s="6">
        <f t="shared" si="40"/>
        <v>-5.6681630000000004E-3</v>
      </c>
      <c r="V106" s="6">
        <f t="shared" si="40"/>
        <v>-5.8445930000000004E-3</v>
      </c>
      <c r="W106" s="6">
        <f t="shared" si="40"/>
        <v>-7.9488749999999993E-3</v>
      </c>
      <c r="X106" s="5">
        <f>G70</f>
        <v>-1.037502E-2</v>
      </c>
      <c r="Y106" s="5">
        <f t="shared" ref="Y106:AM106" si="41">H70</f>
        <v>-1.212072E-2</v>
      </c>
      <c r="Z106" s="5">
        <f t="shared" si="41"/>
        <v>-1.3042929999999999E-2</v>
      </c>
      <c r="AA106" s="5">
        <f t="shared" si="41"/>
        <v>2.3440840000000001E-2</v>
      </c>
      <c r="AB106" s="5">
        <f t="shared" si="41"/>
        <v>-1.596498E-2</v>
      </c>
      <c r="AC106" s="5">
        <f t="shared" si="41"/>
        <v>-1.808357E-2</v>
      </c>
      <c r="AD106" s="5">
        <f t="shared" si="41"/>
        <v>-1.9952770000000002E-2</v>
      </c>
      <c r="AE106" s="5">
        <f t="shared" si="41"/>
        <v>-1.9150259999999999E-2</v>
      </c>
      <c r="AF106" s="5">
        <f t="shared" si="41"/>
        <v>-2.0185950000000001E-2</v>
      </c>
      <c r="AG106" s="5">
        <f t="shared" si="41"/>
        <v>-1.8693919999999999E-2</v>
      </c>
      <c r="AH106" s="5">
        <f t="shared" si="41"/>
        <v>-1.9188879999999998E-2</v>
      </c>
      <c r="AI106" s="5">
        <f t="shared" si="41"/>
        <v>-2.096605E-2</v>
      </c>
      <c r="AJ106" s="5">
        <f t="shared" si="41"/>
        <v>-2.0207880000000001E-2</v>
      </c>
      <c r="AK106" s="5">
        <f t="shared" si="41"/>
        <v>-1.9988059999999998E-2</v>
      </c>
      <c r="AL106" s="5">
        <f t="shared" si="41"/>
        <v>-1.904869E-2</v>
      </c>
      <c r="AM106" s="5">
        <f t="shared" si="41"/>
        <v>-1.8777849999999999E-2</v>
      </c>
    </row>
    <row r="107" spans="7:39" x14ac:dyDescent="0.25">
      <c r="G107" s="5">
        <v>16</v>
      </c>
      <c r="H107" s="6">
        <f>G72</f>
        <v>-6.9894789999999998E-3</v>
      </c>
      <c r="I107" s="6">
        <f t="shared" ref="I107:W107" si="42">H72</f>
        <v>1.8058299999999999E-2</v>
      </c>
      <c r="J107" s="6">
        <f t="shared" si="42"/>
        <v>1.451445E-2</v>
      </c>
      <c r="K107" s="6">
        <f t="shared" si="42"/>
        <v>3.3713819999999999E-2</v>
      </c>
      <c r="L107" s="6">
        <f t="shared" si="42"/>
        <v>7.6665880000000002E-3</v>
      </c>
      <c r="M107" s="6">
        <f t="shared" si="42"/>
        <v>-4.5394899999999999E-4</v>
      </c>
      <c r="N107" s="6">
        <f t="shared" si="42"/>
        <v>1.474857E-3</v>
      </c>
      <c r="O107" s="6">
        <f t="shared" si="42"/>
        <v>1.2469289999999999E-3</v>
      </c>
      <c r="P107" s="6">
        <f t="shared" si="42"/>
        <v>7.1191790000000004E-4</v>
      </c>
      <c r="Q107" s="6">
        <f t="shared" si="42"/>
        <v>4.0559289999999998E-2</v>
      </c>
      <c r="R107" s="6">
        <f t="shared" si="42"/>
        <v>-2.6884080000000002E-3</v>
      </c>
      <c r="S107" s="6">
        <f t="shared" si="42"/>
        <v>-4.0550229999999996E-3</v>
      </c>
      <c r="T107" s="6">
        <f t="shared" si="42"/>
        <v>-8.4648129999999999E-3</v>
      </c>
      <c r="U107" s="6">
        <f t="shared" si="42"/>
        <v>-6.3591000000000003E-3</v>
      </c>
      <c r="V107" s="6">
        <f t="shared" si="42"/>
        <v>-6.7548749999999996E-3</v>
      </c>
      <c r="W107" s="6">
        <f t="shared" si="42"/>
        <v>-9.3936920000000004E-3</v>
      </c>
      <c r="X107" s="6">
        <f>G73</f>
        <v>-1.1825560000000001E-2</v>
      </c>
      <c r="Y107" s="6">
        <f t="shared" ref="Y107:AM107" si="43">H73</f>
        <v>-1.4983649999999999E-2</v>
      </c>
      <c r="Z107" s="6">
        <f t="shared" si="43"/>
        <v>-1.5573500000000001E-2</v>
      </c>
      <c r="AA107" s="6">
        <f t="shared" si="43"/>
        <v>2.5858880000000001E-2</v>
      </c>
      <c r="AB107" s="6">
        <f t="shared" si="43"/>
        <v>-1.668644E-2</v>
      </c>
      <c r="AC107" s="6">
        <f t="shared" si="43"/>
        <v>-1.7548560000000001E-2</v>
      </c>
      <c r="AD107" s="6">
        <f t="shared" si="43"/>
        <v>-1.631784E-2</v>
      </c>
      <c r="AE107" s="6">
        <f t="shared" si="43"/>
        <v>-1.533937E-2</v>
      </c>
      <c r="AF107" s="6">
        <f t="shared" si="43"/>
        <v>-1.6249179999999998E-2</v>
      </c>
      <c r="AG107" s="6">
        <f t="shared" si="43"/>
        <v>-1.5025139999999999E-2</v>
      </c>
      <c r="AH107" s="6">
        <f t="shared" si="43"/>
        <v>-1.5768529999999999E-2</v>
      </c>
      <c r="AI107" s="6">
        <f t="shared" si="43"/>
        <v>-1.6105649999999999E-2</v>
      </c>
      <c r="AJ107" s="6">
        <f t="shared" si="43"/>
        <v>-1.5843869999999999E-2</v>
      </c>
      <c r="AK107" s="6">
        <f t="shared" si="43"/>
        <v>-1.509666E-2</v>
      </c>
      <c r="AL107" s="6">
        <f t="shared" si="43"/>
        <v>-1.4677519999999999E-2</v>
      </c>
      <c r="AM107" s="6">
        <f t="shared" si="43"/>
        <v>-1.503849E-2</v>
      </c>
    </row>
    <row r="108" spans="7:39" x14ac:dyDescent="0.25">
      <c r="G108" s="5">
        <v>17</v>
      </c>
      <c r="H108" s="6">
        <f>G75</f>
        <v>-8.0404280000000005E-3</v>
      </c>
      <c r="I108" s="6">
        <f t="shared" ref="I108:W108" si="44">H75</f>
        <v>1.7983909999999999E-2</v>
      </c>
      <c r="J108" s="6">
        <f t="shared" si="44"/>
        <v>1.5774730000000001E-2</v>
      </c>
      <c r="K108" s="6">
        <f t="shared" si="44"/>
        <v>3.5932539999999999E-2</v>
      </c>
      <c r="L108" s="6">
        <f t="shared" si="44"/>
        <v>8.0084800000000001E-3</v>
      </c>
      <c r="M108" s="6">
        <f t="shared" si="44"/>
        <v>-4.5204160000000002E-4</v>
      </c>
      <c r="N108" s="6">
        <f t="shared" si="44"/>
        <v>1.5244480000000001E-3</v>
      </c>
      <c r="O108" s="6">
        <f t="shared" si="44"/>
        <v>1.4209750000000001E-3</v>
      </c>
      <c r="P108" s="6">
        <f t="shared" si="44"/>
        <v>7.1191790000000004E-4</v>
      </c>
      <c r="Q108" s="6">
        <f t="shared" si="44"/>
        <v>4.0040489999999998E-2</v>
      </c>
      <c r="R108" s="6">
        <f t="shared" si="44"/>
        <v>-2.1085740000000002E-3</v>
      </c>
      <c r="S108" s="6">
        <f t="shared" si="44"/>
        <v>-3.9391519999999996E-3</v>
      </c>
      <c r="T108" s="6">
        <f t="shared" si="44"/>
        <v>-7.2255130000000002E-3</v>
      </c>
      <c r="U108" s="6">
        <f t="shared" si="44"/>
        <v>-6.3586240000000002E-3</v>
      </c>
      <c r="V108" s="6">
        <f t="shared" si="44"/>
        <v>-7.139683E-3</v>
      </c>
      <c r="W108" s="6">
        <f t="shared" si="44"/>
        <v>-9.1004369999999994E-3</v>
      </c>
      <c r="X108" s="6">
        <f>G76</f>
        <v>-1.1825560000000001E-2</v>
      </c>
      <c r="Y108" s="6">
        <f t="shared" ref="Y108:AM108" si="45">H76</f>
        <v>-1.5517710000000001E-2</v>
      </c>
      <c r="Z108" s="6">
        <f t="shared" si="45"/>
        <v>-1.52154E-2</v>
      </c>
      <c r="AA108" s="6">
        <f t="shared" si="45"/>
        <v>2.8276920000000001E-2</v>
      </c>
      <c r="AB108" s="6">
        <f t="shared" si="45"/>
        <v>-1.632929E-2</v>
      </c>
      <c r="AC108" s="6">
        <f t="shared" si="45"/>
        <v>-1.6837120000000001E-2</v>
      </c>
      <c r="AD108" s="6">
        <f t="shared" si="45"/>
        <v>-1.6304019999999999E-2</v>
      </c>
      <c r="AE108" s="6">
        <f t="shared" si="45"/>
        <v>-1.516581E-2</v>
      </c>
      <c r="AF108" s="6">
        <f t="shared" si="45"/>
        <v>-1.6002659999999998E-2</v>
      </c>
      <c r="AG108" s="6">
        <f t="shared" si="45"/>
        <v>-1.4658930000000001E-2</v>
      </c>
      <c r="AH108" s="6">
        <f t="shared" si="45"/>
        <v>-1.4877319999999999E-2</v>
      </c>
      <c r="AI108" s="6">
        <f t="shared" si="45"/>
        <v>-1.5565870000000001E-2</v>
      </c>
      <c r="AJ108" s="6">
        <f t="shared" si="45"/>
        <v>-1.546001E-2</v>
      </c>
      <c r="AK108" s="6">
        <f t="shared" si="45"/>
        <v>-1.4192099999999999E-2</v>
      </c>
      <c r="AL108" s="6">
        <f t="shared" si="45"/>
        <v>-1.431465E-2</v>
      </c>
      <c r="AM108" s="6">
        <f t="shared" si="45"/>
        <v>-1.449347E-2</v>
      </c>
    </row>
    <row r="109" spans="7:39" x14ac:dyDescent="0.25">
      <c r="G109" s="5">
        <v>18</v>
      </c>
      <c r="H109" s="6">
        <f>G78</f>
        <v>-1.033211E-2</v>
      </c>
      <c r="I109" s="6">
        <f t="shared" ref="I109:W109" si="46">H78</f>
        <v>1.8332959999999999E-2</v>
      </c>
      <c r="J109" s="6">
        <f t="shared" si="46"/>
        <v>1.6299250000000001E-2</v>
      </c>
      <c r="K109" s="6">
        <f t="shared" si="46"/>
        <v>3.7127970000000003E-2</v>
      </c>
      <c r="L109" s="6">
        <f t="shared" si="46"/>
        <v>9.718895E-3</v>
      </c>
      <c r="M109" s="6">
        <f t="shared" si="46"/>
        <v>6.4849849999999994E-5</v>
      </c>
      <c r="N109" s="6">
        <f t="shared" si="46"/>
        <v>2.7542109999999999E-3</v>
      </c>
      <c r="O109" s="6">
        <f t="shared" si="46"/>
        <v>2.1171570000000002E-3</v>
      </c>
      <c r="P109" s="6">
        <f t="shared" si="46"/>
        <v>1.4042849999999999E-3</v>
      </c>
      <c r="Q109" s="6">
        <f t="shared" si="46"/>
        <v>3.9694790000000001E-2</v>
      </c>
      <c r="R109" s="6">
        <f t="shared" si="46"/>
        <v>-1.76239E-3</v>
      </c>
      <c r="S109" s="6">
        <f t="shared" si="46"/>
        <v>-3.2491680000000002E-3</v>
      </c>
      <c r="T109" s="6">
        <f t="shared" si="46"/>
        <v>-6.6947939999999996E-3</v>
      </c>
      <c r="U109" s="6">
        <f t="shared" si="46"/>
        <v>-6.0133929999999997E-3</v>
      </c>
      <c r="V109" s="6">
        <f t="shared" si="46"/>
        <v>-7.5035099999999997E-3</v>
      </c>
      <c r="W109" s="6">
        <f t="shared" si="46"/>
        <v>-1.000357E-2</v>
      </c>
      <c r="X109" s="5">
        <f>G79</f>
        <v>-1.2550830000000001E-2</v>
      </c>
      <c r="Y109" s="5">
        <f t="shared" ref="Y109:AM109" si="47">H79</f>
        <v>-1.5875340000000002E-2</v>
      </c>
      <c r="Z109" s="5">
        <f t="shared" si="47"/>
        <v>-1.6119000000000001E-2</v>
      </c>
      <c r="AA109" s="5">
        <f t="shared" si="47"/>
        <v>2.879524E-2</v>
      </c>
      <c r="AB109" s="5">
        <f t="shared" si="47"/>
        <v>-1.7231460000000001E-2</v>
      </c>
      <c r="AC109" s="5">
        <f t="shared" si="47"/>
        <v>-1.7551420000000002E-2</v>
      </c>
      <c r="AD109" s="5">
        <f t="shared" si="47"/>
        <v>-1.6822810000000001E-2</v>
      </c>
      <c r="AE109" s="5">
        <f t="shared" si="47"/>
        <v>-1.5892030000000001E-2</v>
      </c>
      <c r="AF109" s="5">
        <f t="shared" si="47"/>
        <v>-1.653957E-2</v>
      </c>
      <c r="AG109" s="5">
        <f t="shared" si="47"/>
        <v>-1.5576359999999999E-2</v>
      </c>
      <c r="AH109" s="5">
        <f t="shared" si="47"/>
        <v>-1.595736E-2</v>
      </c>
      <c r="AI109" s="5">
        <f t="shared" si="47"/>
        <v>-1.6285899999999999E-2</v>
      </c>
      <c r="AJ109" s="5">
        <f t="shared" si="47"/>
        <v>-1.6681669999999999E-2</v>
      </c>
      <c r="AK109" s="5">
        <f t="shared" si="47"/>
        <v>-1.546001E-2</v>
      </c>
      <c r="AL109" s="5">
        <f t="shared" si="47"/>
        <v>-1.522541E-2</v>
      </c>
      <c r="AM109" s="5">
        <f t="shared" si="47"/>
        <v>-1.520586E-2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109"/>
  <sheetViews>
    <sheetView workbookViewId="0">
      <selection activeCell="A110" sqref="A110:XFD230"/>
    </sheetView>
  </sheetViews>
  <sheetFormatPr defaultRowHeight="15" x14ac:dyDescent="0.25"/>
  <sheetData>
    <row r="1" spans="1:22" x14ac:dyDescent="0.25">
      <c r="B1">
        <v>9116</v>
      </c>
      <c r="C1">
        <v>6742</v>
      </c>
      <c r="D1">
        <v>1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</row>
    <row r="3" spans="1:22" x14ac:dyDescent="0.25">
      <c r="B3">
        <v>9116</v>
      </c>
      <c r="C3">
        <v>6744</v>
      </c>
      <c r="D3">
        <v>1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29</v>
      </c>
    </row>
    <row r="4" spans="1:22" x14ac:dyDescent="0.25">
      <c r="A4" t="s">
        <v>30</v>
      </c>
      <c r="B4" t="s">
        <v>31</v>
      </c>
      <c r="C4" t="s">
        <v>32</v>
      </c>
      <c r="D4" t="s">
        <v>33</v>
      </c>
      <c r="E4" t="s">
        <v>34</v>
      </c>
      <c r="F4" t="s">
        <v>35</v>
      </c>
    </row>
    <row r="5" spans="1:22" x14ac:dyDescent="0.25">
      <c r="A5" t="s">
        <v>36</v>
      </c>
    </row>
    <row r="6" spans="1:22" x14ac:dyDescent="0.25">
      <c r="A6" t="s">
        <v>36</v>
      </c>
    </row>
    <row r="7" spans="1:22" x14ac:dyDescent="0.25">
      <c r="A7" t="s">
        <v>124</v>
      </c>
    </row>
    <row r="8" spans="1:22" x14ac:dyDescent="0.25">
      <c r="A8" t="s">
        <v>98</v>
      </c>
    </row>
    <row r="9" spans="1:22" x14ac:dyDescent="0.25">
      <c r="A9">
        <v>11.244999999999999</v>
      </c>
      <c r="B9">
        <v>9116</v>
      </c>
      <c r="C9">
        <v>6742</v>
      </c>
      <c r="D9">
        <v>1</v>
      </c>
      <c r="E9">
        <v>1</v>
      </c>
      <c r="F9" t="s">
        <v>13</v>
      </c>
      <c r="G9" s="3">
        <v>-6.1464310000000004E-4</v>
      </c>
      <c r="H9" s="3">
        <v>-6.4849850000000002E-4</v>
      </c>
      <c r="I9" s="3">
        <v>-4.6157840000000001E-4</v>
      </c>
      <c r="J9" s="3">
        <v>3.9632319999999999E-2</v>
      </c>
      <c r="K9" s="3">
        <v>-2.5653839999999998E-4</v>
      </c>
      <c r="L9" s="3">
        <v>-6.1178209999999998E-4</v>
      </c>
      <c r="M9" s="3">
        <v>-1.2450219999999999E-3</v>
      </c>
      <c r="N9" s="3">
        <v>-1.192093E-4</v>
      </c>
      <c r="O9" s="3">
        <v>4.3630600000000002E-4</v>
      </c>
      <c r="P9" s="3">
        <v>4.3742179999999999E-2</v>
      </c>
      <c r="Q9" s="3">
        <v>7.2145460000000005E-4</v>
      </c>
      <c r="R9" s="3">
        <v>9.8705290000000004E-5</v>
      </c>
      <c r="S9" s="3">
        <v>1.8774030000000001E-2</v>
      </c>
      <c r="T9" s="3">
        <v>-3.0565259999999999E-4</v>
      </c>
      <c r="U9" s="3">
        <v>2.3031230000000001E-4</v>
      </c>
      <c r="V9" s="3">
        <v>-1.416206E-4</v>
      </c>
    </row>
    <row r="10" spans="1:22" x14ac:dyDescent="0.25">
      <c r="A10">
        <v>11.268000000000001</v>
      </c>
      <c r="B10">
        <v>9116</v>
      </c>
      <c r="C10">
        <v>6744</v>
      </c>
      <c r="D10">
        <v>1</v>
      </c>
      <c r="E10">
        <v>1</v>
      </c>
      <c r="F10" t="s">
        <v>13</v>
      </c>
      <c r="G10" s="3">
        <v>-6.5183639999999996E-4</v>
      </c>
      <c r="H10" s="3">
        <v>-1.280308E-3</v>
      </c>
      <c r="I10" s="3">
        <v>-8.8691710000000004E-5</v>
      </c>
      <c r="J10" s="3">
        <v>3.4039020000000003E-2</v>
      </c>
      <c r="K10" s="3">
        <v>-3.2901760000000001E-5</v>
      </c>
      <c r="L10" s="3">
        <v>-5.0067899999999997E-4</v>
      </c>
      <c r="M10" s="3">
        <v>-1.240253E-3</v>
      </c>
      <c r="N10" s="3">
        <v>9.9182129999999996E-5</v>
      </c>
      <c r="O10" s="3">
        <v>-9.5558169999999997E-4</v>
      </c>
      <c r="P10" s="3">
        <v>3.7574769999999997E-4</v>
      </c>
      <c r="Q10" s="3">
        <v>2.7942659999999998E-4</v>
      </c>
      <c r="R10" s="3">
        <v>-3.8957599999999998E-4</v>
      </c>
      <c r="S10" s="3">
        <v>-1.029968E-3</v>
      </c>
      <c r="T10" s="3">
        <v>3.9672850000000001E-4</v>
      </c>
      <c r="U10" s="3">
        <v>1.037121E-3</v>
      </c>
      <c r="V10" s="3">
        <v>2.0885470000000001E-4</v>
      </c>
    </row>
    <row r="11" spans="1:22" x14ac:dyDescent="0.25">
      <c r="A11" t="s">
        <v>127</v>
      </c>
    </row>
    <row r="12" spans="1:22" x14ac:dyDescent="0.25">
      <c r="A12">
        <v>1567.5050000000001</v>
      </c>
      <c r="B12">
        <v>9116</v>
      </c>
      <c r="C12">
        <v>6742</v>
      </c>
      <c r="D12">
        <v>1</v>
      </c>
      <c r="E12">
        <v>1</v>
      </c>
      <c r="F12" t="s">
        <v>13</v>
      </c>
      <c r="G12">
        <v>-1.39451E-2</v>
      </c>
      <c r="H12">
        <v>-0.113008</v>
      </c>
      <c r="I12" s="3">
        <v>-9.8451609999999995E-2</v>
      </c>
      <c r="J12" s="3">
        <v>5.1122189999999998E-2</v>
      </c>
      <c r="K12" s="3">
        <v>-7.0620539999999996E-2</v>
      </c>
      <c r="L12" s="3">
        <v>-4.7297479999999998E-3</v>
      </c>
      <c r="M12" s="3">
        <v>-5.7988640000000001E-2</v>
      </c>
      <c r="N12" s="3">
        <v>-5.1783559999999999E-2</v>
      </c>
      <c r="O12" s="3">
        <v>-4.6574119999999997E-2</v>
      </c>
      <c r="P12" s="3">
        <v>1.9204619999999999E-2</v>
      </c>
      <c r="Q12" s="3">
        <v>-3.3776760000000003E-2</v>
      </c>
      <c r="R12" s="3">
        <v>-2.8668880000000001E-2</v>
      </c>
      <c r="S12" s="3">
        <v>4.8637389999999997E-3</v>
      </c>
      <c r="T12" s="3">
        <v>-2.0131110000000001E-2</v>
      </c>
      <c r="U12">
        <v>-1.51906E-2</v>
      </c>
      <c r="V12" s="3">
        <v>-1.0554310000000001E-2</v>
      </c>
    </row>
    <row r="13" spans="1:22" x14ac:dyDescent="0.25">
      <c r="A13">
        <v>1567.5239999999999</v>
      </c>
      <c r="B13">
        <v>9116</v>
      </c>
      <c r="C13">
        <v>6744</v>
      </c>
      <c r="D13">
        <v>1</v>
      </c>
      <c r="E13">
        <v>1</v>
      </c>
      <c r="F13" t="s">
        <v>13</v>
      </c>
      <c r="G13" s="3">
        <v>-9.1505049999999998E-3</v>
      </c>
      <c r="H13" s="3">
        <v>-6.5498350000000004E-3</v>
      </c>
      <c r="I13" s="3">
        <v>-5.1341060000000003E-3</v>
      </c>
      <c r="J13" s="3">
        <v>-7.41291E-3</v>
      </c>
      <c r="K13" s="3">
        <v>-8.2392690000000005E-3</v>
      </c>
      <c r="L13" s="3">
        <v>-1.0624410000000001E-2</v>
      </c>
      <c r="M13" s="3">
        <v>-1.2454990000000001E-2</v>
      </c>
      <c r="N13" s="3">
        <v>-1.057482E-2</v>
      </c>
      <c r="O13" s="3">
        <v>-1.0445589999999999E-2</v>
      </c>
      <c r="P13" s="3">
        <v>-7.1444509999999996E-3</v>
      </c>
      <c r="Q13" s="3">
        <v>-5.4674149999999998E-3</v>
      </c>
      <c r="R13" s="3">
        <v>-8.8071820000000002E-4</v>
      </c>
      <c r="S13" s="3">
        <v>3.2815930000000002E-3</v>
      </c>
      <c r="T13" s="3">
        <v>1.042175E-2</v>
      </c>
      <c r="U13" s="3">
        <v>2.0285129999999998E-2</v>
      </c>
      <c r="V13" s="3">
        <v>3.0215260000000001E-2</v>
      </c>
    </row>
    <row r="14" spans="1:22" x14ac:dyDescent="0.25">
      <c r="A14" t="s">
        <v>128</v>
      </c>
    </row>
    <row r="15" spans="1:22" x14ac:dyDescent="0.25">
      <c r="A15">
        <v>1576.9949999999999</v>
      </c>
      <c r="B15">
        <v>9116</v>
      </c>
      <c r="C15">
        <v>6742</v>
      </c>
      <c r="D15">
        <v>1</v>
      </c>
      <c r="E15">
        <v>1</v>
      </c>
      <c r="F15" t="s">
        <v>13</v>
      </c>
      <c r="G15" s="3">
        <v>1.753807E-3</v>
      </c>
      <c r="H15">
        <v>-9.6331600000000003E-2</v>
      </c>
      <c r="I15" s="3">
        <v>-8.6366650000000003E-2</v>
      </c>
      <c r="J15" s="3">
        <v>5.1293369999999998E-2</v>
      </c>
      <c r="K15" s="3">
        <v>-6.3605789999999995E-2</v>
      </c>
      <c r="L15" s="3">
        <v>-4.0383340000000002E-3</v>
      </c>
      <c r="M15" s="3">
        <v>-5.3764819999999998E-2</v>
      </c>
      <c r="N15" s="3">
        <v>-4.7429079999999998E-2</v>
      </c>
      <c r="O15" s="3">
        <v>-4.2580130000000001E-2</v>
      </c>
      <c r="P15" s="3">
        <v>1.8185139999999999E-2</v>
      </c>
      <c r="Q15" s="3">
        <v>-3.250074E-2</v>
      </c>
      <c r="R15" s="3">
        <v>-2.7112480000000001E-2</v>
      </c>
      <c r="S15" s="3">
        <v>5.5756570000000004E-3</v>
      </c>
      <c r="T15">
        <v>-1.9958500000000001E-2</v>
      </c>
      <c r="U15" s="3">
        <v>-1.5007970000000001E-2</v>
      </c>
      <c r="V15" s="3">
        <v>-1.109362E-2</v>
      </c>
    </row>
    <row r="16" spans="1:22" x14ac:dyDescent="0.25">
      <c r="A16">
        <v>1577.02</v>
      </c>
      <c r="B16">
        <v>9116</v>
      </c>
      <c r="C16">
        <v>6744</v>
      </c>
      <c r="D16">
        <v>1</v>
      </c>
      <c r="E16">
        <v>1</v>
      </c>
      <c r="F16" t="s">
        <v>13</v>
      </c>
      <c r="G16" s="3">
        <v>-9.1505049999999998E-3</v>
      </c>
      <c r="H16" s="3">
        <v>-6.7281720000000001E-3</v>
      </c>
      <c r="I16" s="3">
        <v>-5.4984090000000001E-3</v>
      </c>
      <c r="J16" s="3">
        <v>-8.2736019999999997E-3</v>
      </c>
      <c r="K16" s="3">
        <v>-8.4195139999999995E-3</v>
      </c>
      <c r="L16" s="3">
        <v>-1.1162760000000001E-2</v>
      </c>
      <c r="M16" s="3">
        <v>-1.348305E-2</v>
      </c>
      <c r="N16" s="3">
        <v>-1.239824E-2</v>
      </c>
      <c r="O16" s="3">
        <v>-1.2958529999999999E-2</v>
      </c>
      <c r="P16" s="3">
        <v>-1.044893E-2</v>
      </c>
      <c r="Q16" s="3">
        <v>-9.9701879999999996E-3</v>
      </c>
      <c r="R16" s="3">
        <v>-5.2070620000000001E-3</v>
      </c>
      <c r="S16" s="3">
        <v>-1.093388E-3</v>
      </c>
      <c r="T16" s="3">
        <v>5.5274959999999998E-3</v>
      </c>
      <c r="U16" s="3">
        <v>1.5182019999999999E-2</v>
      </c>
      <c r="V16" s="3">
        <v>2.5769230000000001E-2</v>
      </c>
    </row>
    <row r="17" spans="1:22" x14ac:dyDescent="0.25">
      <c r="A17" t="s">
        <v>129</v>
      </c>
    </row>
    <row r="18" spans="1:22" x14ac:dyDescent="0.25">
      <c r="A18">
        <v>1586.0060000000001</v>
      </c>
      <c r="B18">
        <v>9116</v>
      </c>
      <c r="C18">
        <v>6742</v>
      </c>
      <c r="D18">
        <v>1</v>
      </c>
      <c r="E18">
        <v>1</v>
      </c>
      <c r="F18" t="s">
        <v>13</v>
      </c>
      <c r="G18" s="3">
        <v>1.6395090000000001E-2</v>
      </c>
      <c r="H18" s="3">
        <v>-7.7436450000000004E-2</v>
      </c>
      <c r="I18" s="3">
        <v>-7.2895050000000003E-2</v>
      </c>
      <c r="J18" s="3">
        <v>5.2147390000000002E-2</v>
      </c>
      <c r="K18" s="3">
        <v>-5.6249140000000003E-2</v>
      </c>
      <c r="L18" s="3">
        <v>-3.693104E-3</v>
      </c>
      <c r="M18" s="3">
        <v>-4.9548149999999999E-2</v>
      </c>
      <c r="N18" s="3">
        <v>-4.3595790000000002E-2</v>
      </c>
      <c r="O18" s="3">
        <v>-3.9116379999999999E-2</v>
      </c>
      <c r="P18" s="3">
        <v>1.8012050000000002E-2</v>
      </c>
      <c r="Q18" s="3">
        <v>-3.1288150000000001E-2</v>
      </c>
      <c r="R18" s="3">
        <v>-2.728558E-2</v>
      </c>
      <c r="S18" s="3">
        <v>6.2842369999999998E-3</v>
      </c>
      <c r="T18" s="3">
        <v>-1.9612790000000001E-2</v>
      </c>
      <c r="U18" s="3">
        <v>-1.4643669999999999E-2</v>
      </c>
      <c r="V18" s="3">
        <v>-1.073265E-2</v>
      </c>
    </row>
    <row r="19" spans="1:22" x14ac:dyDescent="0.25">
      <c r="A19">
        <v>1586.0260000000001</v>
      </c>
      <c r="B19">
        <v>9116</v>
      </c>
      <c r="C19">
        <v>6744</v>
      </c>
      <c r="D19">
        <v>1</v>
      </c>
      <c r="E19">
        <v>1</v>
      </c>
      <c r="F19" t="s">
        <v>13</v>
      </c>
      <c r="G19" s="3">
        <v>-9.6950530000000004E-3</v>
      </c>
      <c r="H19" s="3">
        <v>-8.160591E-3</v>
      </c>
      <c r="I19" s="3">
        <v>-7.1263309999999996E-3</v>
      </c>
      <c r="J19" s="3">
        <v>-9.3102459999999995E-3</v>
      </c>
      <c r="K19" s="3">
        <v>-9.3216900000000005E-3</v>
      </c>
      <c r="L19" s="3">
        <v>-1.2234210000000001E-2</v>
      </c>
      <c r="M19" s="3">
        <v>-1.6081330000000001E-2</v>
      </c>
      <c r="N19" s="3">
        <v>-1.512194E-2</v>
      </c>
      <c r="O19" s="3">
        <v>-1.618147E-2</v>
      </c>
      <c r="P19" s="3">
        <v>-1.3752459999999999E-2</v>
      </c>
      <c r="Q19" s="3">
        <v>-1.2852189999999999E-2</v>
      </c>
      <c r="R19" s="3">
        <v>-9.8900789999999995E-3</v>
      </c>
      <c r="S19" s="3">
        <v>-6.6833500000000002E-3</v>
      </c>
      <c r="T19" s="3">
        <v>-4.5490260000000002E-4</v>
      </c>
      <c r="U19" s="3">
        <v>8.2559590000000002E-3</v>
      </c>
      <c r="V19" s="3">
        <v>1.8819329999999999E-2</v>
      </c>
    </row>
    <row r="20" spans="1:22" x14ac:dyDescent="0.25">
      <c r="A20" t="s">
        <v>130</v>
      </c>
    </row>
    <row r="21" spans="1:22" x14ac:dyDescent="0.25">
      <c r="A21">
        <v>1595.356</v>
      </c>
      <c r="B21">
        <v>9116</v>
      </c>
      <c r="C21">
        <v>6742</v>
      </c>
      <c r="D21">
        <v>1</v>
      </c>
      <c r="E21">
        <v>1</v>
      </c>
      <c r="F21" t="s">
        <v>13</v>
      </c>
      <c r="G21" s="3">
        <v>2.8569219999999999E-2</v>
      </c>
      <c r="H21" s="3">
        <v>-5.8913710000000001E-2</v>
      </c>
      <c r="I21" s="3">
        <v>-5.9636120000000001E-2</v>
      </c>
      <c r="J21" s="3">
        <v>5.3494449999999999E-2</v>
      </c>
      <c r="K21" s="3">
        <v>-4.8553470000000001E-2</v>
      </c>
      <c r="L21" s="3">
        <v>-3.5209659999999999E-3</v>
      </c>
      <c r="M21" s="3">
        <v>-4.5205589999999997E-2</v>
      </c>
      <c r="N21" s="3">
        <v>-3.8890840000000003E-2</v>
      </c>
      <c r="O21" s="3">
        <v>-3.5831929999999998E-2</v>
      </c>
      <c r="P21" s="3">
        <v>1.7301560000000001E-2</v>
      </c>
      <c r="Q21" s="3">
        <v>-2.8863429999999999E-2</v>
      </c>
      <c r="R21" s="3">
        <v>-2.613449E-2</v>
      </c>
      <c r="S21" s="3">
        <v>6.8116189999999997E-3</v>
      </c>
      <c r="T21" s="3">
        <v>-1.7885209999999999E-2</v>
      </c>
      <c r="U21" s="3">
        <v>-1.373243E-2</v>
      </c>
      <c r="V21" s="3">
        <v>-1.005459E-2</v>
      </c>
    </row>
    <row r="22" spans="1:22" x14ac:dyDescent="0.25">
      <c r="A22">
        <v>1595.3789999999999</v>
      </c>
      <c r="B22">
        <v>9116</v>
      </c>
      <c r="C22">
        <v>6744</v>
      </c>
      <c r="D22">
        <v>1</v>
      </c>
      <c r="E22">
        <v>1</v>
      </c>
      <c r="F22" t="s">
        <v>13</v>
      </c>
      <c r="G22" s="3">
        <v>-7.7023509999999996E-3</v>
      </c>
      <c r="H22" s="3">
        <v>-6.6776279999999997E-3</v>
      </c>
      <c r="I22" s="3">
        <v>-8.5711480000000007E-3</v>
      </c>
      <c r="J22" s="3">
        <v>-1.0518069999999999E-2</v>
      </c>
      <c r="K22" s="3">
        <v>-1.076746E-2</v>
      </c>
      <c r="L22" s="3">
        <v>-1.366615E-2</v>
      </c>
      <c r="M22" s="3">
        <v>-1.8504139999999999E-2</v>
      </c>
      <c r="N22" s="3">
        <v>-1.893616E-2</v>
      </c>
      <c r="O22" s="3">
        <v>-1.951313E-2</v>
      </c>
      <c r="P22">
        <v>-1.7973900000000001E-2</v>
      </c>
      <c r="Q22" s="3">
        <v>-1.7725939999999999E-2</v>
      </c>
      <c r="R22" s="3">
        <v>-1.529932E-2</v>
      </c>
      <c r="S22" s="3">
        <v>-1.241016E-2</v>
      </c>
      <c r="T22">
        <v>-7.3451999999999996E-3</v>
      </c>
      <c r="U22" s="3">
        <v>7.8296660000000005E-4</v>
      </c>
      <c r="V22" s="3">
        <v>1.029015E-2</v>
      </c>
    </row>
    <row r="23" spans="1:22" x14ac:dyDescent="0.25">
      <c r="A23" t="s">
        <v>131</v>
      </c>
    </row>
    <row r="24" spans="1:22" x14ac:dyDescent="0.25">
      <c r="A24">
        <v>1604.567</v>
      </c>
      <c r="B24">
        <v>9116</v>
      </c>
      <c r="C24">
        <v>6742</v>
      </c>
      <c r="D24">
        <v>1</v>
      </c>
      <c r="E24">
        <v>1</v>
      </c>
      <c r="F24" t="s">
        <v>13</v>
      </c>
      <c r="G24" s="3">
        <v>3.580618E-2</v>
      </c>
      <c r="H24" s="3">
        <v>-4.1253089999999999E-2</v>
      </c>
      <c r="I24" s="3">
        <v>-4.712152E-2</v>
      </c>
      <c r="J24" s="3">
        <v>5.3704259999999997E-2</v>
      </c>
      <c r="K24" s="3">
        <v>-4.1872979999999997E-2</v>
      </c>
      <c r="L24" s="3">
        <v>-2.9764180000000002E-3</v>
      </c>
      <c r="M24" s="3">
        <v>-4.0545940000000003E-2</v>
      </c>
      <c r="N24" s="3">
        <v>-3.5418030000000003E-2</v>
      </c>
      <c r="O24" s="3">
        <v>-3.2456869999999999E-2</v>
      </c>
      <c r="P24" s="3">
        <v>1.7511840000000001E-2</v>
      </c>
      <c r="Q24" s="3">
        <v>-2.6786330000000001E-2</v>
      </c>
      <c r="R24" s="3">
        <v>-2.3604389999999999E-2</v>
      </c>
      <c r="S24" s="3">
        <v>7.3456759999999998E-3</v>
      </c>
      <c r="T24" s="3">
        <v>-1.7191890000000001E-2</v>
      </c>
      <c r="U24" s="3">
        <v>-1.2073520000000001E-2</v>
      </c>
      <c r="V24" s="3">
        <v>-8.7041849999999997E-3</v>
      </c>
    </row>
    <row r="25" spans="1:22" x14ac:dyDescent="0.25">
      <c r="A25">
        <v>1604.587</v>
      </c>
      <c r="B25">
        <v>9116</v>
      </c>
      <c r="C25">
        <v>6744</v>
      </c>
      <c r="D25">
        <v>1</v>
      </c>
      <c r="E25">
        <v>1</v>
      </c>
      <c r="F25" t="s">
        <v>13</v>
      </c>
      <c r="G25" s="3">
        <v>-6.9789889999999997E-3</v>
      </c>
      <c r="H25" s="3">
        <v>-4.7082900000000004E-3</v>
      </c>
      <c r="I25" s="3">
        <v>-1.0023590000000001E-2</v>
      </c>
      <c r="J25" s="3">
        <v>-1.2073520000000001E-2</v>
      </c>
      <c r="K25" s="3">
        <v>-1.275396E-2</v>
      </c>
      <c r="L25">
        <v>-1.5275E-2</v>
      </c>
      <c r="M25" s="3">
        <v>-2.1102429999999998E-2</v>
      </c>
      <c r="N25" s="3">
        <v>-2.1305080000000001E-2</v>
      </c>
      <c r="O25" s="3">
        <v>-2.315712E-2</v>
      </c>
      <c r="P25" s="3">
        <v>-2.237892E-2</v>
      </c>
      <c r="Q25" s="3">
        <v>-2.2590160000000001E-2</v>
      </c>
      <c r="R25">
        <v>-2.1063800000000001E-2</v>
      </c>
      <c r="S25" s="3">
        <v>-1.8837449999999999E-2</v>
      </c>
      <c r="T25" s="3">
        <v>-1.477766E-2</v>
      </c>
      <c r="U25" s="3">
        <v>-8.6965559999999994E-3</v>
      </c>
      <c r="V25" s="3">
        <v>-4.0054320000000002E-4</v>
      </c>
    </row>
    <row r="26" spans="1:22" x14ac:dyDescent="0.25">
      <c r="A26" t="s">
        <v>132</v>
      </c>
    </row>
    <row r="27" spans="1:22" x14ac:dyDescent="0.25">
      <c r="A27">
        <v>1614.3420000000001</v>
      </c>
      <c r="B27">
        <v>9116</v>
      </c>
      <c r="C27">
        <v>6742</v>
      </c>
      <c r="D27">
        <v>1</v>
      </c>
      <c r="E27">
        <v>1</v>
      </c>
      <c r="F27" t="s">
        <v>13</v>
      </c>
      <c r="G27" s="3">
        <v>3.9686680000000002E-2</v>
      </c>
      <c r="H27" s="3">
        <v>-2.585459E-2</v>
      </c>
      <c r="I27" s="3">
        <v>-3.504753E-2</v>
      </c>
      <c r="J27" s="3">
        <v>5.4728980000000003E-2</v>
      </c>
      <c r="K27" s="3">
        <v>-3.5542009999999999E-2</v>
      </c>
      <c r="L27" s="3">
        <v>-2.458572E-3</v>
      </c>
      <c r="M27" s="3">
        <v>-3.597736E-2</v>
      </c>
      <c r="N27" s="3">
        <v>-3.1933309999999999E-2</v>
      </c>
      <c r="O27" s="3">
        <v>-2.9859070000000001E-2</v>
      </c>
      <c r="P27" s="3">
        <v>1.6473290000000002E-2</v>
      </c>
      <c r="Q27" s="3">
        <v>-2.522659E-2</v>
      </c>
      <c r="R27" s="3">
        <v>-2.239609E-2</v>
      </c>
      <c r="S27" s="3">
        <v>7.5230599999999998E-3</v>
      </c>
      <c r="T27" s="3">
        <v>-1.8401150000000002E-2</v>
      </c>
      <c r="U27" s="3">
        <v>-1.225567E-2</v>
      </c>
      <c r="V27" s="3">
        <v>-7.6198580000000002E-3</v>
      </c>
    </row>
    <row r="28" spans="1:22" x14ac:dyDescent="0.25">
      <c r="A28">
        <v>1614.364</v>
      </c>
      <c r="B28">
        <v>9116</v>
      </c>
      <c r="C28">
        <v>6744</v>
      </c>
      <c r="D28">
        <v>1</v>
      </c>
      <c r="E28">
        <v>1</v>
      </c>
      <c r="F28" t="s">
        <v>13</v>
      </c>
      <c r="G28" s="3">
        <v>-6.253242E-3</v>
      </c>
      <c r="H28" s="3">
        <v>-2.5596619999999999E-3</v>
      </c>
      <c r="I28" s="3">
        <v>-9.1190339999999998E-3</v>
      </c>
      <c r="J28" s="3">
        <v>-1.2937550000000001E-2</v>
      </c>
      <c r="K28" s="3">
        <v>-1.4017109999999999E-2</v>
      </c>
      <c r="L28" s="3">
        <v>-1.670408E-2</v>
      </c>
      <c r="M28" s="3">
        <v>-2.370071E-2</v>
      </c>
      <c r="N28" s="3">
        <v>-2.457428E-2</v>
      </c>
      <c r="O28" s="3">
        <v>-2.7095790000000002E-2</v>
      </c>
      <c r="P28" s="3">
        <v>-2.6233670000000001E-2</v>
      </c>
      <c r="Q28" s="3">
        <v>-2.7814869999999998E-2</v>
      </c>
      <c r="R28" s="3">
        <v>-2.7367590000000001E-2</v>
      </c>
      <c r="S28" s="3">
        <v>-2.6000019999999999E-2</v>
      </c>
      <c r="T28" s="3">
        <v>-2.3116589999999999E-2</v>
      </c>
      <c r="U28" s="3">
        <v>-1.8902780000000001E-2</v>
      </c>
      <c r="V28" s="3">
        <v>-1.216221E-2</v>
      </c>
    </row>
    <row r="29" spans="1:22" x14ac:dyDescent="0.25">
      <c r="A29" t="s">
        <v>133</v>
      </c>
    </row>
    <row r="30" spans="1:22" x14ac:dyDescent="0.25">
      <c r="A30">
        <v>1623.8789999999999</v>
      </c>
      <c r="B30">
        <v>9116</v>
      </c>
      <c r="C30">
        <v>6742</v>
      </c>
      <c r="D30">
        <v>1</v>
      </c>
      <c r="E30">
        <v>1</v>
      </c>
      <c r="F30" t="s">
        <v>13</v>
      </c>
      <c r="G30" s="3">
        <v>4.058552E-2</v>
      </c>
      <c r="H30" s="3">
        <v>-1.291752E-2</v>
      </c>
      <c r="I30" s="3">
        <v>-2.4726870000000001E-2</v>
      </c>
      <c r="J30" s="3">
        <v>5.3893570000000002E-2</v>
      </c>
      <c r="K30" s="3">
        <v>-2.9207710000000001E-2</v>
      </c>
      <c r="L30" s="3">
        <v>-2.458572E-3</v>
      </c>
      <c r="M30" s="3">
        <v>-3.2415869999999999E-2</v>
      </c>
      <c r="N30" s="3">
        <v>-2.8453829999999999E-2</v>
      </c>
      <c r="O30" s="3">
        <v>-2.6479720000000002E-2</v>
      </c>
      <c r="P30" s="3">
        <v>1.6127590000000001E-2</v>
      </c>
      <c r="Q30" s="3">
        <v>-2.3089410000000001E-2</v>
      </c>
      <c r="R30" s="3">
        <v>-2.0267489999999999E-2</v>
      </c>
      <c r="S30" s="3">
        <v>7.7080730000000002E-3</v>
      </c>
      <c r="T30" s="3">
        <v>-1.6330239999999999E-2</v>
      </c>
      <c r="U30" s="3">
        <v>-1.405668E-2</v>
      </c>
      <c r="V30" s="3">
        <v>-7.079124E-3</v>
      </c>
    </row>
    <row r="31" spans="1:22" x14ac:dyDescent="0.25">
      <c r="A31">
        <v>1623.903</v>
      </c>
      <c r="B31">
        <v>9116</v>
      </c>
      <c r="C31">
        <v>6744</v>
      </c>
      <c r="D31">
        <v>1</v>
      </c>
      <c r="E31">
        <v>1</v>
      </c>
      <c r="F31" t="s">
        <v>13</v>
      </c>
      <c r="G31" s="3">
        <v>-6.0715680000000003E-3</v>
      </c>
      <c r="H31" s="3">
        <v>-1.9736290000000002E-3</v>
      </c>
      <c r="I31" s="3">
        <v>-8.21209E-3</v>
      </c>
      <c r="J31" s="3">
        <v>-1.259089E-2</v>
      </c>
      <c r="K31" s="3">
        <v>-1.437807E-2</v>
      </c>
      <c r="L31">
        <v>-1.7416000000000001E-2</v>
      </c>
      <c r="M31" s="3">
        <v>-2.559376E-2</v>
      </c>
      <c r="N31">
        <v>-2.6753900000000001E-2</v>
      </c>
      <c r="O31" s="3">
        <v>-2.9176710000000002E-2</v>
      </c>
      <c r="P31" s="3">
        <v>-2.8987410000000002E-2</v>
      </c>
      <c r="Q31" s="3">
        <v>-3.1598090000000002E-2</v>
      </c>
      <c r="R31" s="3">
        <v>-3.2237050000000003E-2</v>
      </c>
      <c r="S31" s="3">
        <v>-3.1621459999999997E-2</v>
      </c>
      <c r="T31" s="3">
        <v>-3.018713E-2</v>
      </c>
      <c r="U31" s="3">
        <v>-2.7651309999999998E-2</v>
      </c>
      <c r="V31" s="3">
        <v>-2.3376460000000002E-2</v>
      </c>
    </row>
    <row r="32" spans="1:22" x14ac:dyDescent="0.25">
      <c r="A32" t="s">
        <v>134</v>
      </c>
    </row>
    <row r="33" spans="1:22" x14ac:dyDescent="0.25">
      <c r="A33">
        <v>1633.0889999999999</v>
      </c>
      <c r="B33">
        <v>9116</v>
      </c>
      <c r="C33">
        <v>6742</v>
      </c>
      <c r="D33">
        <v>1</v>
      </c>
      <c r="E33">
        <v>1</v>
      </c>
      <c r="F33" t="s">
        <v>13</v>
      </c>
      <c r="G33" s="3">
        <v>3.8823129999999997E-2</v>
      </c>
      <c r="H33" s="3">
        <v>-1.2907979999999999E-3</v>
      </c>
      <c r="I33" s="3">
        <v>-1.4199730000000001E-2</v>
      </c>
      <c r="J33" s="3">
        <v>5.2719120000000001E-2</v>
      </c>
      <c r="K33" s="3">
        <v>-2.2364140000000001E-2</v>
      </c>
      <c r="L33" s="3">
        <v>-2.4576189999999999E-3</v>
      </c>
      <c r="M33" s="3">
        <v>-2.7850630000000001E-2</v>
      </c>
      <c r="N33" s="3">
        <v>-2.496862E-2</v>
      </c>
      <c r="O33">
        <v>-2.3970600000000002E-2</v>
      </c>
      <c r="P33">
        <v>1.5781400000000001E-2</v>
      </c>
      <c r="Q33" s="3">
        <v>-2.129936E-2</v>
      </c>
      <c r="R33" s="3">
        <v>-1.8542289999999999E-2</v>
      </c>
      <c r="S33" s="3">
        <v>7.8806880000000003E-3</v>
      </c>
      <c r="T33" s="3">
        <v>-1.5115740000000001E-2</v>
      </c>
      <c r="U33" s="3">
        <v>-1.3328080000000001E-2</v>
      </c>
      <c r="V33" s="3">
        <v>-7.5092320000000002E-3</v>
      </c>
    </row>
    <row r="34" spans="1:22" x14ac:dyDescent="0.25">
      <c r="A34">
        <v>1633.1110000000001</v>
      </c>
      <c r="B34">
        <v>9116</v>
      </c>
      <c r="C34">
        <v>6744</v>
      </c>
      <c r="D34">
        <v>1</v>
      </c>
      <c r="E34">
        <v>1</v>
      </c>
      <c r="F34" t="s">
        <v>13</v>
      </c>
      <c r="G34" s="3">
        <v>-5.1670070000000004E-3</v>
      </c>
      <c r="H34" s="3">
        <v>-1.920223E-3</v>
      </c>
      <c r="I34" s="3">
        <v>-8.5802080000000006E-3</v>
      </c>
      <c r="J34" s="3">
        <v>-1.224518E-2</v>
      </c>
      <c r="K34" s="3">
        <v>-1.420021E-2</v>
      </c>
      <c r="L34" s="3">
        <v>-1.848984E-2</v>
      </c>
      <c r="M34" s="3">
        <v>-2.732658E-2</v>
      </c>
      <c r="N34" s="3">
        <v>-2.9305459999999998E-2</v>
      </c>
      <c r="O34" s="3">
        <v>-3.214931E-2</v>
      </c>
      <c r="P34">
        <v>-3.3026699999999999E-2</v>
      </c>
      <c r="Q34" s="3">
        <v>-3.6462309999999998E-2</v>
      </c>
      <c r="R34" s="3">
        <v>-3.800154E-2</v>
      </c>
      <c r="S34" s="3">
        <v>-3.7524219999999997E-2</v>
      </c>
      <c r="T34" s="3">
        <v>-3.7984850000000001E-2</v>
      </c>
      <c r="U34" s="3">
        <v>-3.8407330000000003E-2</v>
      </c>
      <c r="V34" s="3">
        <v>-3.763056E-2</v>
      </c>
    </row>
    <row r="35" spans="1:22" x14ac:dyDescent="0.25">
      <c r="A35" t="s">
        <v>135</v>
      </c>
    </row>
    <row r="36" spans="1:22" x14ac:dyDescent="0.25">
      <c r="A36">
        <v>1642.826</v>
      </c>
      <c r="B36">
        <v>9116</v>
      </c>
      <c r="C36">
        <v>6742</v>
      </c>
      <c r="D36">
        <v>1</v>
      </c>
      <c r="E36">
        <v>1</v>
      </c>
      <c r="F36" t="s">
        <v>13</v>
      </c>
      <c r="G36" s="3">
        <v>3.4588809999999998E-2</v>
      </c>
      <c r="H36" s="3">
        <v>1.0084630000000001E-2</v>
      </c>
      <c r="I36" s="3">
        <v>-4.574776E-3</v>
      </c>
      <c r="J36" s="3">
        <v>5.1010130000000001E-2</v>
      </c>
      <c r="K36">
        <v>-1.60327E-2</v>
      </c>
      <c r="L36" s="3">
        <v>-1.7681120000000001E-3</v>
      </c>
      <c r="M36" s="3">
        <v>-2.2930619999999999E-2</v>
      </c>
      <c r="N36" s="3">
        <v>-2.113485E-2</v>
      </c>
      <c r="O36" s="3">
        <v>-2.0159719999999999E-2</v>
      </c>
      <c r="P36" s="3">
        <v>1.491642E-2</v>
      </c>
      <c r="Q36" s="3">
        <v>-1.8872739999999999E-2</v>
      </c>
      <c r="R36" s="3">
        <v>-1.681566E-2</v>
      </c>
      <c r="S36" s="3">
        <v>6.995678E-3</v>
      </c>
      <c r="T36" s="3">
        <v>-1.373339E-2</v>
      </c>
      <c r="U36" s="3">
        <v>-1.150608E-2</v>
      </c>
      <c r="V36" s="3">
        <v>-8.7742810000000001E-3</v>
      </c>
    </row>
    <row r="37" spans="1:22" x14ac:dyDescent="0.25">
      <c r="A37">
        <v>1642.85</v>
      </c>
      <c r="B37">
        <v>9116</v>
      </c>
      <c r="C37">
        <v>6744</v>
      </c>
      <c r="D37">
        <v>1</v>
      </c>
      <c r="E37">
        <v>1</v>
      </c>
      <c r="F37" t="s">
        <v>13</v>
      </c>
      <c r="G37" s="3">
        <v>-5.3486819999999996E-3</v>
      </c>
      <c r="H37" s="3">
        <v>-2.4571419999999998E-3</v>
      </c>
      <c r="I37" s="3">
        <v>-8.7609290000000006E-3</v>
      </c>
      <c r="J37" s="3">
        <v>-1.259089E-2</v>
      </c>
      <c r="K37" s="3">
        <v>-1.438093E-2</v>
      </c>
      <c r="L37" s="3">
        <v>-1.902628E-2</v>
      </c>
      <c r="M37" s="3">
        <v>-2.905893E-2</v>
      </c>
      <c r="N37" s="3">
        <v>-3.2029149999999999E-2</v>
      </c>
      <c r="O37" s="3">
        <v>-3.5551069999999997E-2</v>
      </c>
      <c r="P37" s="3">
        <v>-3.6697390000000003E-2</v>
      </c>
      <c r="Q37" s="3">
        <v>-4.0425780000000001E-2</v>
      </c>
      <c r="R37" s="3">
        <v>-4.3585779999999998E-2</v>
      </c>
      <c r="S37" s="3">
        <v>-4.4861320000000003E-2</v>
      </c>
      <c r="T37" s="3">
        <v>-4.6686169999999999E-2</v>
      </c>
      <c r="U37" s="3">
        <v>-5.007172E-2</v>
      </c>
      <c r="V37" s="3">
        <v>-5.277681E-2</v>
      </c>
    </row>
    <row r="38" spans="1:22" x14ac:dyDescent="0.25">
      <c r="A38" t="s">
        <v>136</v>
      </c>
    </row>
    <row r="39" spans="1:22" x14ac:dyDescent="0.25">
      <c r="A39">
        <v>1652.5820000000001</v>
      </c>
      <c r="B39">
        <v>9116</v>
      </c>
      <c r="C39">
        <v>6742</v>
      </c>
      <c r="D39">
        <v>1</v>
      </c>
      <c r="E39">
        <v>1</v>
      </c>
      <c r="F39" t="s">
        <v>13</v>
      </c>
      <c r="G39" s="3">
        <v>2.540398E-2</v>
      </c>
      <c r="H39" s="3">
        <v>1.9701960000000001E-2</v>
      </c>
      <c r="I39" s="3">
        <v>5.3620339999999999E-3</v>
      </c>
      <c r="J39" s="3">
        <v>4.7210219999999997E-2</v>
      </c>
      <c r="K39" s="3">
        <v>-9.1934200000000008E-3</v>
      </c>
      <c r="L39" s="3">
        <v>-1.2512210000000001E-3</v>
      </c>
      <c r="M39" s="3">
        <v>-1.836395E-2</v>
      </c>
      <c r="N39" s="3">
        <v>-1.6772749999999999E-2</v>
      </c>
      <c r="O39" s="3">
        <v>-1.6787529999999998E-2</v>
      </c>
      <c r="P39" s="3">
        <v>1.4050959999999999E-2</v>
      </c>
      <c r="Q39" s="3">
        <v>-1.702642E-2</v>
      </c>
      <c r="R39" s="3">
        <v>-1.509047E-2</v>
      </c>
      <c r="S39" s="3">
        <v>4.3392179999999997E-3</v>
      </c>
      <c r="T39" s="3">
        <v>-1.235151E-2</v>
      </c>
      <c r="U39" s="3">
        <v>-1.004934E-2</v>
      </c>
      <c r="V39" s="3">
        <v>-9.1767310000000005E-3</v>
      </c>
    </row>
    <row r="40" spans="1:22" x14ac:dyDescent="0.25">
      <c r="A40">
        <v>1652.6</v>
      </c>
      <c r="B40">
        <v>9116</v>
      </c>
      <c r="C40">
        <v>6744</v>
      </c>
      <c r="D40">
        <v>1</v>
      </c>
      <c r="E40">
        <v>1</v>
      </c>
      <c r="F40" t="s">
        <v>13</v>
      </c>
      <c r="G40" s="3">
        <v>-7.5259209999999997E-3</v>
      </c>
      <c r="H40" s="3">
        <v>-3.5338399999999999E-3</v>
      </c>
      <c r="I40" s="3">
        <v>-8.763313E-3</v>
      </c>
      <c r="J40" s="3">
        <v>-1.310301E-2</v>
      </c>
      <c r="K40" s="3">
        <v>-1.5463350000000001E-2</v>
      </c>
      <c r="L40" s="3">
        <v>-2.027988E-2</v>
      </c>
      <c r="M40" s="3">
        <v>-3.1978609999999998E-2</v>
      </c>
      <c r="N40" s="3">
        <v>-3.5116670000000003E-2</v>
      </c>
      <c r="O40" s="3">
        <v>-3.8639550000000002E-2</v>
      </c>
      <c r="P40" s="3">
        <v>-4.0918349999999999E-2</v>
      </c>
      <c r="Q40" s="3">
        <v>-4.5299529999999998E-2</v>
      </c>
      <c r="R40" s="3">
        <v>-4.9895759999999997E-2</v>
      </c>
      <c r="S40" s="3">
        <v>-5.2337649999999999E-2</v>
      </c>
      <c r="T40" s="3">
        <v>-5.6478979999999998E-2</v>
      </c>
      <c r="U40" s="3">
        <v>-6.2825679999999995E-2</v>
      </c>
      <c r="V40" s="3">
        <v>-7.0059780000000002E-2</v>
      </c>
    </row>
    <row r="41" spans="1:22" x14ac:dyDescent="0.25">
      <c r="A41" t="s">
        <v>137</v>
      </c>
    </row>
    <row r="42" spans="1:22" x14ac:dyDescent="0.25">
      <c r="A42">
        <v>1662.173</v>
      </c>
      <c r="B42">
        <v>9116</v>
      </c>
      <c r="C42">
        <v>6742</v>
      </c>
      <c r="D42">
        <v>1</v>
      </c>
      <c r="E42">
        <v>1</v>
      </c>
      <c r="F42" t="s">
        <v>13</v>
      </c>
      <c r="G42" s="3">
        <v>1.1291030000000001E-2</v>
      </c>
      <c r="H42">
        <v>2.77524E-2</v>
      </c>
      <c r="I42" s="3">
        <v>1.3761519999999999E-2</v>
      </c>
      <c r="J42" s="3">
        <v>4.3108460000000001E-2</v>
      </c>
      <c r="K42" s="3">
        <v>-2.8619769999999999E-3</v>
      </c>
      <c r="L42" s="3">
        <v>-7.3385240000000003E-4</v>
      </c>
      <c r="M42" s="3">
        <v>-1.291609E-2</v>
      </c>
      <c r="N42" s="3">
        <v>-1.241684E-2</v>
      </c>
      <c r="O42" s="3">
        <v>-1.332378E-2</v>
      </c>
      <c r="P42" s="3">
        <v>1.370478E-2</v>
      </c>
      <c r="Q42" s="3">
        <v>-1.3906959999999999E-2</v>
      </c>
      <c r="R42" s="3">
        <v>-1.2845519999999999E-2</v>
      </c>
      <c r="S42" s="3">
        <v>1.327515E-3</v>
      </c>
      <c r="T42" s="3">
        <v>-1.079607E-2</v>
      </c>
      <c r="U42" s="3">
        <v>-8.0451970000000005E-3</v>
      </c>
      <c r="V42" s="3">
        <v>-7.5502399999999997E-3</v>
      </c>
    </row>
    <row r="43" spans="1:22" x14ac:dyDescent="0.25">
      <c r="A43">
        <v>1662.1959999999999</v>
      </c>
      <c r="B43">
        <v>9116</v>
      </c>
      <c r="C43">
        <v>6744</v>
      </c>
      <c r="D43">
        <v>1</v>
      </c>
      <c r="E43">
        <v>1</v>
      </c>
      <c r="F43" t="s">
        <v>13</v>
      </c>
      <c r="G43" s="3">
        <v>-6.2556269999999997E-3</v>
      </c>
      <c r="H43" s="3">
        <v>-5.3243639999999998E-3</v>
      </c>
      <c r="I43" s="3">
        <v>-1.002932E-2</v>
      </c>
      <c r="J43" s="3">
        <v>-1.396704E-2</v>
      </c>
      <c r="K43" s="3">
        <v>-1.636553E-2</v>
      </c>
      <c r="L43" s="3">
        <v>-2.135134E-2</v>
      </c>
      <c r="M43" s="3">
        <v>-3.4404280000000002E-2</v>
      </c>
      <c r="N43" s="3">
        <v>-3.8204189999999999E-2</v>
      </c>
      <c r="O43" s="3">
        <v>-4.2399880000000001E-2</v>
      </c>
      <c r="P43">
        <v>-4.4773100000000003E-2</v>
      </c>
      <c r="Q43" s="3">
        <v>-4.9983979999999997E-2</v>
      </c>
      <c r="R43" s="3">
        <v>-5.6200029999999998E-2</v>
      </c>
      <c r="S43" s="3">
        <v>-5.9674739999999997E-2</v>
      </c>
      <c r="T43" s="3">
        <v>-6.5543169999999998E-2</v>
      </c>
      <c r="U43" s="3">
        <v>-7.6129440000000007E-2</v>
      </c>
      <c r="V43" s="3">
        <v>-8.8412279999999996E-2</v>
      </c>
    </row>
    <row r="44" spans="1:22" x14ac:dyDescent="0.25">
      <c r="A44" t="s">
        <v>138</v>
      </c>
    </row>
    <row r="45" spans="1:22" x14ac:dyDescent="0.25">
      <c r="A45">
        <v>1671.5989999999999</v>
      </c>
      <c r="B45">
        <v>9116</v>
      </c>
      <c r="C45">
        <v>6742</v>
      </c>
      <c r="D45">
        <v>1</v>
      </c>
      <c r="E45">
        <v>1</v>
      </c>
      <c r="F45" t="s">
        <v>13</v>
      </c>
      <c r="G45" s="3">
        <v>-4.7540660000000004E-3</v>
      </c>
      <c r="H45" s="3">
        <v>3.308821E-2</v>
      </c>
      <c r="I45" s="3">
        <v>2.0265579999999998E-2</v>
      </c>
      <c r="J45" s="3">
        <v>4.0225980000000001E-2</v>
      </c>
      <c r="K45" s="3">
        <v>2.4471279999999998E-3</v>
      </c>
      <c r="L45" s="3">
        <v>-5.6028369999999998E-4</v>
      </c>
      <c r="M45" s="3">
        <v>-8.7022780000000008E-3</v>
      </c>
      <c r="N45" s="3">
        <v>-8.4137919999999998E-3</v>
      </c>
      <c r="O45" s="3">
        <v>-9.9487299999999994E-3</v>
      </c>
      <c r="P45" s="3">
        <v>1.3377190000000001E-2</v>
      </c>
      <c r="Q45" s="3">
        <v>-1.1597629999999999E-2</v>
      </c>
      <c r="R45" s="3">
        <v>-1.106215E-2</v>
      </c>
      <c r="S45" s="3">
        <v>-2.6273730000000002E-4</v>
      </c>
      <c r="T45" s="3">
        <v>-9.7594259999999999E-3</v>
      </c>
      <c r="U45" s="3">
        <v>-6.7496300000000004E-3</v>
      </c>
      <c r="V45" s="3">
        <v>-5.4531099999999997E-3</v>
      </c>
    </row>
    <row r="46" spans="1:22" x14ac:dyDescent="0.25">
      <c r="A46">
        <v>1671.626</v>
      </c>
      <c r="B46">
        <v>9116</v>
      </c>
      <c r="C46">
        <v>6744</v>
      </c>
      <c r="D46">
        <v>1</v>
      </c>
      <c r="E46">
        <v>1</v>
      </c>
      <c r="F46" t="s">
        <v>13</v>
      </c>
      <c r="G46" s="3">
        <v>-4.6257970000000001E-3</v>
      </c>
      <c r="H46" s="3">
        <v>-5.0902370000000001E-3</v>
      </c>
      <c r="I46" s="3">
        <v>-9.6678730000000004E-3</v>
      </c>
      <c r="J46" s="3">
        <v>-1.413679E-2</v>
      </c>
      <c r="K46" s="3">
        <v>-1.6546249999999998E-2</v>
      </c>
      <c r="L46" s="3">
        <v>-2.2779939999999999E-2</v>
      </c>
      <c r="M46" s="3">
        <v>-3.5097120000000002E-2</v>
      </c>
      <c r="N46">
        <v>-4.0030000000000003E-2</v>
      </c>
      <c r="O46" s="3">
        <v>-4.633379E-2</v>
      </c>
      <c r="P46" s="3">
        <v>-4.8996449999999997E-2</v>
      </c>
      <c r="Q46" s="3">
        <v>-5.4678440000000002E-2</v>
      </c>
      <c r="R46" s="3">
        <v>-6.2324520000000001E-2</v>
      </c>
      <c r="S46" s="3">
        <v>-6.6451549999999998E-2</v>
      </c>
      <c r="T46" s="3">
        <v>-7.4244980000000002E-2</v>
      </c>
      <c r="U46">
        <v>-8.85272E-2</v>
      </c>
      <c r="V46">
        <v>-0.105515</v>
      </c>
    </row>
    <row r="47" spans="1:22" x14ac:dyDescent="0.25">
      <c r="A47" t="s">
        <v>139</v>
      </c>
    </row>
    <row r="48" spans="1:22" x14ac:dyDescent="0.25">
      <c r="A48">
        <v>1680.7760000000001</v>
      </c>
      <c r="B48">
        <v>9116</v>
      </c>
      <c r="C48">
        <v>6742</v>
      </c>
      <c r="D48">
        <v>1</v>
      </c>
      <c r="E48">
        <v>1</v>
      </c>
      <c r="F48" t="s">
        <v>13</v>
      </c>
      <c r="G48" s="3">
        <v>-2.2036549999999999E-2</v>
      </c>
      <c r="H48" s="3">
        <v>3.5807609999999997E-2</v>
      </c>
      <c r="I48" s="3">
        <v>2.4989129999999998E-2</v>
      </c>
      <c r="J48" s="3">
        <v>3.682709E-2</v>
      </c>
      <c r="K48" s="3">
        <v>6.7243579999999997E-3</v>
      </c>
      <c r="L48" s="3">
        <v>-5.4740910000000004E-4</v>
      </c>
      <c r="M48" s="3">
        <v>-4.964352E-3</v>
      </c>
      <c r="N48" s="3">
        <v>-5.9785840000000003E-3</v>
      </c>
      <c r="O48" s="3">
        <v>-7.1797370000000003E-3</v>
      </c>
      <c r="P48" s="3">
        <v>1.322269E-2</v>
      </c>
      <c r="Q48" s="3">
        <v>-9.8657610000000007E-3</v>
      </c>
      <c r="R48" s="3">
        <v>-9.6821779999999996E-3</v>
      </c>
      <c r="S48" s="3">
        <v>-2.9196740000000001E-3</v>
      </c>
      <c r="T48" s="3">
        <v>-9.0656279999999992E-3</v>
      </c>
      <c r="U48" s="3">
        <v>-6.750107E-3</v>
      </c>
      <c r="V48" s="3">
        <v>-5.3424839999999998E-3</v>
      </c>
    </row>
    <row r="49" spans="1:22" x14ac:dyDescent="0.25">
      <c r="A49">
        <v>1680.798</v>
      </c>
      <c r="B49">
        <v>9116</v>
      </c>
      <c r="C49">
        <v>6744</v>
      </c>
      <c r="D49">
        <v>1</v>
      </c>
      <c r="E49">
        <v>1</v>
      </c>
      <c r="F49" t="s">
        <v>13</v>
      </c>
      <c r="G49" s="3">
        <v>-5.172729E-3</v>
      </c>
      <c r="H49" s="3">
        <v>-4.9152370000000003E-3</v>
      </c>
      <c r="I49" s="3">
        <v>-8.4013939999999995E-3</v>
      </c>
      <c r="J49" s="3">
        <v>-1.292658E-2</v>
      </c>
      <c r="K49">
        <v>-1.6189100000000001E-2</v>
      </c>
      <c r="L49" s="3">
        <v>-2.2068020000000001E-2</v>
      </c>
      <c r="M49" s="3">
        <v>-3.6990170000000003E-2</v>
      </c>
      <c r="N49" s="3">
        <v>-4.2209629999999998E-2</v>
      </c>
      <c r="O49" s="3">
        <v>-4.7408579999999999E-2</v>
      </c>
      <c r="P49" s="3">
        <v>-4.9916740000000001E-2</v>
      </c>
      <c r="Q49" s="3">
        <v>-6.0092930000000003E-2</v>
      </c>
      <c r="R49" s="3">
        <v>-6.8996909999999995E-2</v>
      </c>
      <c r="S49" s="3">
        <v>-7.3819159999999995E-2</v>
      </c>
      <c r="T49" s="3">
        <v>-8.4044930000000004E-2</v>
      </c>
      <c r="U49">
        <v>-0.1005607</v>
      </c>
      <c r="V49">
        <v>-0.11904720000000001</v>
      </c>
    </row>
    <row r="50" spans="1:22" x14ac:dyDescent="0.25">
      <c r="A50" t="s">
        <v>140</v>
      </c>
    </row>
    <row r="51" spans="1:22" x14ac:dyDescent="0.25">
      <c r="A51">
        <v>1694.4290000000001</v>
      </c>
      <c r="B51">
        <v>9116</v>
      </c>
      <c r="C51">
        <v>6742</v>
      </c>
      <c r="D51">
        <v>1</v>
      </c>
      <c r="E51">
        <v>1</v>
      </c>
      <c r="F51" t="s">
        <v>13</v>
      </c>
      <c r="G51" s="3">
        <v>-3.9494509999999997E-2</v>
      </c>
      <c r="H51" s="3">
        <v>3.6856170000000001E-2</v>
      </c>
      <c r="I51" s="3">
        <v>2.8384690000000001E-2</v>
      </c>
      <c r="J51" s="3">
        <v>3.4623620000000001E-2</v>
      </c>
      <c r="K51" s="3">
        <v>1.0665890000000001E-2</v>
      </c>
      <c r="L51" s="3">
        <v>-3.6239619999999998E-4</v>
      </c>
      <c r="M51" s="3">
        <v>-2.10619E-3</v>
      </c>
      <c r="N51" s="3">
        <v>-3.3698080000000002E-3</v>
      </c>
      <c r="O51" s="3">
        <v>-5.4435730000000002E-3</v>
      </c>
      <c r="P51" s="3">
        <v>1.2357709999999999E-2</v>
      </c>
      <c r="Q51" s="3">
        <v>-8.5349080000000008E-3</v>
      </c>
      <c r="R51" s="3">
        <v>-9.0484620000000002E-3</v>
      </c>
      <c r="S51" s="3">
        <v>-5.2165989999999997E-3</v>
      </c>
      <c r="T51" s="3">
        <v>-8.8896749999999997E-3</v>
      </c>
      <c r="U51" s="3">
        <v>-7.4582099999999998E-3</v>
      </c>
      <c r="V51" s="3">
        <v>-5.7721140000000001E-3</v>
      </c>
    </row>
    <row r="52" spans="1:22" x14ac:dyDescent="0.25">
      <c r="A52">
        <v>1694.451</v>
      </c>
      <c r="B52">
        <v>9116</v>
      </c>
      <c r="C52">
        <v>6744</v>
      </c>
      <c r="D52">
        <v>1</v>
      </c>
      <c r="E52">
        <v>1</v>
      </c>
      <c r="F52" t="s">
        <v>13</v>
      </c>
      <c r="G52" s="3">
        <v>-5.1693920000000001E-3</v>
      </c>
      <c r="H52" s="3">
        <v>-5.3968430000000001E-3</v>
      </c>
      <c r="I52" s="3">
        <v>-7.8616139999999994E-3</v>
      </c>
      <c r="J52" s="3">
        <v>-1.223516E-2</v>
      </c>
      <c r="K52" s="3">
        <v>-1.5647890000000001E-2</v>
      </c>
      <c r="L52" s="3">
        <v>-2.1713730000000001E-2</v>
      </c>
      <c r="M52" s="3">
        <v>-3.7671570000000001E-2</v>
      </c>
      <c r="N52" s="3">
        <v>-4.3126579999999998E-2</v>
      </c>
      <c r="O52" s="3">
        <v>-4.9198150000000003E-2</v>
      </c>
      <c r="P52" s="3">
        <v>-5.3586960000000003E-2</v>
      </c>
      <c r="Q52" s="3">
        <v>-6.1354640000000002E-2</v>
      </c>
      <c r="R52" s="3">
        <v>-6.2151909999999998E-2</v>
      </c>
      <c r="S52" s="3">
        <v>-8.7407109999999996E-2</v>
      </c>
      <c r="T52" s="3">
        <v>-9.5274449999999997E-2</v>
      </c>
      <c r="U52">
        <v>-0.1102204</v>
      </c>
      <c r="V52">
        <v>-0.1309834</v>
      </c>
    </row>
    <row r="53" spans="1:22" x14ac:dyDescent="0.25">
      <c r="A53" t="s">
        <v>141</v>
      </c>
    </row>
    <row r="54" spans="1:22" x14ac:dyDescent="0.25">
      <c r="A54">
        <v>1699.653</v>
      </c>
      <c r="B54">
        <v>9116</v>
      </c>
      <c r="C54">
        <v>6742</v>
      </c>
      <c r="D54">
        <v>1</v>
      </c>
      <c r="E54">
        <v>1</v>
      </c>
      <c r="F54" t="s">
        <v>13</v>
      </c>
      <c r="G54" s="3">
        <v>-5.907536E-2</v>
      </c>
      <c r="H54" s="3">
        <v>3.7381169999999998E-2</v>
      </c>
      <c r="I54" s="3">
        <v>3.1359669999999999E-2</v>
      </c>
      <c r="J54" s="3">
        <v>3.4623620000000001E-2</v>
      </c>
      <c r="K54" s="3">
        <v>1.408863E-2</v>
      </c>
      <c r="L54" s="3">
        <v>-1.9025800000000001E-4</v>
      </c>
      <c r="M54" s="3">
        <v>7.0524219999999998E-4</v>
      </c>
      <c r="N54" s="3">
        <v>-7.5531009999999996E-4</v>
      </c>
      <c r="O54" s="3">
        <v>-3.3650400000000001E-3</v>
      </c>
      <c r="P54" s="3">
        <v>1.218462E-2</v>
      </c>
      <c r="Q54" s="3">
        <v>-7.1482660000000003E-3</v>
      </c>
      <c r="R54" s="3">
        <v>-7.8396799999999999E-3</v>
      </c>
      <c r="S54" s="3">
        <v>-5.2165989999999997E-3</v>
      </c>
      <c r="T54" s="3">
        <v>-8.3713529999999998E-3</v>
      </c>
      <c r="U54" s="3">
        <v>-7.2760580000000002E-3</v>
      </c>
      <c r="V54" s="3">
        <v>-6.3147539999999997E-3</v>
      </c>
    </row>
    <row r="55" spans="1:22" x14ac:dyDescent="0.25">
      <c r="A55">
        <v>1699.673</v>
      </c>
      <c r="B55">
        <v>9116</v>
      </c>
      <c r="C55">
        <v>6744</v>
      </c>
      <c r="D55">
        <v>1</v>
      </c>
      <c r="E55">
        <v>1</v>
      </c>
      <c r="F55" t="s">
        <v>13</v>
      </c>
      <c r="G55" s="3">
        <v>-6.0768130000000004E-3</v>
      </c>
      <c r="H55" s="3">
        <v>-6.1135290000000004E-3</v>
      </c>
      <c r="I55" s="3">
        <v>-7.8616139999999994E-3</v>
      </c>
      <c r="J55" s="3">
        <v>-1.1716839999999999E-2</v>
      </c>
      <c r="K55" s="3">
        <v>-1.582861E-2</v>
      </c>
      <c r="L55">
        <v>-2.15354E-2</v>
      </c>
      <c r="M55" s="3">
        <v>-3.8884160000000001E-2</v>
      </c>
      <c r="N55" s="3">
        <v>-4.5306680000000002E-2</v>
      </c>
      <c r="O55" s="3">
        <v>-5.1705359999999999E-2</v>
      </c>
      <c r="P55" s="3">
        <v>-5.5606370000000002E-2</v>
      </c>
      <c r="Q55" s="3">
        <v>-6.4597130000000003E-2</v>
      </c>
      <c r="R55" s="3">
        <v>-7.1157929999999994E-2</v>
      </c>
      <c r="S55" s="3">
        <v>-8.3214759999999999E-2</v>
      </c>
      <c r="T55">
        <v>-0.1130385</v>
      </c>
      <c r="U55">
        <v>-0.1238885</v>
      </c>
      <c r="V55">
        <v>-0.14541480000000001</v>
      </c>
    </row>
    <row r="56" spans="1:22" x14ac:dyDescent="0.25">
      <c r="A56" t="s">
        <v>142</v>
      </c>
    </row>
    <row r="57" spans="1:22" x14ac:dyDescent="0.25">
      <c r="A57">
        <v>1709.04</v>
      </c>
      <c r="B57">
        <v>9116</v>
      </c>
      <c r="C57">
        <v>6742</v>
      </c>
      <c r="D57">
        <v>1</v>
      </c>
      <c r="E57">
        <v>1</v>
      </c>
      <c r="F57" t="s">
        <v>13</v>
      </c>
      <c r="G57" s="3">
        <v>-7.9007149999999998E-2</v>
      </c>
      <c r="H57" s="3">
        <v>3.7130829999999997E-2</v>
      </c>
      <c r="I57" s="3">
        <v>3.3669949999999997E-2</v>
      </c>
      <c r="J57" s="3">
        <v>3.4622670000000001E-2</v>
      </c>
      <c r="K57">
        <v>1.6493799999999999E-2</v>
      </c>
      <c r="L57" s="3">
        <v>3.2949450000000001E-4</v>
      </c>
      <c r="M57" s="3">
        <v>3.2634740000000001E-3</v>
      </c>
      <c r="N57" s="3">
        <v>1.6803740000000001E-3</v>
      </c>
      <c r="O57" s="3">
        <v>-1.2049669999999999E-3</v>
      </c>
      <c r="P57" s="3">
        <v>1.168394E-2</v>
      </c>
      <c r="Q57" s="3">
        <v>-5.010128E-3</v>
      </c>
      <c r="R57" s="3">
        <v>-6.286621E-3</v>
      </c>
      <c r="S57" s="3">
        <v>-5.2132610000000003E-3</v>
      </c>
      <c r="T57" s="3">
        <v>-7.8501700000000001E-3</v>
      </c>
      <c r="U57" s="3">
        <v>-7.0738789999999999E-3</v>
      </c>
      <c r="V57" s="3">
        <v>-6.2699319999999998E-3</v>
      </c>
    </row>
    <row r="58" spans="1:22" x14ac:dyDescent="0.25">
      <c r="A58">
        <v>1709.058</v>
      </c>
      <c r="B58">
        <v>9116</v>
      </c>
      <c r="C58">
        <v>6744</v>
      </c>
      <c r="D58">
        <v>1</v>
      </c>
      <c r="E58">
        <v>1</v>
      </c>
      <c r="F58" t="s">
        <v>13</v>
      </c>
      <c r="G58" s="3">
        <v>-6.8082810000000002E-3</v>
      </c>
      <c r="H58" s="3">
        <v>-6.8316460000000002E-3</v>
      </c>
      <c r="I58" s="3">
        <v>-7.8616139999999994E-3</v>
      </c>
      <c r="J58" s="3">
        <v>-1.1544230000000001E-2</v>
      </c>
      <c r="K58" s="3">
        <v>-1.492596E-2</v>
      </c>
      <c r="L58" s="3">
        <v>-2.0466330000000001E-2</v>
      </c>
      <c r="M58" s="3">
        <v>-3.8722520000000003E-2</v>
      </c>
      <c r="N58" s="3">
        <v>-4.585123E-2</v>
      </c>
      <c r="O58" s="3">
        <v>-5.2596570000000002E-2</v>
      </c>
      <c r="P58">
        <v>-5.7444099999999998E-2</v>
      </c>
      <c r="Q58" s="3">
        <v>-6.6949839999999997E-2</v>
      </c>
      <c r="R58" s="3">
        <v>-7.386827E-2</v>
      </c>
      <c r="S58" s="3">
        <v>-8.493328E-2</v>
      </c>
      <c r="T58">
        <v>-0.12972880000000001</v>
      </c>
      <c r="U58">
        <v>-0.13300699999999999</v>
      </c>
      <c r="V58">
        <v>-0.14469580000000001</v>
      </c>
    </row>
    <row r="59" spans="1:22" x14ac:dyDescent="0.25">
      <c r="A59" t="s">
        <v>143</v>
      </c>
    </row>
    <row r="60" spans="1:22" x14ac:dyDescent="0.25">
      <c r="A60">
        <v>1718.796</v>
      </c>
      <c r="B60">
        <v>9116</v>
      </c>
      <c r="C60">
        <v>6742</v>
      </c>
      <c r="D60">
        <v>1</v>
      </c>
      <c r="E60">
        <v>1</v>
      </c>
      <c r="F60" t="s">
        <v>13</v>
      </c>
      <c r="G60">
        <v>-0.10123210000000001</v>
      </c>
      <c r="H60" s="3">
        <v>3.6080840000000003E-2</v>
      </c>
      <c r="I60" s="3">
        <v>3.5770419999999997E-2</v>
      </c>
      <c r="J60" s="3">
        <v>3.4622670000000001E-2</v>
      </c>
      <c r="K60" s="3">
        <v>1.9745829999999999E-2</v>
      </c>
      <c r="L60" s="3">
        <v>8.4686280000000004E-4</v>
      </c>
      <c r="M60" s="3">
        <v>6.0753819999999998E-3</v>
      </c>
      <c r="N60" s="3">
        <v>3.9453509999999997E-3</v>
      </c>
      <c r="O60" s="3">
        <v>8.7404249999999996E-4</v>
      </c>
      <c r="P60" s="3">
        <v>1.116467E-2</v>
      </c>
      <c r="Q60" s="3">
        <v>-3.9701459999999999E-3</v>
      </c>
      <c r="R60" s="3">
        <v>-5.0783160000000003E-3</v>
      </c>
      <c r="S60" s="3">
        <v>-5.2132610000000003E-3</v>
      </c>
      <c r="T60" s="3">
        <v>-6.9856639999999999E-3</v>
      </c>
      <c r="U60" s="3">
        <v>-6.526947E-3</v>
      </c>
      <c r="V60" s="3">
        <v>-6.4506529999999998E-3</v>
      </c>
    </row>
    <row r="61" spans="1:22" x14ac:dyDescent="0.25">
      <c r="A61">
        <v>1718.816</v>
      </c>
      <c r="B61">
        <v>9116</v>
      </c>
      <c r="C61">
        <v>6744</v>
      </c>
      <c r="D61">
        <v>1</v>
      </c>
      <c r="E61">
        <v>1</v>
      </c>
      <c r="F61" t="s">
        <v>13</v>
      </c>
      <c r="G61" s="3">
        <v>-7.7157019999999996E-3</v>
      </c>
      <c r="H61" s="3">
        <v>-7.9064370000000005E-3</v>
      </c>
      <c r="I61" s="3">
        <v>-8.9473720000000003E-3</v>
      </c>
      <c r="J61" s="3">
        <v>-1.1544230000000001E-2</v>
      </c>
      <c r="K61" s="3">
        <v>-1.4204029999999999E-2</v>
      </c>
      <c r="L61" s="3">
        <v>-2.0644659999999999E-2</v>
      </c>
      <c r="M61" s="3">
        <v>-3.9415360000000003E-2</v>
      </c>
      <c r="N61">
        <v>-4.6940799999999998E-2</v>
      </c>
      <c r="O61" s="3">
        <v>-5.4387570000000003E-2</v>
      </c>
      <c r="P61" s="3">
        <v>-6.0013289999999997E-2</v>
      </c>
      <c r="Q61" s="3">
        <v>-7.0013049999999993E-2</v>
      </c>
      <c r="R61" s="3">
        <v>-7.7831269999999994E-2</v>
      </c>
      <c r="S61" s="3">
        <v>-8.9999679999999999E-2</v>
      </c>
      <c r="T61">
        <v>-0.14422989999999999</v>
      </c>
      <c r="U61">
        <v>-0.1452174</v>
      </c>
      <c r="V61">
        <v>-0.1536045</v>
      </c>
    </row>
    <row r="62" spans="1:22" x14ac:dyDescent="0.25">
      <c r="A62" t="s">
        <v>144</v>
      </c>
    </row>
    <row r="63" spans="1:22" x14ac:dyDescent="0.25">
      <c r="A63">
        <v>1728.473</v>
      </c>
      <c r="B63">
        <v>9116</v>
      </c>
      <c r="C63">
        <v>6742</v>
      </c>
      <c r="D63">
        <v>1</v>
      </c>
      <c r="E63">
        <v>1</v>
      </c>
      <c r="F63" t="s">
        <v>13</v>
      </c>
      <c r="G63">
        <v>-0.12063690000000001</v>
      </c>
      <c r="H63" s="3">
        <v>3.4331319999999999E-2</v>
      </c>
      <c r="I63" s="3">
        <v>3.6433220000000002E-2</v>
      </c>
      <c r="J63" s="3">
        <v>3.4793850000000001E-2</v>
      </c>
      <c r="K63" s="3">
        <v>2.213621E-2</v>
      </c>
      <c r="L63" s="3">
        <v>6.5994260000000005E-4</v>
      </c>
      <c r="M63" s="3">
        <v>8.4347720000000001E-3</v>
      </c>
      <c r="N63" s="3">
        <v>5.8670040000000003E-3</v>
      </c>
      <c r="O63" s="3">
        <v>3.2134059999999998E-3</v>
      </c>
      <c r="P63" s="3">
        <v>1.0973449999999999E-2</v>
      </c>
      <c r="Q63" s="3">
        <v>-2.4709699999999999E-3</v>
      </c>
      <c r="R63" s="3">
        <v>-4.388332E-3</v>
      </c>
      <c r="S63" s="3">
        <v>-5.3939820000000003E-3</v>
      </c>
      <c r="T63" s="3">
        <v>-6.6404339999999997E-3</v>
      </c>
      <c r="U63" s="3">
        <v>-6.7095760000000001E-3</v>
      </c>
      <c r="V63" s="3">
        <v>-7.6475140000000002E-3</v>
      </c>
    </row>
    <row r="64" spans="1:22" x14ac:dyDescent="0.25">
      <c r="A64">
        <v>1728.498</v>
      </c>
      <c r="B64">
        <v>9116</v>
      </c>
      <c r="C64">
        <v>6744</v>
      </c>
      <c r="D64">
        <v>1</v>
      </c>
      <c r="E64">
        <v>1</v>
      </c>
      <c r="F64" t="s">
        <v>13</v>
      </c>
      <c r="G64" s="3">
        <v>-8.986473E-3</v>
      </c>
      <c r="H64" s="3">
        <v>-9.9253650000000002E-3</v>
      </c>
      <c r="I64" s="3">
        <v>-9.6745489999999993E-3</v>
      </c>
      <c r="J64" s="3">
        <v>-1.240253E-2</v>
      </c>
      <c r="K64" s="3">
        <v>-1.456738E-2</v>
      </c>
      <c r="L64" s="3">
        <v>-1.975203E-2</v>
      </c>
      <c r="M64" s="3">
        <v>-3.9403920000000002E-2</v>
      </c>
      <c r="N64" s="3">
        <v>-4.7677520000000001E-2</v>
      </c>
      <c r="O64" s="3">
        <v>-5.4970739999999997E-2</v>
      </c>
      <c r="P64" s="3">
        <v>-6.0748580000000003E-2</v>
      </c>
      <c r="Q64">
        <v>-7.0545200000000002E-2</v>
      </c>
      <c r="R64">
        <v>-8.0533499999999994E-2</v>
      </c>
      <c r="S64">
        <v>-0.1032724</v>
      </c>
      <c r="T64">
        <v>-0.15564249999999999</v>
      </c>
      <c r="U64">
        <v>-0.15451239999999999</v>
      </c>
      <c r="V64">
        <v>-0.16001750000000001</v>
      </c>
    </row>
    <row r="65" spans="1:22" x14ac:dyDescent="0.25">
      <c r="A65" t="s">
        <v>145</v>
      </c>
    </row>
    <row r="66" spans="1:22" x14ac:dyDescent="0.25">
      <c r="A66">
        <v>1738.373</v>
      </c>
      <c r="B66">
        <v>9116</v>
      </c>
      <c r="C66">
        <v>6742</v>
      </c>
      <c r="D66">
        <v>1</v>
      </c>
      <c r="E66">
        <v>1</v>
      </c>
      <c r="F66" t="s">
        <v>13</v>
      </c>
      <c r="G66" s="3">
        <v>-5.6249140000000003E-2</v>
      </c>
      <c r="H66" s="3">
        <v>3.6708350000000001E-2</v>
      </c>
      <c r="I66" s="3">
        <v>3.3843520000000002E-2</v>
      </c>
      <c r="J66" s="3">
        <v>3.3807280000000002E-2</v>
      </c>
      <c r="K66" s="3">
        <v>1.8215180000000001E-2</v>
      </c>
      <c r="L66" s="3">
        <v>-1.764297E-4</v>
      </c>
      <c r="M66" s="3">
        <v>4.842758E-3</v>
      </c>
      <c r="N66" s="3">
        <v>3.0746459999999999E-3</v>
      </c>
      <c r="O66" s="3">
        <v>9.6797940000000002E-4</v>
      </c>
      <c r="P66" s="3">
        <v>9.9716189999999993E-3</v>
      </c>
      <c r="Q66" s="3">
        <v>-5.1250460000000003E-3</v>
      </c>
      <c r="R66" s="3">
        <v>-6.7472460000000001E-3</v>
      </c>
      <c r="S66" s="3">
        <v>-6.0997009999999999E-3</v>
      </c>
      <c r="T66">
        <v>-1.04394E-2</v>
      </c>
      <c r="U66" s="3">
        <v>-1.1243339999999999E-2</v>
      </c>
      <c r="V66" s="3">
        <v>-1.313305E-2</v>
      </c>
    </row>
    <row r="67" spans="1:22" x14ac:dyDescent="0.25">
      <c r="A67">
        <v>1738.3920000000001</v>
      </c>
      <c r="B67">
        <v>9116</v>
      </c>
      <c r="C67">
        <v>6744</v>
      </c>
      <c r="D67">
        <v>1</v>
      </c>
      <c r="E67">
        <v>1</v>
      </c>
      <c r="F67" t="s">
        <v>13</v>
      </c>
      <c r="G67" s="3">
        <v>-1.6432289999999999E-2</v>
      </c>
      <c r="H67" s="3">
        <v>-2.0207409999999999E-2</v>
      </c>
      <c r="I67">
        <v>-2.1977900000000002E-2</v>
      </c>
      <c r="J67" s="3">
        <v>-2.5886059999999999E-2</v>
      </c>
      <c r="K67" s="3">
        <v>-2.702332E-2</v>
      </c>
      <c r="L67" s="3">
        <v>-3.332806E-2</v>
      </c>
      <c r="M67">
        <v>-4.9094199999999998E-2</v>
      </c>
      <c r="N67" s="3">
        <v>-5.2409650000000002E-2</v>
      </c>
      <c r="O67" s="3">
        <v>-5.4363729999999999E-2</v>
      </c>
      <c r="P67" s="3">
        <v>-5.4142950000000002E-2</v>
      </c>
      <c r="Q67" s="3">
        <v>-5.3617949999999998E-2</v>
      </c>
      <c r="R67">
        <v>-5.7289600000000003E-2</v>
      </c>
      <c r="S67">
        <v>-5.6250099999999997E-2</v>
      </c>
      <c r="T67" s="3">
        <v>-5.7032590000000001E-2</v>
      </c>
      <c r="U67" s="3">
        <v>-5.4274559999999999E-2</v>
      </c>
      <c r="V67">
        <v>-5.1675800000000001E-2</v>
      </c>
    </row>
    <row r="68" spans="1:22" x14ac:dyDescent="0.25">
      <c r="A68" t="s">
        <v>146</v>
      </c>
    </row>
    <row r="69" spans="1:22" x14ac:dyDescent="0.25">
      <c r="A69">
        <v>1747.9749999999999</v>
      </c>
      <c r="B69">
        <v>9116</v>
      </c>
      <c r="C69">
        <v>6742</v>
      </c>
      <c r="D69">
        <v>1</v>
      </c>
      <c r="E69">
        <v>1</v>
      </c>
      <c r="F69" t="s">
        <v>13</v>
      </c>
      <c r="G69" s="3">
        <v>-4.7252179999999998E-2</v>
      </c>
      <c r="H69" s="3">
        <v>3.7233830000000002E-2</v>
      </c>
      <c r="I69" s="3">
        <v>3.419399E-2</v>
      </c>
      <c r="J69" s="3">
        <v>3.2952790000000003E-2</v>
      </c>
      <c r="K69" s="3">
        <v>1.8728729999999999E-2</v>
      </c>
      <c r="L69" s="3">
        <v>1.0309220000000001E-3</v>
      </c>
      <c r="M69" s="3">
        <v>5.7220459999999997E-3</v>
      </c>
      <c r="N69" s="3">
        <v>3.0746459999999999E-3</v>
      </c>
      <c r="O69" s="3">
        <v>7.9488750000000004E-4</v>
      </c>
      <c r="P69" s="3">
        <v>9.6259120000000004E-3</v>
      </c>
      <c r="Q69" s="3">
        <v>-5.6447980000000004E-3</v>
      </c>
      <c r="R69" s="3">
        <v>-7.6112749999999998E-3</v>
      </c>
      <c r="S69" s="3">
        <v>-6.8082810000000002E-3</v>
      </c>
      <c r="T69" s="3">
        <v>-1.182222E-2</v>
      </c>
      <c r="U69" s="3">
        <v>-1.2337209999999999E-2</v>
      </c>
      <c r="V69" s="3">
        <v>-1.5843869999999999E-2</v>
      </c>
    </row>
    <row r="70" spans="1:22" x14ac:dyDescent="0.25">
      <c r="A70">
        <v>1747.9960000000001</v>
      </c>
      <c r="B70">
        <v>9116</v>
      </c>
      <c r="C70">
        <v>6744</v>
      </c>
      <c r="D70">
        <v>1</v>
      </c>
      <c r="E70">
        <v>1</v>
      </c>
      <c r="F70" t="s">
        <v>13</v>
      </c>
      <c r="G70" s="3">
        <v>-2.042484E-2</v>
      </c>
      <c r="H70" s="3">
        <v>-2.3968219999999998E-2</v>
      </c>
      <c r="I70">
        <v>-2.6681900000000001E-2</v>
      </c>
      <c r="J70" s="3">
        <v>-3.0725479999999999E-2</v>
      </c>
      <c r="K70" s="3">
        <v>-3.3160210000000002E-2</v>
      </c>
      <c r="L70" s="3">
        <v>-3.940105E-2</v>
      </c>
      <c r="M70" s="3">
        <v>-5.013418E-2</v>
      </c>
      <c r="N70" s="3">
        <v>-5.1320079999999997E-2</v>
      </c>
      <c r="O70" s="3">
        <v>-5.275154E-2</v>
      </c>
      <c r="P70" s="3">
        <v>-5.2490710000000003E-2</v>
      </c>
      <c r="Q70" s="3">
        <v>-5.4879190000000001E-2</v>
      </c>
      <c r="R70" s="3">
        <v>-5.7469840000000001E-2</v>
      </c>
      <c r="S70" s="3">
        <v>-5.8870789999999999E-2</v>
      </c>
      <c r="T70" s="3">
        <v>-5.6488509999999999E-2</v>
      </c>
      <c r="U70" s="3">
        <v>-5.3363319999999999E-2</v>
      </c>
      <c r="V70" s="3">
        <v>-5.0427909999999999E-2</v>
      </c>
    </row>
    <row r="71" spans="1:22" x14ac:dyDescent="0.25">
      <c r="A71" t="s">
        <v>147</v>
      </c>
    </row>
    <row r="72" spans="1:22" x14ac:dyDescent="0.25">
      <c r="A72">
        <v>1757.934</v>
      </c>
      <c r="B72">
        <v>9116</v>
      </c>
      <c r="C72">
        <v>6742</v>
      </c>
      <c r="D72">
        <v>1</v>
      </c>
      <c r="E72">
        <v>1</v>
      </c>
      <c r="F72" t="s">
        <v>13</v>
      </c>
      <c r="G72" s="3">
        <v>-3.7196640000000003E-2</v>
      </c>
      <c r="H72" s="3">
        <v>3.6880969999999999E-2</v>
      </c>
      <c r="I72" s="3">
        <v>3.2758240000000001E-2</v>
      </c>
      <c r="J72" s="3">
        <v>3.2780650000000001E-2</v>
      </c>
      <c r="K72" s="3">
        <v>1.7349239999999998E-2</v>
      </c>
      <c r="L72" s="3">
        <v>-3.48568E-4</v>
      </c>
      <c r="M72" s="3">
        <v>4.4913289999999996E-3</v>
      </c>
      <c r="N72" s="3">
        <v>2.198219E-3</v>
      </c>
      <c r="O72" s="3">
        <v>-5.9795379999999997E-4</v>
      </c>
      <c r="P72" s="3">
        <v>9.2611310000000006E-3</v>
      </c>
      <c r="Q72" s="3">
        <v>-6.7443850000000003E-3</v>
      </c>
      <c r="R72" s="3">
        <v>-8.4733959999999994E-3</v>
      </c>
      <c r="S72" s="3">
        <v>-7.1625710000000004E-3</v>
      </c>
      <c r="T72" s="3">
        <v>-1.320696E-2</v>
      </c>
      <c r="U72" s="3">
        <v>-1.4725210000000001E-2</v>
      </c>
      <c r="V72" s="3">
        <v>-1.8301959999999999E-2</v>
      </c>
    </row>
    <row r="73" spans="1:22" x14ac:dyDescent="0.25">
      <c r="A73">
        <v>1757.9580000000001</v>
      </c>
      <c r="B73">
        <v>9116</v>
      </c>
      <c r="C73">
        <v>6744</v>
      </c>
      <c r="D73">
        <v>1</v>
      </c>
      <c r="E73">
        <v>1</v>
      </c>
      <c r="F73" t="s">
        <v>13</v>
      </c>
      <c r="G73" s="3">
        <v>-2.4054530000000001E-2</v>
      </c>
      <c r="H73" s="3">
        <v>-2.8394220000000001E-2</v>
      </c>
      <c r="I73" s="3">
        <v>-3.1571870000000002E-2</v>
      </c>
      <c r="J73" s="3">
        <v>-3.5216810000000001E-2</v>
      </c>
      <c r="K73" s="3">
        <v>-3.586864E-2</v>
      </c>
      <c r="L73" s="3">
        <v>-3.9940360000000001E-2</v>
      </c>
      <c r="M73" s="3">
        <v>-4.5801639999999998E-2</v>
      </c>
      <c r="N73" s="3">
        <v>-4.4599529999999998E-2</v>
      </c>
      <c r="O73" s="3">
        <v>-4.5414919999999998E-2</v>
      </c>
      <c r="P73" s="3">
        <v>-4.4413090000000002E-2</v>
      </c>
      <c r="Q73">
        <v>-4.4797900000000002E-2</v>
      </c>
      <c r="R73" s="3">
        <v>-4.793501E-2</v>
      </c>
      <c r="S73" s="3">
        <v>-4.7629360000000003E-2</v>
      </c>
      <c r="T73" s="3">
        <v>-4.724598E-2</v>
      </c>
      <c r="U73" s="3">
        <v>-4.4250970000000001E-2</v>
      </c>
      <c r="V73" s="3">
        <v>-4.2232989999999998E-2</v>
      </c>
    </row>
    <row r="74" spans="1:22" x14ac:dyDescent="0.25">
      <c r="A74" t="s">
        <v>148</v>
      </c>
    </row>
    <row r="75" spans="1:22" x14ac:dyDescent="0.25">
      <c r="A75">
        <v>1766.585</v>
      </c>
      <c r="B75">
        <v>9116</v>
      </c>
      <c r="C75">
        <v>6742</v>
      </c>
      <c r="D75">
        <v>1</v>
      </c>
      <c r="E75">
        <v>1</v>
      </c>
      <c r="F75" t="s">
        <v>13</v>
      </c>
      <c r="G75" s="3">
        <v>-2.2552490000000001E-2</v>
      </c>
      <c r="H75" s="3">
        <v>3.705692E-2</v>
      </c>
      <c r="I75" s="3">
        <v>3.1919959999999997E-2</v>
      </c>
      <c r="J75" s="3">
        <v>3.3789630000000001E-2</v>
      </c>
      <c r="K75">
        <v>1.7012599999999999E-2</v>
      </c>
      <c r="L75" s="3">
        <v>-1.7547609999999999E-4</v>
      </c>
      <c r="M75" s="3">
        <v>3.739834E-3</v>
      </c>
      <c r="N75" s="3">
        <v>2.198219E-3</v>
      </c>
      <c r="O75" s="3">
        <v>-8.5401539999999999E-4</v>
      </c>
      <c r="P75" s="3">
        <v>8.5868839999999995E-3</v>
      </c>
      <c r="Q75" s="3">
        <v>-7.2636599999999999E-3</v>
      </c>
      <c r="R75" s="3">
        <v>-9.6817020000000004E-3</v>
      </c>
      <c r="S75" s="3">
        <v>-7.5159069999999996E-3</v>
      </c>
      <c r="T75" s="3">
        <v>-1.528025E-2</v>
      </c>
      <c r="U75" s="3">
        <v>-1.6890530000000001E-2</v>
      </c>
      <c r="V75" s="3">
        <v>-2.0894050000000001E-2</v>
      </c>
    </row>
    <row r="76" spans="1:22" x14ac:dyDescent="0.25">
      <c r="A76">
        <v>1766.6089999999999</v>
      </c>
      <c r="B76">
        <v>9116</v>
      </c>
      <c r="C76">
        <v>6744</v>
      </c>
      <c r="D76">
        <v>1</v>
      </c>
      <c r="E76">
        <v>1</v>
      </c>
      <c r="F76" t="s">
        <v>13</v>
      </c>
      <c r="G76" s="3">
        <v>-2.6776310000000001E-2</v>
      </c>
      <c r="H76" s="3">
        <v>-3.273678E-2</v>
      </c>
      <c r="I76" s="3">
        <v>-3.428602E-2</v>
      </c>
      <c r="J76" s="3">
        <v>-3.7289620000000002E-2</v>
      </c>
      <c r="K76" s="3">
        <v>-3.7131789999999998E-2</v>
      </c>
      <c r="L76" s="3">
        <v>-3.7618640000000002E-2</v>
      </c>
      <c r="M76" s="3">
        <v>-3.6435130000000003E-2</v>
      </c>
      <c r="N76">
        <v>-3.5525800000000003E-2</v>
      </c>
      <c r="O76" s="3">
        <v>-3.664589E-2</v>
      </c>
      <c r="P76" s="3">
        <v>-3.560352E-2</v>
      </c>
      <c r="Q76" s="3">
        <v>-3.5787579999999999E-2</v>
      </c>
      <c r="R76" s="3">
        <v>-3.7311080000000003E-2</v>
      </c>
      <c r="S76" s="3">
        <v>-3.5262580000000002E-2</v>
      </c>
      <c r="T76" s="3">
        <v>-3.5823819999999999E-2</v>
      </c>
      <c r="U76">
        <v>-3.4772400000000002E-2</v>
      </c>
      <c r="V76" s="3">
        <v>-3.4907340000000002E-2</v>
      </c>
    </row>
    <row r="77" spans="1:22" x14ac:dyDescent="0.25">
      <c r="A77" t="s">
        <v>149</v>
      </c>
    </row>
    <row r="78" spans="1:22" x14ac:dyDescent="0.25">
      <c r="A78">
        <v>1776.2239999999999</v>
      </c>
      <c r="B78">
        <v>9116</v>
      </c>
      <c r="C78">
        <v>6742</v>
      </c>
      <c r="D78">
        <v>1</v>
      </c>
      <c r="E78">
        <v>1</v>
      </c>
      <c r="F78" t="s">
        <v>13</v>
      </c>
      <c r="G78" s="3">
        <v>-2.272892E-2</v>
      </c>
      <c r="H78" s="3">
        <v>3.7231920000000002E-2</v>
      </c>
      <c r="I78" s="3">
        <v>3.279543E-2</v>
      </c>
      <c r="J78">
        <v>3.6524300000000003E-2</v>
      </c>
      <c r="K78" s="3">
        <v>1.8552780000000001E-2</v>
      </c>
      <c r="L78" s="3">
        <v>5.1450729999999998E-4</v>
      </c>
      <c r="M78" s="3">
        <v>4.9700739999999997E-3</v>
      </c>
      <c r="N78" s="3">
        <v>3.0698779999999998E-3</v>
      </c>
      <c r="O78" s="3">
        <v>-1.6117099999999999E-4</v>
      </c>
      <c r="P78" s="3">
        <v>8.2411770000000006E-3</v>
      </c>
      <c r="Q78" s="3">
        <v>-6.7439079999999998E-3</v>
      </c>
      <c r="R78" s="3">
        <v>-9.8543169999999996E-3</v>
      </c>
      <c r="S78" s="3">
        <v>-6.9847110000000002E-3</v>
      </c>
      <c r="T78" s="3">
        <v>-1.5625480000000001E-2</v>
      </c>
      <c r="U78" s="3">
        <v>-1.7437459999999998E-2</v>
      </c>
      <c r="V78" s="3">
        <v>-2.1978859999999999E-2</v>
      </c>
    </row>
    <row r="79" spans="1:22" x14ac:dyDescent="0.25">
      <c r="A79">
        <v>1776.249</v>
      </c>
      <c r="B79">
        <v>9116</v>
      </c>
      <c r="C79">
        <v>6744</v>
      </c>
      <c r="D79">
        <v>1</v>
      </c>
      <c r="E79">
        <v>1</v>
      </c>
      <c r="F79" t="s">
        <v>13</v>
      </c>
      <c r="G79" s="3">
        <v>-2.8047079999999999E-2</v>
      </c>
      <c r="H79" s="3">
        <v>-3.3811569999999999E-2</v>
      </c>
      <c r="I79" s="3">
        <v>-3.5914420000000002E-2</v>
      </c>
      <c r="J79" s="3">
        <v>-3.8672449999999997E-2</v>
      </c>
      <c r="K79" s="3">
        <v>-3.8575650000000003E-2</v>
      </c>
      <c r="L79" s="3">
        <v>-3.8690090000000003E-2</v>
      </c>
      <c r="M79" s="3">
        <v>-3.6262040000000002E-2</v>
      </c>
      <c r="N79">
        <v>-3.4799099999999999E-2</v>
      </c>
      <c r="O79">
        <v>-3.5571100000000001E-2</v>
      </c>
      <c r="P79" s="3">
        <v>-3.3951759999999997E-2</v>
      </c>
      <c r="Q79" s="3">
        <v>-3.4705640000000003E-2</v>
      </c>
      <c r="R79" s="3">
        <v>-3.4788609999999998E-2</v>
      </c>
      <c r="S79" s="3">
        <v>-3.4214019999999998E-2</v>
      </c>
      <c r="T79" s="3">
        <v>-3.3829209999999998E-2</v>
      </c>
      <c r="U79">
        <v>-3.3495900000000002E-2</v>
      </c>
      <c r="V79" s="3">
        <v>-3.3838269999999997E-2</v>
      </c>
    </row>
    <row r="81" spans="7:39" x14ac:dyDescent="0.25"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</row>
    <row r="82" spans="7:39" x14ac:dyDescent="0.25"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</row>
    <row r="83" spans="7:39" x14ac:dyDescent="0.25">
      <c r="G83" s="5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</row>
    <row r="84" spans="7:39" x14ac:dyDescent="0.25">
      <c r="G84" s="5"/>
      <c r="H84" s="5" t="s">
        <v>44</v>
      </c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</row>
    <row r="85" spans="7:39" x14ac:dyDescent="0.25">
      <c r="G85" s="5" t="s">
        <v>45</v>
      </c>
      <c r="H85" s="5" t="s">
        <v>14</v>
      </c>
      <c r="I85" s="5" t="s">
        <v>15</v>
      </c>
      <c r="J85" s="5" t="s">
        <v>16</v>
      </c>
      <c r="K85" s="5" t="s">
        <v>17</v>
      </c>
      <c r="L85" s="5" t="s">
        <v>18</v>
      </c>
      <c r="M85" s="5" t="s">
        <v>19</v>
      </c>
      <c r="N85" s="5" t="s">
        <v>20</v>
      </c>
      <c r="O85" s="5" t="s">
        <v>21</v>
      </c>
      <c r="P85" s="5" t="s">
        <v>22</v>
      </c>
      <c r="Q85" s="5" t="s">
        <v>23</v>
      </c>
      <c r="R85" s="5" t="s">
        <v>24</v>
      </c>
      <c r="S85" s="5" t="s">
        <v>25</v>
      </c>
      <c r="T85" s="5" t="s">
        <v>26</v>
      </c>
      <c r="U85" s="5" t="s">
        <v>27</v>
      </c>
      <c r="V85" s="5" t="s">
        <v>28</v>
      </c>
      <c r="W85" s="5" t="s">
        <v>29</v>
      </c>
      <c r="X85" s="5" t="s">
        <v>46</v>
      </c>
      <c r="Y85" s="5" t="s">
        <v>47</v>
      </c>
      <c r="Z85" s="5" t="s">
        <v>48</v>
      </c>
      <c r="AA85" s="5" t="s">
        <v>49</v>
      </c>
      <c r="AB85" s="5" t="s">
        <v>50</v>
      </c>
      <c r="AC85" s="5" t="s">
        <v>51</v>
      </c>
      <c r="AD85" s="5" t="s">
        <v>52</v>
      </c>
      <c r="AE85" s="5" t="s">
        <v>53</v>
      </c>
      <c r="AF85" s="5" t="s">
        <v>54</v>
      </c>
      <c r="AG85" s="5" t="s">
        <v>55</v>
      </c>
      <c r="AH85" s="5" t="s">
        <v>56</v>
      </c>
      <c r="AI85" s="5" t="s">
        <v>57</v>
      </c>
      <c r="AJ85" s="5" t="s">
        <v>58</v>
      </c>
      <c r="AK85" s="5" t="s">
        <v>59</v>
      </c>
      <c r="AL85" s="5" t="s">
        <v>60</v>
      </c>
      <c r="AM85" s="5" t="s">
        <v>61</v>
      </c>
    </row>
    <row r="86" spans="7:39" x14ac:dyDescent="0.25">
      <c r="G86" s="5" t="s">
        <v>62</v>
      </c>
      <c r="H86" s="6">
        <f>G9</f>
        <v>-6.1464310000000004E-4</v>
      </c>
      <c r="I86" s="6">
        <f t="shared" ref="I86:W86" si="0">H9</f>
        <v>-6.4849850000000002E-4</v>
      </c>
      <c r="J86" s="6">
        <f t="shared" si="0"/>
        <v>-4.6157840000000001E-4</v>
      </c>
      <c r="K86" s="6">
        <f t="shared" si="0"/>
        <v>3.9632319999999999E-2</v>
      </c>
      <c r="L86" s="6">
        <f t="shared" si="0"/>
        <v>-2.5653839999999998E-4</v>
      </c>
      <c r="M86" s="6">
        <f t="shared" si="0"/>
        <v>-6.1178209999999998E-4</v>
      </c>
      <c r="N86" s="6">
        <f t="shared" si="0"/>
        <v>-1.2450219999999999E-3</v>
      </c>
      <c r="O86" s="6">
        <f t="shared" si="0"/>
        <v>-1.192093E-4</v>
      </c>
      <c r="P86" s="6">
        <f t="shared" si="0"/>
        <v>4.3630600000000002E-4</v>
      </c>
      <c r="Q86" s="6">
        <f t="shared" si="0"/>
        <v>4.3742179999999999E-2</v>
      </c>
      <c r="R86" s="6">
        <f t="shared" si="0"/>
        <v>7.2145460000000005E-4</v>
      </c>
      <c r="S86" s="6">
        <f t="shared" si="0"/>
        <v>9.8705290000000004E-5</v>
      </c>
      <c r="T86" s="6">
        <f t="shared" si="0"/>
        <v>1.8774030000000001E-2</v>
      </c>
      <c r="U86" s="6">
        <f t="shared" si="0"/>
        <v>-3.0565259999999999E-4</v>
      </c>
      <c r="V86" s="6">
        <f t="shared" si="0"/>
        <v>2.3031230000000001E-4</v>
      </c>
      <c r="W86" s="6">
        <f t="shared" si="0"/>
        <v>-1.416206E-4</v>
      </c>
      <c r="X86" s="6">
        <f>G10</f>
        <v>-6.5183639999999996E-4</v>
      </c>
      <c r="Y86" s="6">
        <f t="shared" ref="Y86:AM86" si="1">H10</f>
        <v>-1.280308E-3</v>
      </c>
      <c r="Z86" s="6">
        <f t="shared" si="1"/>
        <v>-8.8691710000000004E-5</v>
      </c>
      <c r="AA86" s="6">
        <f t="shared" si="1"/>
        <v>3.4039020000000003E-2</v>
      </c>
      <c r="AB86" s="6">
        <f t="shared" si="1"/>
        <v>-3.2901760000000001E-5</v>
      </c>
      <c r="AC86" s="6">
        <f t="shared" si="1"/>
        <v>-5.0067899999999997E-4</v>
      </c>
      <c r="AD86" s="6">
        <f t="shared" si="1"/>
        <v>-1.240253E-3</v>
      </c>
      <c r="AE86" s="6">
        <f t="shared" si="1"/>
        <v>9.9182129999999996E-5</v>
      </c>
      <c r="AF86" s="6">
        <f t="shared" si="1"/>
        <v>-9.5558169999999997E-4</v>
      </c>
      <c r="AG86" s="6">
        <f t="shared" si="1"/>
        <v>3.7574769999999997E-4</v>
      </c>
      <c r="AH86" s="6">
        <f t="shared" si="1"/>
        <v>2.7942659999999998E-4</v>
      </c>
      <c r="AI86" s="6">
        <f t="shared" si="1"/>
        <v>-3.8957599999999998E-4</v>
      </c>
      <c r="AJ86" s="6">
        <f t="shared" si="1"/>
        <v>-1.029968E-3</v>
      </c>
      <c r="AK86" s="6">
        <f t="shared" si="1"/>
        <v>3.9672850000000001E-4</v>
      </c>
      <c r="AL86" s="6">
        <f t="shared" si="1"/>
        <v>1.037121E-3</v>
      </c>
      <c r="AM86" s="6">
        <f t="shared" si="1"/>
        <v>2.0885470000000001E-4</v>
      </c>
    </row>
    <row r="87" spans="7:39" x14ac:dyDescent="0.25">
      <c r="G87" s="5">
        <v>-4</v>
      </c>
      <c r="H87" s="6">
        <f>G12</f>
        <v>-1.39451E-2</v>
      </c>
      <c r="I87" s="6">
        <f t="shared" ref="I87:W87" si="2">H12</f>
        <v>-0.113008</v>
      </c>
      <c r="J87" s="6">
        <f t="shared" si="2"/>
        <v>-9.8451609999999995E-2</v>
      </c>
      <c r="K87" s="6">
        <f t="shared" si="2"/>
        <v>5.1122189999999998E-2</v>
      </c>
      <c r="L87" s="6">
        <f t="shared" si="2"/>
        <v>-7.0620539999999996E-2</v>
      </c>
      <c r="M87" s="6">
        <f t="shared" si="2"/>
        <v>-4.7297479999999998E-3</v>
      </c>
      <c r="N87" s="6">
        <f t="shared" si="2"/>
        <v>-5.7988640000000001E-2</v>
      </c>
      <c r="O87" s="6">
        <f t="shared" si="2"/>
        <v>-5.1783559999999999E-2</v>
      </c>
      <c r="P87" s="6">
        <f t="shared" si="2"/>
        <v>-4.6574119999999997E-2</v>
      </c>
      <c r="Q87" s="6">
        <f t="shared" si="2"/>
        <v>1.9204619999999999E-2</v>
      </c>
      <c r="R87" s="6">
        <f t="shared" si="2"/>
        <v>-3.3776760000000003E-2</v>
      </c>
      <c r="S87" s="6">
        <f t="shared" si="2"/>
        <v>-2.8668880000000001E-2</v>
      </c>
      <c r="T87" s="6">
        <f t="shared" si="2"/>
        <v>4.8637389999999997E-3</v>
      </c>
      <c r="U87" s="6">
        <f t="shared" si="2"/>
        <v>-2.0131110000000001E-2</v>
      </c>
      <c r="V87" s="6">
        <f t="shared" si="2"/>
        <v>-1.51906E-2</v>
      </c>
      <c r="W87" s="6">
        <f t="shared" si="2"/>
        <v>-1.0554310000000001E-2</v>
      </c>
      <c r="X87" s="6">
        <f>G13</f>
        <v>-9.1505049999999998E-3</v>
      </c>
      <c r="Y87" s="6">
        <f t="shared" ref="Y87:AM87" si="3">H13</f>
        <v>-6.5498350000000004E-3</v>
      </c>
      <c r="Z87" s="6">
        <f t="shared" si="3"/>
        <v>-5.1341060000000003E-3</v>
      </c>
      <c r="AA87" s="6">
        <f t="shared" si="3"/>
        <v>-7.41291E-3</v>
      </c>
      <c r="AB87" s="6">
        <f t="shared" si="3"/>
        <v>-8.2392690000000005E-3</v>
      </c>
      <c r="AC87" s="6">
        <f t="shared" si="3"/>
        <v>-1.0624410000000001E-2</v>
      </c>
      <c r="AD87" s="6">
        <f t="shared" si="3"/>
        <v>-1.2454990000000001E-2</v>
      </c>
      <c r="AE87" s="6">
        <f t="shared" si="3"/>
        <v>-1.057482E-2</v>
      </c>
      <c r="AF87" s="6">
        <f t="shared" si="3"/>
        <v>-1.0445589999999999E-2</v>
      </c>
      <c r="AG87" s="6">
        <f t="shared" si="3"/>
        <v>-7.1444509999999996E-3</v>
      </c>
      <c r="AH87" s="6">
        <f t="shared" si="3"/>
        <v>-5.4674149999999998E-3</v>
      </c>
      <c r="AI87" s="6">
        <f t="shared" si="3"/>
        <v>-8.8071820000000002E-4</v>
      </c>
      <c r="AJ87" s="6">
        <f t="shared" si="3"/>
        <v>3.2815930000000002E-3</v>
      </c>
      <c r="AK87" s="6">
        <f t="shared" si="3"/>
        <v>1.042175E-2</v>
      </c>
      <c r="AL87" s="6">
        <f t="shared" si="3"/>
        <v>2.0285129999999998E-2</v>
      </c>
      <c r="AM87" s="6">
        <f t="shared" si="3"/>
        <v>3.0215260000000001E-2</v>
      </c>
    </row>
    <row r="88" spans="7:39" x14ac:dyDescent="0.25">
      <c r="G88" s="5">
        <v>-3</v>
      </c>
      <c r="H88" s="6">
        <f>G15</f>
        <v>1.753807E-3</v>
      </c>
      <c r="I88" s="6">
        <f t="shared" ref="I88:W88" si="4">H15</f>
        <v>-9.6331600000000003E-2</v>
      </c>
      <c r="J88" s="6">
        <f t="shared" si="4"/>
        <v>-8.6366650000000003E-2</v>
      </c>
      <c r="K88" s="6">
        <f t="shared" si="4"/>
        <v>5.1293369999999998E-2</v>
      </c>
      <c r="L88" s="6">
        <f t="shared" si="4"/>
        <v>-6.3605789999999995E-2</v>
      </c>
      <c r="M88" s="6">
        <f t="shared" si="4"/>
        <v>-4.0383340000000002E-3</v>
      </c>
      <c r="N88" s="6">
        <f t="shared" si="4"/>
        <v>-5.3764819999999998E-2</v>
      </c>
      <c r="O88" s="6">
        <f t="shared" si="4"/>
        <v>-4.7429079999999998E-2</v>
      </c>
      <c r="P88" s="6">
        <f t="shared" si="4"/>
        <v>-4.2580130000000001E-2</v>
      </c>
      <c r="Q88" s="6">
        <f t="shared" si="4"/>
        <v>1.8185139999999999E-2</v>
      </c>
      <c r="R88" s="6">
        <f t="shared" si="4"/>
        <v>-3.250074E-2</v>
      </c>
      <c r="S88" s="6">
        <f t="shared" si="4"/>
        <v>-2.7112480000000001E-2</v>
      </c>
      <c r="T88" s="6">
        <f t="shared" si="4"/>
        <v>5.5756570000000004E-3</v>
      </c>
      <c r="U88" s="6">
        <f t="shared" si="4"/>
        <v>-1.9958500000000001E-2</v>
      </c>
      <c r="V88" s="6">
        <f t="shared" si="4"/>
        <v>-1.5007970000000001E-2</v>
      </c>
      <c r="W88" s="6">
        <f t="shared" si="4"/>
        <v>-1.109362E-2</v>
      </c>
      <c r="X88" s="6">
        <f>G16</f>
        <v>-9.1505049999999998E-3</v>
      </c>
      <c r="Y88" s="6">
        <f t="shared" ref="Y88:AM88" si="5">H16</f>
        <v>-6.7281720000000001E-3</v>
      </c>
      <c r="Z88" s="6">
        <f t="shared" si="5"/>
        <v>-5.4984090000000001E-3</v>
      </c>
      <c r="AA88" s="6">
        <f t="shared" si="5"/>
        <v>-8.2736019999999997E-3</v>
      </c>
      <c r="AB88" s="6">
        <f t="shared" si="5"/>
        <v>-8.4195139999999995E-3</v>
      </c>
      <c r="AC88" s="6">
        <f t="shared" si="5"/>
        <v>-1.1162760000000001E-2</v>
      </c>
      <c r="AD88" s="6">
        <f t="shared" si="5"/>
        <v>-1.348305E-2</v>
      </c>
      <c r="AE88" s="6">
        <f t="shared" si="5"/>
        <v>-1.239824E-2</v>
      </c>
      <c r="AF88" s="6">
        <f t="shared" si="5"/>
        <v>-1.2958529999999999E-2</v>
      </c>
      <c r="AG88" s="6">
        <f t="shared" si="5"/>
        <v>-1.044893E-2</v>
      </c>
      <c r="AH88" s="6">
        <f t="shared" si="5"/>
        <v>-9.9701879999999996E-3</v>
      </c>
      <c r="AI88" s="6">
        <f t="shared" si="5"/>
        <v>-5.2070620000000001E-3</v>
      </c>
      <c r="AJ88" s="6">
        <f t="shared" si="5"/>
        <v>-1.093388E-3</v>
      </c>
      <c r="AK88" s="6">
        <f t="shared" si="5"/>
        <v>5.5274959999999998E-3</v>
      </c>
      <c r="AL88" s="6">
        <f t="shared" si="5"/>
        <v>1.5182019999999999E-2</v>
      </c>
      <c r="AM88" s="6">
        <f t="shared" si="5"/>
        <v>2.5769230000000001E-2</v>
      </c>
    </row>
    <row r="89" spans="7:39" x14ac:dyDescent="0.25">
      <c r="G89" s="5">
        <v>-2</v>
      </c>
      <c r="H89" s="6">
        <f>G18</f>
        <v>1.6395090000000001E-2</v>
      </c>
      <c r="I89" s="6">
        <f t="shared" ref="I89:W89" si="6">H18</f>
        <v>-7.7436450000000004E-2</v>
      </c>
      <c r="J89" s="6">
        <f t="shared" si="6"/>
        <v>-7.2895050000000003E-2</v>
      </c>
      <c r="K89" s="6">
        <f t="shared" si="6"/>
        <v>5.2147390000000002E-2</v>
      </c>
      <c r="L89" s="6">
        <f t="shared" si="6"/>
        <v>-5.6249140000000003E-2</v>
      </c>
      <c r="M89" s="6">
        <f t="shared" si="6"/>
        <v>-3.693104E-3</v>
      </c>
      <c r="N89" s="6">
        <f t="shared" si="6"/>
        <v>-4.9548149999999999E-2</v>
      </c>
      <c r="O89" s="6">
        <f t="shared" si="6"/>
        <v>-4.3595790000000002E-2</v>
      </c>
      <c r="P89" s="6">
        <f t="shared" si="6"/>
        <v>-3.9116379999999999E-2</v>
      </c>
      <c r="Q89" s="6">
        <f t="shared" si="6"/>
        <v>1.8012050000000002E-2</v>
      </c>
      <c r="R89" s="6">
        <f t="shared" si="6"/>
        <v>-3.1288150000000001E-2</v>
      </c>
      <c r="S89" s="6">
        <f t="shared" si="6"/>
        <v>-2.728558E-2</v>
      </c>
      <c r="T89" s="6">
        <f t="shared" si="6"/>
        <v>6.2842369999999998E-3</v>
      </c>
      <c r="U89" s="6">
        <f t="shared" si="6"/>
        <v>-1.9612790000000001E-2</v>
      </c>
      <c r="V89" s="6">
        <f t="shared" si="6"/>
        <v>-1.4643669999999999E-2</v>
      </c>
      <c r="W89" s="6">
        <f t="shared" si="6"/>
        <v>-1.073265E-2</v>
      </c>
      <c r="X89" s="6">
        <f>G19</f>
        <v>-9.6950530000000004E-3</v>
      </c>
      <c r="Y89" s="6">
        <f t="shared" ref="Y89:AM89" si="7">H19</f>
        <v>-8.160591E-3</v>
      </c>
      <c r="Z89" s="6">
        <f t="shared" si="7"/>
        <v>-7.1263309999999996E-3</v>
      </c>
      <c r="AA89" s="6">
        <f t="shared" si="7"/>
        <v>-9.3102459999999995E-3</v>
      </c>
      <c r="AB89" s="6">
        <f t="shared" si="7"/>
        <v>-9.3216900000000005E-3</v>
      </c>
      <c r="AC89" s="6">
        <f t="shared" si="7"/>
        <v>-1.2234210000000001E-2</v>
      </c>
      <c r="AD89" s="6">
        <f t="shared" si="7"/>
        <v>-1.6081330000000001E-2</v>
      </c>
      <c r="AE89" s="6">
        <f t="shared" si="7"/>
        <v>-1.512194E-2</v>
      </c>
      <c r="AF89" s="6">
        <f t="shared" si="7"/>
        <v>-1.618147E-2</v>
      </c>
      <c r="AG89" s="6">
        <f t="shared" si="7"/>
        <v>-1.3752459999999999E-2</v>
      </c>
      <c r="AH89" s="6">
        <f t="shared" si="7"/>
        <v>-1.2852189999999999E-2</v>
      </c>
      <c r="AI89" s="6">
        <f t="shared" si="7"/>
        <v>-9.8900789999999995E-3</v>
      </c>
      <c r="AJ89" s="6">
        <f t="shared" si="7"/>
        <v>-6.6833500000000002E-3</v>
      </c>
      <c r="AK89" s="6">
        <f t="shared" si="7"/>
        <v>-4.5490260000000002E-4</v>
      </c>
      <c r="AL89" s="6">
        <f t="shared" si="7"/>
        <v>8.2559590000000002E-3</v>
      </c>
      <c r="AM89" s="6">
        <f t="shared" si="7"/>
        <v>1.8819329999999999E-2</v>
      </c>
    </row>
    <row r="90" spans="7:39" x14ac:dyDescent="0.25">
      <c r="G90" s="5">
        <v>-1</v>
      </c>
      <c r="H90" s="6">
        <f>G21</f>
        <v>2.8569219999999999E-2</v>
      </c>
      <c r="I90" s="6">
        <f t="shared" ref="I90:W90" si="8">H21</f>
        <v>-5.8913710000000001E-2</v>
      </c>
      <c r="J90" s="6">
        <f t="shared" si="8"/>
        <v>-5.9636120000000001E-2</v>
      </c>
      <c r="K90" s="6">
        <f t="shared" si="8"/>
        <v>5.3494449999999999E-2</v>
      </c>
      <c r="L90" s="6">
        <f t="shared" si="8"/>
        <v>-4.8553470000000001E-2</v>
      </c>
      <c r="M90" s="6">
        <f t="shared" si="8"/>
        <v>-3.5209659999999999E-3</v>
      </c>
      <c r="N90" s="6">
        <f t="shared" si="8"/>
        <v>-4.5205589999999997E-2</v>
      </c>
      <c r="O90" s="6">
        <f t="shared" si="8"/>
        <v>-3.8890840000000003E-2</v>
      </c>
      <c r="P90" s="6">
        <f t="shared" si="8"/>
        <v>-3.5831929999999998E-2</v>
      </c>
      <c r="Q90" s="6">
        <f t="shared" si="8"/>
        <v>1.7301560000000001E-2</v>
      </c>
      <c r="R90" s="6">
        <f t="shared" si="8"/>
        <v>-2.8863429999999999E-2</v>
      </c>
      <c r="S90" s="6">
        <f t="shared" si="8"/>
        <v>-2.613449E-2</v>
      </c>
      <c r="T90" s="6">
        <f t="shared" si="8"/>
        <v>6.8116189999999997E-3</v>
      </c>
      <c r="U90" s="6">
        <f t="shared" si="8"/>
        <v>-1.7885209999999999E-2</v>
      </c>
      <c r="V90" s="6">
        <f t="shared" si="8"/>
        <v>-1.373243E-2</v>
      </c>
      <c r="W90" s="6">
        <f t="shared" si="8"/>
        <v>-1.005459E-2</v>
      </c>
      <c r="X90" s="6">
        <f>G22</f>
        <v>-7.7023509999999996E-3</v>
      </c>
      <c r="Y90" s="6">
        <f t="shared" ref="Y90:AM90" si="9">H22</f>
        <v>-6.6776279999999997E-3</v>
      </c>
      <c r="Z90" s="6">
        <f t="shared" si="9"/>
        <v>-8.5711480000000007E-3</v>
      </c>
      <c r="AA90" s="6">
        <f t="shared" si="9"/>
        <v>-1.0518069999999999E-2</v>
      </c>
      <c r="AB90" s="6">
        <f t="shared" si="9"/>
        <v>-1.076746E-2</v>
      </c>
      <c r="AC90" s="6">
        <f t="shared" si="9"/>
        <v>-1.366615E-2</v>
      </c>
      <c r="AD90" s="6">
        <f t="shared" si="9"/>
        <v>-1.8504139999999999E-2</v>
      </c>
      <c r="AE90" s="6">
        <f t="shared" si="9"/>
        <v>-1.893616E-2</v>
      </c>
      <c r="AF90" s="6">
        <f t="shared" si="9"/>
        <v>-1.951313E-2</v>
      </c>
      <c r="AG90" s="6">
        <f t="shared" si="9"/>
        <v>-1.7973900000000001E-2</v>
      </c>
      <c r="AH90" s="6">
        <f t="shared" si="9"/>
        <v>-1.7725939999999999E-2</v>
      </c>
      <c r="AI90" s="6">
        <f t="shared" si="9"/>
        <v>-1.529932E-2</v>
      </c>
      <c r="AJ90" s="6">
        <f t="shared" si="9"/>
        <v>-1.241016E-2</v>
      </c>
      <c r="AK90" s="6">
        <f t="shared" si="9"/>
        <v>-7.3451999999999996E-3</v>
      </c>
      <c r="AL90" s="6">
        <f t="shared" si="9"/>
        <v>7.8296660000000005E-4</v>
      </c>
      <c r="AM90" s="6">
        <f t="shared" si="9"/>
        <v>1.029015E-2</v>
      </c>
    </row>
    <row r="91" spans="7:39" x14ac:dyDescent="0.25">
      <c r="G91" s="5">
        <v>0</v>
      </c>
      <c r="H91" s="6">
        <f>G24</f>
        <v>3.580618E-2</v>
      </c>
      <c r="I91" s="6">
        <f t="shared" ref="I91:W91" si="10">H24</f>
        <v>-4.1253089999999999E-2</v>
      </c>
      <c r="J91" s="6">
        <f t="shared" si="10"/>
        <v>-4.712152E-2</v>
      </c>
      <c r="K91" s="6">
        <f t="shared" si="10"/>
        <v>5.3704259999999997E-2</v>
      </c>
      <c r="L91" s="6">
        <f t="shared" si="10"/>
        <v>-4.1872979999999997E-2</v>
      </c>
      <c r="M91" s="6">
        <f t="shared" si="10"/>
        <v>-2.9764180000000002E-3</v>
      </c>
      <c r="N91" s="6">
        <f t="shared" si="10"/>
        <v>-4.0545940000000003E-2</v>
      </c>
      <c r="O91" s="6">
        <f t="shared" si="10"/>
        <v>-3.5418030000000003E-2</v>
      </c>
      <c r="P91" s="6">
        <f t="shared" si="10"/>
        <v>-3.2456869999999999E-2</v>
      </c>
      <c r="Q91" s="6">
        <f t="shared" si="10"/>
        <v>1.7511840000000001E-2</v>
      </c>
      <c r="R91" s="6">
        <f t="shared" si="10"/>
        <v>-2.6786330000000001E-2</v>
      </c>
      <c r="S91" s="6">
        <f t="shared" si="10"/>
        <v>-2.3604389999999999E-2</v>
      </c>
      <c r="T91" s="6">
        <f t="shared" si="10"/>
        <v>7.3456759999999998E-3</v>
      </c>
      <c r="U91" s="6">
        <f t="shared" si="10"/>
        <v>-1.7191890000000001E-2</v>
      </c>
      <c r="V91" s="6">
        <f t="shared" si="10"/>
        <v>-1.2073520000000001E-2</v>
      </c>
      <c r="W91" s="6">
        <f t="shared" si="10"/>
        <v>-8.7041849999999997E-3</v>
      </c>
      <c r="X91" s="6">
        <f>G25</f>
        <v>-6.9789889999999997E-3</v>
      </c>
      <c r="Y91" s="6">
        <f t="shared" ref="Y91:AM91" si="11">H25</f>
        <v>-4.7082900000000004E-3</v>
      </c>
      <c r="Z91" s="6">
        <f t="shared" si="11"/>
        <v>-1.0023590000000001E-2</v>
      </c>
      <c r="AA91" s="6">
        <f t="shared" si="11"/>
        <v>-1.2073520000000001E-2</v>
      </c>
      <c r="AB91" s="6">
        <f t="shared" si="11"/>
        <v>-1.275396E-2</v>
      </c>
      <c r="AC91" s="6">
        <f t="shared" si="11"/>
        <v>-1.5275E-2</v>
      </c>
      <c r="AD91" s="6">
        <f t="shared" si="11"/>
        <v>-2.1102429999999998E-2</v>
      </c>
      <c r="AE91" s="6">
        <f t="shared" si="11"/>
        <v>-2.1305080000000001E-2</v>
      </c>
      <c r="AF91" s="6">
        <f t="shared" si="11"/>
        <v>-2.315712E-2</v>
      </c>
      <c r="AG91" s="6">
        <f t="shared" si="11"/>
        <v>-2.237892E-2</v>
      </c>
      <c r="AH91" s="6">
        <f t="shared" si="11"/>
        <v>-2.2590160000000001E-2</v>
      </c>
      <c r="AI91" s="6">
        <f t="shared" si="11"/>
        <v>-2.1063800000000001E-2</v>
      </c>
      <c r="AJ91" s="6">
        <f t="shared" si="11"/>
        <v>-1.8837449999999999E-2</v>
      </c>
      <c r="AK91" s="6">
        <f t="shared" si="11"/>
        <v>-1.477766E-2</v>
      </c>
      <c r="AL91" s="6">
        <f t="shared" si="11"/>
        <v>-8.6965559999999994E-3</v>
      </c>
      <c r="AM91" s="6">
        <f t="shared" si="11"/>
        <v>-4.0054320000000002E-4</v>
      </c>
    </row>
    <row r="92" spans="7:39" x14ac:dyDescent="0.25">
      <c r="G92" s="5">
        <v>1</v>
      </c>
      <c r="H92" s="6">
        <f>G27</f>
        <v>3.9686680000000002E-2</v>
      </c>
      <c r="I92" s="6">
        <f t="shared" ref="I92:W92" si="12">H27</f>
        <v>-2.585459E-2</v>
      </c>
      <c r="J92" s="6">
        <f t="shared" si="12"/>
        <v>-3.504753E-2</v>
      </c>
      <c r="K92" s="6">
        <f t="shared" si="12"/>
        <v>5.4728980000000003E-2</v>
      </c>
      <c r="L92" s="6">
        <f t="shared" si="12"/>
        <v>-3.5542009999999999E-2</v>
      </c>
      <c r="M92" s="6">
        <f t="shared" si="12"/>
        <v>-2.458572E-3</v>
      </c>
      <c r="N92" s="6">
        <f t="shared" si="12"/>
        <v>-3.597736E-2</v>
      </c>
      <c r="O92" s="6">
        <f t="shared" si="12"/>
        <v>-3.1933309999999999E-2</v>
      </c>
      <c r="P92" s="6">
        <f t="shared" si="12"/>
        <v>-2.9859070000000001E-2</v>
      </c>
      <c r="Q92" s="6">
        <f t="shared" si="12"/>
        <v>1.6473290000000002E-2</v>
      </c>
      <c r="R92" s="6">
        <f t="shared" si="12"/>
        <v>-2.522659E-2</v>
      </c>
      <c r="S92" s="6">
        <f t="shared" si="12"/>
        <v>-2.239609E-2</v>
      </c>
      <c r="T92" s="6">
        <f t="shared" si="12"/>
        <v>7.5230599999999998E-3</v>
      </c>
      <c r="U92" s="6">
        <f t="shared" si="12"/>
        <v>-1.8401150000000002E-2</v>
      </c>
      <c r="V92" s="6">
        <f t="shared" si="12"/>
        <v>-1.225567E-2</v>
      </c>
      <c r="W92" s="6">
        <f t="shared" si="12"/>
        <v>-7.6198580000000002E-3</v>
      </c>
      <c r="X92" s="6">
        <f>G28</f>
        <v>-6.253242E-3</v>
      </c>
      <c r="Y92" s="6">
        <f t="shared" ref="Y92:AM92" si="13">H28</f>
        <v>-2.5596619999999999E-3</v>
      </c>
      <c r="Z92" s="6">
        <f t="shared" si="13"/>
        <v>-9.1190339999999998E-3</v>
      </c>
      <c r="AA92" s="6">
        <f t="shared" si="13"/>
        <v>-1.2937550000000001E-2</v>
      </c>
      <c r="AB92" s="6">
        <f t="shared" si="13"/>
        <v>-1.4017109999999999E-2</v>
      </c>
      <c r="AC92" s="6">
        <f t="shared" si="13"/>
        <v>-1.670408E-2</v>
      </c>
      <c r="AD92" s="6">
        <f t="shared" si="13"/>
        <v>-2.370071E-2</v>
      </c>
      <c r="AE92" s="6">
        <f t="shared" si="13"/>
        <v>-2.457428E-2</v>
      </c>
      <c r="AF92" s="6">
        <f t="shared" si="13"/>
        <v>-2.7095790000000002E-2</v>
      </c>
      <c r="AG92" s="6">
        <f t="shared" si="13"/>
        <v>-2.6233670000000001E-2</v>
      </c>
      <c r="AH92" s="6">
        <f t="shared" si="13"/>
        <v>-2.7814869999999998E-2</v>
      </c>
      <c r="AI92" s="6">
        <f t="shared" si="13"/>
        <v>-2.7367590000000001E-2</v>
      </c>
      <c r="AJ92" s="6">
        <f t="shared" si="13"/>
        <v>-2.6000019999999999E-2</v>
      </c>
      <c r="AK92" s="6">
        <f t="shared" si="13"/>
        <v>-2.3116589999999999E-2</v>
      </c>
      <c r="AL92" s="6">
        <f t="shared" si="13"/>
        <v>-1.8902780000000001E-2</v>
      </c>
      <c r="AM92" s="6">
        <f t="shared" si="13"/>
        <v>-1.216221E-2</v>
      </c>
    </row>
    <row r="93" spans="7:39" x14ac:dyDescent="0.25">
      <c r="G93" s="5">
        <v>2</v>
      </c>
      <c r="H93" s="6">
        <f>G30</f>
        <v>4.058552E-2</v>
      </c>
      <c r="I93" s="6">
        <f t="shared" ref="I93:W93" si="14">H30</f>
        <v>-1.291752E-2</v>
      </c>
      <c r="J93" s="6">
        <f t="shared" si="14"/>
        <v>-2.4726870000000001E-2</v>
      </c>
      <c r="K93" s="6">
        <f t="shared" si="14"/>
        <v>5.3893570000000002E-2</v>
      </c>
      <c r="L93" s="6">
        <f t="shared" si="14"/>
        <v>-2.9207710000000001E-2</v>
      </c>
      <c r="M93" s="6">
        <f t="shared" si="14"/>
        <v>-2.458572E-3</v>
      </c>
      <c r="N93" s="6">
        <f t="shared" si="14"/>
        <v>-3.2415869999999999E-2</v>
      </c>
      <c r="O93" s="6">
        <f t="shared" si="14"/>
        <v>-2.8453829999999999E-2</v>
      </c>
      <c r="P93" s="6">
        <f t="shared" si="14"/>
        <v>-2.6479720000000002E-2</v>
      </c>
      <c r="Q93" s="6">
        <f t="shared" si="14"/>
        <v>1.6127590000000001E-2</v>
      </c>
      <c r="R93" s="6">
        <f t="shared" si="14"/>
        <v>-2.3089410000000001E-2</v>
      </c>
      <c r="S93" s="6">
        <f t="shared" si="14"/>
        <v>-2.0267489999999999E-2</v>
      </c>
      <c r="T93" s="6">
        <f t="shared" si="14"/>
        <v>7.7080730000000002E-3</v>
      </c>
      <c r="U93" s="6">
        <f t="shared" si="14"/>
        <v>-1.6330239999999999E-2</v>
      </c>
      <c r="V93" s="6">
        <f t="shared" si="14"/>
        <v>-1.405668E-2</v>
      </c>
      <c r="W93" s="6">
        <f t="shared" si="14"/>
        <v>-7.079124E-3</v>
      </c>
      <c r="X93" s="6">
        <f>G31</f>
        <v>-6.0715680000000003E-3</v>
      </c>
      <c r="Y93" s="6">
        <f t="shared" ref="Y93:AM93" si="15">H31</f>
        <v>-1.9736290000000002E-3</v>
      </c>
      <c r="Z93" s="6">
        <f t="shared" si="15"/>
        <v>-8.21209E-3</v>
      </c>
      <c r="AA93" s="6">
        <f t="shared" si="15"/>
        <v>-1.259089E-2</v>
      </c>
      <c r="AB93" s="6">
        <f t="shared" si="15"/>
        <v>-1.437807E-2</v>
      </c>
      <c r="AC93" s="6">
        <f t="shared" si="15"/>
        <v>-1.7416000000000001E-2</v>
      </c>
      <c r="AD93" s="6">
        <f t="shared" si="15"/>
        <v>-2.559376E-2</v>
      </c>
      <c r="AE93" s="6">
        <f t="shared" si="15"/>
        <v>-2.6753900000000001E-2</v>
      </c>
      <c r="AF93" s="6">
        <f t="shared" si="15"/>
        <v>-2.9176710000000002E-2</v>
      </c>
      <c r="AG93" s="6">
        <f t="shared" si="15"/>
        <v>-2.8987410000000002E-2</v>
      </c>
      <c r="AH93" s="6">
        <f t="shared" si="15"/>
        <v>-3.1598090000000002E-2</v>
      </c>
      <c r="AI93" s="6">
        <f t="shared" si="15"/>
        <v>-3.2237050000000003E-2</v>
      </c>
      <c r="AJ93" s="6">
        <f t="shared" si="15"/>
        <v>-3.1621459999999997E-2</v>
      </c>
      <c r="AK93" s="6">
        <f t="shared" si="15"/>
        <v>-3.018713E-2</v>
      </c>
      <c r="AL93" s="6">
        <f t="shared" si="15"/>
        <v>-2.7651309999999998E-2</v>
      </c>
      <c r="AM93" s="6">
        <f t="shared" si="15"/>
        <v>-2.3376460000000002E-2</v>
      </c>
    </row>
    <row r="94" spans="7:39" x14ac:dyDescent="0.25">
      <c r="G94" s="5">
        <v>3</v>
      </c>
      <c r="H94" s="6">
        <f>G33</f>
        <v>3.8823129999999997E-2</v>
      </c>
      <c r="I94" s="6">
        <f t="shared" ref="I94:W94" si="16">H33</f>
        <v>-1.2907979999999999E-3</v>
      </c>
      <c r="J94" s="6">
        <f t="shared" si="16"/>
        <v>-1.4199730000000001E-2</v>
      </c>
      <c r="K94" s="6">
        <f t="shared" si="16"/>
        <v>5.2719120000000001E-2</v>
      </c>
      <c r="L94" s="6">
        <f t="shared" si="16"/>
        <v>-2.2364140000000001E-2</v>
      </c>
      <c r="M94" s="6">
        <f t="shared" si="16"/>
        <v>-2.4576189999999999E-3</v>
      </c>
      <c r="N94" s="6">
        <f t="shared" si="16"/>
        <v>-2.7850630000000001E-2</v>
      </c>
      <c r="O94" s="6">
        <f t="shared" si="16"/>
        <v>-2.496862E-2</v>
      </c>
      <c r="P94" s="6">
        <f t="shared" si="16"/>
        <v>-2.3970600000000002E-2</v>
      </c>
      <c r="Q94" s="6">
        <f t="shared" si="16"/>
        <v>1.5781400000000001E-2</v>
      </c>
      <c r="R94" s="6">
        <f t="shared" si="16"/>
        <v>-2.129936E-2</v>
      </c>
      <c r="S94" s="6">
        <f t="shared" si="16"/>
        <v>-1.8542289999999999E-2</v>
      </c>
      <c r="T94" s="6">
        <f t="shared" si="16"/>
        <v>7.8806880000000003E-3</v>
      </c>
      <c r="U94" s="6">
        <f t="shared" si="16"/>
        <v>-1.5115740000000001E-2</v>
      </c>
      <c r="V94" s="6">
        <f t="shared" si="16"/>
        <v>-1.3328080000000001E-2</v>
      </c>
      <c r="W94" s="6">
        <f t="shared" si="16"/>
        <v>-7.5092320000000002E-3</v>
      </c>
      <c r="X94" s="6">
        <f>G34</f>
        <v>-5.1670070000000004E-3</v>
      </c>
      <c r="Y94" s="6">
        <f t="shared" ref="Y94:AM94" si="17">H34</f>
        <v>-1.920223E-3</v>
      </c>
      <c r="Z94" s="6">
        <f t="shared" si="17"/>
        <v>-8.5802080000000006E-3</v>
      </c>
      <c r="AA94" s="6">
        <f t="shared" si="17"/>
        <v>-1.224518E-2</v>
      </c>
      <c r="AB94" s="6">
        <f t="shared" si="17"/>
        <v>-1.420021E-2</v>
      </c>
      <c r="AC94" s="6">
        <f t="shared" si="17"/>
        <v>-1.848984E-2</v>
      </c>
      <c r="AD94" s="6">
        <f t="shared" si="17"/>
        <v>-2.732658E-2</v>
      </c>
      <c r="AE94" s="6">
        <f t="shared" si="17"/>
        <v>-2.9305459999999998E-2</v>
      </c>
      <c r="AF94" s="6">
        <f t="shared" si="17"/>
        <v>-3.214931E-2</v>
      </c>
      <c r="AG94" s="6">
        <f t="shared" si="17"/>
        <v>-3.3026699999999999E-2</v>
      </c>
      <c r="AH94" s="6">
        <f t="shared" si="17"/>
        <v>-3.6462309999999998E-2</v>
      </c>
      <c r="AI94" s="6">
        <f t="shared" si="17"/>
        <v>-3.800154E-2</v>
      </c>
      <c r="AJ94" s="6">
        <f t="shared" si="17"/>
        <v>-3.7524219999999997E-2</v>
      </c>
      <c r="AK94" s="6">
        <f t="shared" si="17"/>
        <v>-3.7984850000000001E-2</v>
      </c>
      <c r="AL94" s="6">
        <f t="shared" si="17"/>
        <v>-3.8407330000000003E-2</v>
      </c>
      <c r="AM94" s="6">
        <f t="shared" si="17"/>
        <v>-3.763056E-2</v>
      </c>
    </row>
    <row r="95" spans="7:39" x14ac:dyDescent="0.25">
      <c r="G95" s="5">
        <v>4</v>
      </c>
      <c r="H95" s="6">
        <f>G36</f>
        <v>3.4588809999999998E-2</v>
      </c>
      <c r="I95" s="6">
        <f t="shared" ref="I95:W95" si="18">H36</f>
        <v>1.0084630000000001E-2</v>
      </c>
      <c r="J95" s="6">
        <f t="shared" si="18"/>
        <v>-4.574776E-3</v>
      </c>
      <c r="K95" s="6">
        <f t="shared" si="18"/>
        <v>5.1010130000000001E-2</v>
      </c>
      <c r="L95" s="6">
        <f t="shared" si="18"/>
        <v>-1.60327E-2</v>
      </c>
      <c r="M95" s="6">
        <f t="shared" si="18"/>
        <v>-1.7681120000000001E-3</v>
      </c>
      <c r="N95" s="6">
        <f t="shared" si="18"/>
        <v>-2.2930619999999999E-2</v>
      </c>
      <c r="O95" s="6">
        <f t="shared" si="18"/>
        <v>-2.113485E-2</v>
      </c>
      <c r="P95" s="6">
        <f t="shared" si="18"/>
        <v>-2.0159719999999999E-2</v>
      </c>
      <c r="Q95" s="6">
        <f t="shared" si="18"/>
        <v>1.491642E-2</v>
      </c>
      <c r="R95" s="6">
        <f t="shared" si="18"/>
        <v>-1.8872739999999999E-2</v>
      </c>
      <c r="S95" s="6">
        <f t="shared" si="18"/>
        <v>-1.681566E-2</v>
      </c>
      <c r="T95" s="6">
        <f t="shared" si="18"/>
        <v>6.995678E-3</v>
      </c>
      <c r="U95" s="6">
        <f t="shared" si="18"/>
        <v>-1.373339E-2</v>
      </c>
      <c r="V95" s="6">
        <f t="shared" si="18"/>
        <v>-1.150608E-2</v>
      </c>
      <c r="W95" s="6">
        <f t="shared" si="18"/>
        <v>-8.7742810000000001E-3</v>
      </c>
      <c r="X95" s="6">
        <f>G37</f>
        <v>-5.3486819999999996E-3</v>
      </c>
      <c r="Y95" s="6">
        <f t="shared" ref="Y95:AM95" si="19">H37</f>
        <v>-2.4571419999999998E-3</v>
      </c>
      <c r="Z95" s="6">
        <f t="shared" si="19"/>
        <v>-8.7609290000000006E-3</v>
      </c>
      <c r="AA95" s="6">
        <f t="shared" si="19"/>
        <v>-1.259089E-2</v>
      </c>
      <c r="AB95" s="6">
        <f t="shared" si="19"/>
        <v>-1.438093E-2</v>
      </c>
      <c r="AC95" s="6">
        <f t="shared" si="19"/>
        <v>-1.902628E-2</v>
      </c>
      <c r="AD95" s="6">
        <f t="shared" si="19"/>
        <v>-2.905893E-2</v>
      </c>
      <c r="AE95" s="6">
        <f t="shared" si="19"/>
        <v>-3.2029149999999999E-2</v>
      </c>
      <c r="AF95" s="6">
        <f t="shared" si="19"/>
        <v>-3.5551069999999997E-2</v>
      </c>
      <c r="AG95" s="6">
        <f t="shared" si="19"/>
        <v>-3.6697390000000003E-2</v>
      </c>
      <c r="AH95" s="6">
        <f t="shared" si="19"/>
        <v>-4.0425780000000001E-2</v>
      </c>
      <c r="AI95" s="6">
        <f t="shared" si="19"/>
        <v>-4.3585779999999998E-2</v>
      </c>
      <c r="AJ95" s="6">
        <f t="shared" si="19"/>
        <v>-4.4861320000000003E-2</v>
      </c>
      <c r="AK95" s="6">
        <f t="shared" si="19"/>
        <v>-4.6686169999999999E-2</v>
      </c>
      <c r="AL95" s="6">
        <f t="shared" si="19"/>
        <v>-5.007172E-2</v>
      </c>
      <c r="AM95" s="6">
        <f t="shared" si="19"/>
        <v>-5.277681E-2</v>
      </c>
    </row>
    <row r="96" spans="7:39" x14ac:dyDescent="0.25">
      <c r="G96" s="5">
        <v>5</v>
      </c>
      <c r="H96" s="6">
        <f>G39</f>
        <v>2.540398E-2</v>
      </c>
      <c r="I96" s="6">
        <f t="shared" ref="I96:W96" si="20">H39</f>
        <v>1.9701960000000001E-2</v>
      </c>
      <c r="J96" s="6">
        <f t="shared" si="20"/>
        <v>5.3620339999999999E-3</v>
      </c>
      <c r="K96" s="6">
        <f t="shared" si="20"/>
        <v>4.7210219999999997E-2</v>
      </c>
      <c r="L96" s="6">
        <f t="shared" si="20"/>
        <v>-9.1934200000000008E-3</v>
      </c>
      <c r="M96" s="6">
        <f t="shared" si="20"/>
        <v>-1.2512210000000001E-3</v>
      </c>
      <c r="N96" s="6">
        <f t="shared" si="20"/>
        <v>-1.836395E-2</v>
      </c>
      <c r="O96" s="6">
        <f t="shared" si="20"/>
        <v>-1.6772749999999999E-2</v>
      </c>
      <c r="P96" s="6">
        <f t="shared" si="20"/>
        <v>-1.6787529999999998E-2</v>
      </c>
      <c r="Q96" s="6">
        <f t="shared" si="20"/>
        <v>1.4050959999999999E-2</v>
      </c>
      <c r="R96" s="6">
        <f t="shared" si="20"/>
        <v>-1.702642E-2</v>
      </c>
      <c r="S96" s="6">
        <f t="shared" si="20"/>
        <v>-1.509047E-2</v>
      </c>
      <c r="T96" s="6">
        <f t="shared" si="20"/>
        <v>4.3392179999999997E-3</v>
      </c>
      <c r="U96" s="6">
        <f t="shared" si="20"/>
        <v>-1.235151E-2</v>
      </c>
      <c r="V96" s="6">
        <f t="shared" si="20"/>
        <v>-1.004934E-2</v>
      </c>
      <c r="W96" s="6">
        <f t="shared" si="20"/>
        <v>-9.1767310000000005E-3</v>
      </c>
      <c r="X96" s="6">
        <f>G40</f>
        <v>-7.5259209999999997E-3</v>
      </c>
      <c r="Y96" s="6">
        <f t="shared" ref="Y96:AM96" si="21">H40</f>
        <v>-3.5338399999999999E-3</v>
      </c>
      <c r="Z96" s="6">
        <f t="shared" si="21"/>
        <v>-8.763313E-3</v>
      </c>
      <c r="AA96" s="6">
        <f t="shared" si="21"/>
        <v>-1.310301E-2</v>
      </c>
      <c r="AB96" s="6">
        <f t="shared" si="21"/>
        <v>-1.5463350000000001E-2</v>
      </c>
      <c r="AC96" s="6">
        <f t="shared" si="21"/>
        <v>-2.027988E-2</v>
      </c>
      <c r="AD96" s="6">
        <f t="shared" si="21"/>
        <v>-3.1978609999999998E-2</v>
      </c>
      <c r="AE96" s="6">
        <f t="shared" si="21"/>
        <v>-3.5116670000000003E-2</v>
      </c>
      <c r="AF96" s="6">
        <f t="shared" si="21"/>
        <v>-3.8639550000000002E-2</v>
      </c>
      <c r="AG96" s="6">
        <f t="shared" si="21"/>
        <v>-4.0918349999999999E-2</v>
      </c>
      <c r="AH96" s="6">
        <f t="shared" si="21"/>
        <v>-4.5299529999999998E-2</v>
      </c>
      <c r="AI96" s="6">
        <f t="shared" si="21"/>
        <v>-4.9895759999999997E-2</v>
      </c>
      <c r="AJ96" s="6">
        <f t="shared" si="21"/>
        <v>-5.2337649999999999E-2</v>
      </c>
      <c r="AK96" s="6">
        <f t="shared" si="21"/>
        <v>-5.6478979999999998E-2</v>
      </c>
      <c r="AL96" s="6">
        <f t="shared" si="21"/>
        <v>-6.2825679999999995E-2</v>
      </c>
      <c r="AM96" s="6">
        <f t="shared" si="21"/>
        <v>-7.0059780000000002E-2</v>
      </c>
    </row>
    <row r="97" spans="7:39" x14ac:dyDescent="0.25">
      <c r="G97" s="5">
        <v>6</v>
      </c>
      <c r="H97" s="6">
        <f>G42</f>
        <v>1.1291030000000001E-2</v>
      </c>
      <c r="I97" s="6">
        <f t="shared" ref="I97:W97" si="22">H42</f>
        <v>2.77524E-2</v>
      </c>
      <c r="J97" s="6">
        <f t="shared" si="22"/>
        <v>1.3761519999999999E-2</v>
      </c>
      <c r="K97" s="6">
        <f t="shared" si="22"/>
        <v>4.3108460000000001E-2</v>
      </c>
      <c r="L97" s="6">
        <f t="shared" si="22"/>
        <v>-2.8619769999999999E-3</v>
      </c>
      <c r="M97" s="6">
        <f t="shared" si="22"/>
        <v>-7.3385240000000003E-4</v>
      </c>
      <c r="N97" s="6">
        <f t="shared" si="22"/>
        <v>-1.291609E-2</v>
      </c>
      <c r="O97" s="6">
        <f t="shared" si="22"/>
        <v>-1.241684E-2</v>
      </c>
      <c r="P97" s="6">
        <f t="shared" si="22"/>
        <v>-1.332378E-2</v>
      </c>
      <c r="Q97" s="6">
        <f t="shared" si="22"/>
        <v>1.370478E-2</v>
      </c>
      <c r="R97" s="6">
        <f t="shared" si="22"/>
        <v>-1.3906959999999999E-2</v>
      </c>
      <c r="S97" s="6">
        <f t="shared" si="22"/>
        <v>-1.2845519999999999E-2</v>
      </c>
      <c r="T97" s="6">
        <f t="shared" si="22"/>
        <v>1.327515E-3</v>
      </c>
      <c r="U97" s="6">
        <f t="shared" si="22"/>
        <v>-1.079607E-2</v>
      </c>
      <c r="V97" s="6">
        <f t="shared" si="22"/>
        <v>-8.0451970000000005E-3</v>
      </c>
      <c r="W97" s="6">
        <f t="shared" si="22"/>
        <v>-7.5502399999999997E-3</v>
      </c>
      <c r="X97" s="6">
        <f>G43</f>
        <v>-6.2556269999999997E-3</v>
      </c>
      <c r="Y97" s="6">
        <f t="shared" ref="Y97:AM97" si="23">H43</f>
        <v>-5.3243639999999998E-3</v>
      </c>
      <c r="Z97" s="6">
        <f t="shared" si="23"/>
        <v>-1.002932E-2</v>
      </c>
      <c r="AA97" s="6">
        <f t="shared" si="23"/>
        <v>-1.396704E-2</v>
      </c>
      <c r="AB97" s="6">
        <f t="shared" si="23"/>
        <v>-1.636553E-2</v>
      </c>
      <c r="AC97" s="6">
        <f t="shared" si="23"/>
        <v>-2.135134E-2</v>
      </c>
      <c r="AD97" s="6">
        <f t="shared" si="23"/>
        <v>-3.4404280000000002E-2</v>
      </c>
      <c r="AE97" s="6">
        <f t="shared" si="23"/>
        <v>-3.8204189999999999E-2</v>
      </c>
      <c r="AF97" s="6">
        <f t="shared" si="23"/>
        <v>-4.2399880000000001E-2</v>
      </c>
      <c r="AG97" s="6">
        <f t="shared" si="23"/>
        <v>-4.4773100000000003E-2</v>
      </c>
      <c r="AH97" s="6">
        <f t="shared" si="23"/>
        <v>-4.9983979999999997E-2</v>
      </c>
      <c r="AI97" s="6">
        <f t="shared" si="23"/>
        <v>-5.6200029999999998E-2</v>
      </c>
      <c r="AJ97" s="6">
        <f t="shared" si="23"/>
        <v>-5.9674739999999997E-2</v>
      </c>
      <c r="AK97" s="6">
        <f t="shared" si="23"/>
        <v>-6.5543169999999998E-2</v>
      </c>
      <c r="AL97" s="6">
        <f t="shared" si="23"/>
        <v>-7.6129440000000007E-2</v>
      </c>
      <c r="AM97" s="6">
        <f t="shared" si="23"/>
        <v>-8.8412279999999996E-2</v>
      </c>
    </row>
    <row r="98" spans="7:39" x14ac:dyDescent="0.25">
      <c r="G98" s="5">
        <v>7</v>
      </c>
      <c r="H98" s="6">
        <f>G45</f>
        <v>-4.7540660000000004E-3</v>
      </c>
      <c r="I98" s="6">
        <f t="shared" ref="I98:W98" si="24">H45</f>
        <v>3.308821E-2</v>
      </c>
      <c r="J98" s="6">
        <f t="shared" si="24"/>
        <v>2.0265579999999998E-2</v>
      </c>
      <c r="K98" s="6">
        <f t="shared" si="24"/>
        <v>4.0225980000000001E-2</v>
      </c>
      <c r="L98" s="6">
        <f t="shared" si="24"/>
        <v>2.4471279999999998E-3</v>
      </c>
      <c r="M98" s="6">
        <f t="shared" si="24"/>
        <v>-5.6028369999999998E-4</v>
      </c>
      <c r="N98" s="6">
        <f t="shared" si="24"/>
        <v>-8.7022780000000008E-3</v>
      </c>
      <c r="O98" s="6">
        <f t="shared" si="24"/>
        <v>-8.4137919999999998E-3</v>
      </c>
      <c r="P98" s="6">
        <f t="shared" si="24"/>
        <v>-9.9487299999999994E-3</v>
      </c>
      <c r="Q98" s="6">
        <f t="shared" si="24"/>
        <v>1.3377190000000001E-2</v>
      </c>
      <c r="R98" s="6">
        <f t="shared" si="24"/>
        <v>-1.1597629999999999E-2</v>
      </c>
      <c r="S98" s="6">
        <f t="shared" si="24"/>
        <v>-1.106215E-2</v>
      </c>
      <c r="T98" s="6">
        <f t="shared" si="24"/>
        <v>-2.6273730000000002E-4</v>
      </c>
      <c r="U98" s="6">
        <f t="shared" si="24"/>
        <v>-9.7594259999999999E-3</v>
      </c>
      <c r="V98" s="6">
        <f t="shared" si="24"/>
        <v>-6.7496300000000004E-3</v>
      </c>
      <c r="W98" s="6">
        <f t="shared" si="24"/>
        <v>-5.4531099999999997E-3</v>
      </c>
      <c r="X98" s="6">
        <f>G46</f>
        <v>-4.6257970000000001E-3</v>
      </c>
      <c r="Y98" s="6">
        <f t="shared" ref="Y98:AM98" si="25">H46</f>
        <v>-5.0902370000000001E-3</v>
      </c>
      <c r="Z98" s="6">
        <f t="shared" si="25"/>
        <v>-9.6678730000000004E-3</v>
      </c>
      <c r="AA98" s="6">
        <f t="shared" si="25"/>
        <v>-1.413679E-2</v>
      </c>
      <c r="AB98" s="6">
        <f t="shared" si="25"/>
        <v>-1.6546249999999998E-2</v>
      </c>
      <c r="AC98" s="6">
        <f t="shared" si="25"/>
        <v>-2.2779939999999999E-2</v>
      </c>
      <c r="AD98" s="6">
        <f t="shared" si="25"/>
        <v>-3.5097120000000002E-2</v>
      </c>
      <c r="AE98" s="6">
        <f t="shared" si="25"/>
        <v>-4.0030000000000003E-2</v>
      </c>
      <c r="AF98" s="6">
        <f t="shared" si="25"/>
        <v>-4.633379E-2</v>
      </c>
      <c r="AG98" s="6">
        <f t="shared" si="25"/>
        <v>-4.8996449999999997E-2</v>
      </c>
      <c r="AH98" s="6">
        <f t="shared" si="25"/>
        <v>-5.4678440000000002E-2</v>
      </c>
      <c r="AI98" s="6">
        <f t="shared" si="25"/>
        <v>-6.2324520000000001E-2</v>
      </c>
      <c r="AJ98" s="6">
        <f t="shared" si="25"/>
        <v>-6.6451549999999998E-2</v>
      </c>
      <c r="AK98" s="6">
        <f t="shared" si="25"/>
        <v>-7.4244980000000002E-2</v>
      </c>
      <c r="AL98" s="6">
        <f t="shared" si="25"/>
        <v>-8.85272E-2</v>
      </c>
      <c r="AM98" s="6">
        <f t="shared" si="25"/>
        <v>-0.105515</v>
      </c>
    </row>
    <row r="99" spans="7:39" x14ac:dyDescent="0.25">
      <c r="G99" s="5">
        <v>8</v>
      </c>
      <c r="H99" s="6">
        <f>G48</f>
        <v>-2.2036549999999999E-2</v>
      </c>
      <c r="I99" s="6">
        <f t="shared" ref="I99:W99" si="26">H48</f>
        <v>3.5807609999999997E-2</v>
      </c>
      <c r="J99" s="6">
        <f t="shared" si="26"/>
        <v>2.4989129999999998E-2</v>
      </c>
      <c r="K99" s="6">
        <f t="shared" si="26"/>
        <v>3.682709E-2</v>
      </c>
      <c r="L99" s="6">
        <f t="shared" si="26"/>
        <v>6.7243579999999997E-3</v>
      </c>
      <c r="M99" s="6">
        <f t="shared" si="26"/>
        <v>-5.4740910000000004E-4</v>
      </c>
      <c r="N99" s="6">
        <f t="shared" si="26"/>
        <v>-4.964352E-3</v>
      </c>
      <c r="O99" s="6">
        <f t="shared" si="26"/>
        <v>-5.9785840000000003E-3</v>
      </c>
      <c r="P99" s="6">
        <f t="shared" si="26"/>
        <v>-7.1797370000000003E-3</v>
      </c>
      <c r="Q99" s="6">
        <f t="shared" si="26"/>
        <v>1.322269E-2</v>
      </c>
      <c r="R99" s="6">
        <f t="shared" si="26"/>
        <v>-9.8657610000000007E-3</v>
      </c>
      <c r="S99" s="6">
        <f t="shared" si="26"/>
        <v>-9.6821779999999996E-3</v>
      </c>
      <c r="T99" s="6">
        <f t="shared" si="26"/>
        <v>-2.9196740000000001E-3</v>
      </c>
      <c r="U99" s="6">
        <f t="shared" si="26"/>
        <v>-9.0656279999999992E-3</v>
      </c>
      <c r="V99" s="6">
        <f t="shared" si="26"/>
        <v>-6.750107E-3</v>
      </c>
      <c r="W99" s="6">
        <f t="shared" si="26"/>
        <v>-5.3424839999999998E-3</v>
      </c>
      <c r="X99" s="6">
        <f>G49</f>
        <v>-5.172729E-3</v>
      </c>
      <c r="Y99" s="6">
        <f t="shared" ref="Y99:AM99" si="27">H49</f>
        <v>-4.9152370000000003E-3</v>
      </c>
      <c r="Z99" s="6">
        <f t="shared" si="27"/>
        <v>-8.4013939999999995E-3</v>
      </c>
      <c r="AA99" s="6">
        <f t="shared" si="27"/>
        <v>-1.292658E-2</v>
      </c>
      <c r="AB99" s="6">
        <f t="shared" si="27"/>
        <v>-1.6189100000000001E-2</v>
      </c>
      <c r="AC99" s="6">
        <f t="shared" si="27"/>
        <v>-2.2068020000000001E-2</v>
      </c>
      <c r="AD99" s="6">
        <f t="shared" si="27"/>
        <v>-3.6990170000000003E-2</v>
      </c>
      <c r="AE99" s="6">
        <f t="shared" si="27"/>
        <v>-4.2209629999999998E-2</v>
      </c>
      <c r="AF99" s="6">
        <f t="shared" si="27"/>
        <v>-4.7408579999999999E-2</v>
      </c>
      <c r="AG99" s="6">
        <f t="shared" si="27"/>
        <v>-4.9916740000000001E-2</v>
      </c>
      <c r="AH99" s="6">
        <f t="shared" si="27"/>
        <v>-6.0092930000000003E-2</v>
      </c>
      <c r="AI99" s="6">
        <f t="shared" si="27"/>
        <v>-6.8996909999999995E-2</v>
      </c>
      <c r="AJ99" s="6">
        <f t="shared" si="27"/>
        <v>-7.3819159999999995E-2</v>
      </c>
      <c r="AK99" s="6">
        <f t="shared" si="27"/>
        <v>-8.4044930000000004E-2</v>
      </c>
      <c r="AL99" s="6">
        <f t="shared" si="27"/>
        <v>-0.1005607</v>
      </c>
      <c r="AM99" s="6">
        <f t="shared" si="27"/>
        <v>-0.11904720000000001</v>
      </c>
    </row>
    <row r="100" spans="7:39" x14ac:dyDescent="0.25">
      <c r="G100" s="5">
        <v>9</v>
      </c>
      <c r="H100" s="6">
        <f>G51</f>
        <v>-3.9494509999999997E-2</v>
      </c>
      <c r="I100" s="6">
        <f t="shared" ref="I100:W100" si="28">H51</f>
        <v>3.6856170000000001E-2</v>
      </c>
      <c r="J100" s="6">
        <f t="shared" si="28"/>
        <v>2.8384690000000001E-2</v>
      </c>
      <c r="K100" s="6">
        <f t="shared" si="28"/>
        <v>3.4623620000000001E-2</v>
      </c>
      <c r="L100" s="6">
        <f t="shared" si="28"/>
        <v>1.0665890000000001E-2</v>
      </c>
      <c r="M100" s="6">
        <f t="shared" si="28"/>
        <v>-3.6239619999999998E-4</v>
      </c>
      <c r="N100" s="6">
        <f t="shared" si="28"/>
        <v>-2.10619E-3</v>
      </c>
      <c r="O100" s="6">
        <f t="shared" si="28"/>
        <v>-3.3698080000000002E-3</v>
      </c>
      <c r="P100" s="6">
        <f t="shared" si="28"/>
        <v>-5.4435730000000002E-3</v>
      </c>
      <c r="Q100" s="6">
        <f t="shared" si="28"/>
        <v>1.2357709999999999E-2</v>
      </c>
      <c r="R100" s="6">
        <f t="shared" si="28"/>
        <v>-8.5349080000000008E-3</v>
      </c>
      <c r="S100" s="6">
        <f t="shared" si="28"/>
        <v>-9.0484620000000002E-3</v>
      </c>
      <c r="T100" s="6">
        <f t="shared" si="28"/>
        <v>-5.2165989999999997E-3</v>
      </c>
      <c r="U100" s="6">
        <f t="shared" si="28"/>
        <v>-8.8896749999999997E-3</v>
      </c>
      <c r="V100" s="6">
        <f t="shared" si="28"/>
        <v>-7.4582099999999998E-3</v>
      </c>
      <c r="W100" s="6">
        <f t="shared" si="28"/>
        <v>-5.7721140000000001E-3</v>
      </c>
      <c r="X100" s="6">
        <f>G52</f>
        <v>-5.1693920000000001E-3</v>
      </c>
      <c r="Y100" s="6">
        <f t="shared" ref="Y100:AM100" si="29">H52</f>
        <v>-5.3968430000000001E-3</v>
      </c>
      <c r="Z100" s="6">
        <f t="shared" si="29"/>
        <v>-7.8616139999999994E-3</v>
      </c>
      <c r="AA100" s="6">
        <f t="shared" si="29"/>
        <v>-1.223516E-2</v>
      </c>
      <c r="AB100" s="6">
        <f t="shared" si="29"/>
        <v>-1.5647890000000001E-2</v>
      </c>
      <c r="AC100" s="6">
        <f t="shared" si="29"/>
        <v>-2.1713730000000001E-2</v>
      </c>
      <c r="AD100" s="6">
        <f t="shared" si="29"/>
        <v>-3.7671570000000001E-2</v>
      </c>
      <c r="AE100" s="6">
        <f t="shared" si="29"/>
        <v>-4.3126579999999998E-2</v>
      </c>
      <c r="AF100" s="6">
        <f t="shared" si="29"/>
        <v>-4.9198150000000003E-2</v>
      </c>
      <c r="AG100" s="6">
        <f t="shared" si="29"/>
        <v>-5.3586960000000003E-2</v>
      </c>
      <c r="AH100" s="6">
        <f t="shared" si="29"/>
        <v>-6.1354640000000002E-2</v>
      </c>
      <c r="AI100" s="6">
        <f t="shared" si="29"/>
        <v>-6.2151909999999998E-2</v>
      </c>
      <c r="AJ100" s="6">
        <f t="shared" si="29"/>
        <v>-8.7407109999999996E-2</v>
      </c>
      <c r="AK100" s="6">
        <f t="shared" si="29"/>
        <v>-9.5274449999999997E-2</v>
      </c>
      <c r="AL100" s="6">
        <f t="shared" si="29"/>
        <v>-0.1102204</v>
      </c>
      <c r="AM100" s="6">
        <f t="shared" si="29"/>
        <v>-0.1309834</v>
      </c>
    </row>
    <row r="101" spans="7:39" x14ac:dyDescent="0.25">
      <c r="G101" s="5">
        <v>10</v>
      </c>
      <c r="H101" s="6">
        <f>G54</f>
        <v>-5.907536E-2</v>
      </c>
      <c r="I101" s="6">
        <f t="shared" ref="I101:W101" si="30">H54</f>
        <v>3.7381169999999998E-2</v>
      </c>
      <c r="J101" s="6">
        <f t="shared" si="30"/>
        <v>3.1359669999999999E-2</v>
      </c>
      <c r="K101" s="6">
        <f t="shared" si="30"/>
        <v>3.4623620000000001E-2</v>
      </c>
      <c r="L101" s="6">
        <f t="shared" si="30"/>
        <v>1.408863E-2</v>
      </c>
      <c r="M101" s="6">
        <f t="shared" si="30"/>
        <v>-1.9025800000000001E-4</v>
      </c>
      <c r="N101" s="6">
        <f t="shared" si="30"/>
        <v>7.0524219999999998E-4</v>
      </c>
      <c r="O101" s="6">
        <f t="shared" si="30"/>
        <v>-7.5531009999999996E-4</v>
      </c>
      <c r="P101" s="6">
        <f t="shared" si="30"/>
        <v>-3.3650400000000001E-3</v>
      </c>
      <c r="Q101" s="6">
        <f t="shared" si="30"/>
        <v>1.218462E-2</v>
      </c>
      <c r="R101" s="6">
        <f t="shared" si="30"/>
        <v>-7.1482660000000003E-3</v>
      </c>
      <c r="S101" s="6">
        <f t="shared" si="30"/>
        <v>-7.8396799999999999E-3</v>
      </c>
      <c r="T101" s="6">
        <f t="shared" si="30"/>
        <v>-5.2165989999999997E-3</v>
      </c>
      <c r="U101" s="6">
        <f t="shared" si="30"/>
        <v>-8.3713529999999998E-3</v>
      </c>
      <c r="V101" s="6">
        <f t="shared" si="30"/>
        <v>-7.2760580000000002E-3</v>
      </c>
      <c r="W101" s="6">
        <f t="shared" si="30"/>
        <v>-6.3147539999999997E-3</v>
      </c>
      <c r="X101" s="6">
        <f>G55</f>
        <v>-6.0768130000000004E-3</v>
      </c>
      <c r="Y101" s="6">
        <f t="shared" ref="Y101:AM101" si="31">H55</f>
        <v>-6.1135290000000004E-3</v>
      </c>
      <c r="Z101" s="6">
        <f t="shared" si="31"/>
        <v>-7.8616139999999994E-3</v>
      </c>
      <c r="AA101" s="6">
        <f t="shared" si="31"/>
        <v>-1.1716839999999999E-2</v>
      </c>
      <c r="AB101" s="6">
        <f t="shared" si="31"/>
        <v>-1.582861E-2</v>
      </c>
      <c r="AC101" s="6">
        <f t="shared" si="31"/>
        <v>-2.15354E-2</v>
      </c>
      <c r="AD101" s="6">
        <f t="shared" si="31"/>
        <v>-3.8884160000000001E-2</v>
      </c>
      <c r="AE101" s="6">
        <f t="shared" si="31"/>
        <v>-4.5306680000000002E-2</v>
      </c>
      <c r="AF101" s="6">
        <f t="shared" si="31"/>
        <v>-5.1705359999999999E-2</v>
      </c>
      <c r="AG101" s="6">
        <f t="shared" si="31"/>
        <v>-5.5606370000000002E-2</v>
      </c>
      <c r="AH101" s="6">
        <f t="shared" si="31"/>
        <v>-6.4597130000000003E-2</v>
      </c>
      <c r="AI101" s="6">
        <f t="shared" si="31"/>
        <v>-7.1157929999999994E-2</v>
      </c>
      <c r="AJ101" s="6">
        <f t="shared" si="31"/>
        <v>-8.3214759999999999E-2</v>
      </c>
      <c r="AK101" s="6">
        <f t="shared" si="31"/>
        <v>-0.1130385</v>
      </c>
      <c r="AL101" s="6">
        <f t="shared" si="31"/>
        <v>-0.1238885</v>
      </c>
      <c r="AM101" s="6">
        <f t="shared" si="31"/>
        <v>-0.14541480000000001</v>
      </c>
    </row>
    <row r="102" spans="7:39" x14ac:dyDescent="0.25">
      <c r="G102" s="5">
        <v>11</v>
      </c>
      <c r="H102" s="6">
        <f>G57</f>
        <v>-7.9007149999999998E-2</v>
      </c>
      <c r="I102" s="6">
        <f t="shared" ref="I102:W102" si="32">H57</f>
        <v>3.7130829999999997E-2</v>
      </c>
      <c r="J102" s="6">
        <f t="shared" si="32"/>
        <v>3.3669949999999997E-2</v>
      </c>
      <c r="K102" s="6">
        <f t="shared" si="32"/>
        <v>3.4622670000000001E-2</v>
      </c>
      <c r="L102" s="6">
        <f t="shared" si="32"/>
        <v>1.6493799999999999E-2</v>
      </c>
      <c r="M102" s="6">
        <f t="shared" si="32"/>
        <v>3.2949450000000001E-4</v>
      </c>
      <c r="N102" s="6">
        <f t="shared" si="32"/>
        <v>3.2634740000000001E-3</v>
      </c>
      <c r="O102" s="6">
        <f t="shared" si="32"/>
        <v>1.6803740000000001E-3</v>
      </c>
      <c r="P102" s="6">
        <f t="shared" si="32"/>
        <v>-1.2049669999999999E-3</v>
      </c>
      <c r="Q102" s="6">
        <f t="shared" si="32"/>
        <v>1.168394E-2</v>
      </c>
      <c r="R102" s="6">
        <f t="shared" si="32"/>
        <v>-5.010128E-3</v>
      </c>
      <c r="S102" s="6">
        <f t="shared" si="32"/>
        <v>-6.286621E-3</v>
      </c>
      <c r="T102" s="6">
        <f t="shared" si="32"/>
        <v>-5.2132610000000003E-3</v>
      </c>
      <c r="U102" s="6">
        <f t="shared" si="32"/>
        <v>-7.8501700000000001E-3</v>
      </c>
      <c r="V102" s="6">
        <f t="shared" si="32"/>
        <v>-7.0738789999999999E-3</v>
      </c>
      <c r="W102" s="6">
        <f t="shared" si="32"/>
        <v>-6.2699319999999998E-3</v>
      </c>
      <c r="X102" s="6">
        <f>G58</f>
        <v>-6.8082810000000002E-3</v>
      </c>
      <c r="Y102" s="6">
        <f t="shared" ref="Y102:AM102" si="33">H58</f>
        <v>-6.8316460000000002E-3</v>
      </c>
      <c r="Z102" s="6">
        <f t="shared" si="33"/>
        <v>-7.8616139999999994E-3</v>
      </c>
      <c r="AA102" s="6">
        <f t="shared" si="33"/>
        <v>-1.1544230000000001E-2</v>
      </c>
      <c r="AB102" s="6">
        <f t="shared" si="33"/>
        <v>-1.492596E-2</v>
      </c>
      <c r="AC102" s="6">
        <f t="shared" si="33"/>
        <v>-2.0466330000000001E-2</v>
      </c>
      <c r="AD102" s="6">
        <f t="shared" si="33"/>
        <v>-3.8722520000000003E-2</v>
      </c>
      <c r="AE102" s="6">
        <f t="shared" si="33"/>
        <v>-4.585123E-2</v>
      </c>
      <c r="AF102" s="6">
        <f t="shared" si="33"/>
        <v>-5.2596570000000002E-2</v>
      </c>
      <c r="AG102" s="6">
        <f t="shared" si="33"/>
        <v>-5.7444099999999998E-2</v>
      </c>
      <c r="AH102" s="6">
        <f t="shared" si="33"/>
        <v>-6.6949839999999997E-2</v>
      </c>
      <c r="AI102" s="6">
        <f t="shared" si="33"/>
        <v>-7.386827E-2</v>
      </c>
      <c r="AJ102" s="6">
        <f t="shared" si="33"/>
        <v>-8.493328E-2</v>
      </c>
      <c r="AK102" s="6">
        <f t="shared" si="33"/>
        <v>-0.12972880000000001</v>
      </c>
      <c r="AL102" s="6">
        <f t="shared" si="33"/>
        <v>-0.13300699999999999</v>
      </c>
      <c r="AM102" s="6">
        <f t="shared" si="33"/>
        <v>-0.14469580000000001</v>
      </c>
    </row>
    <row r="103" spans="7:39" x14ac:dyDescent="0.25">
      <c r="G103" s="5">
        <v>12</v>
      </c>
      <c r="H103" s="6">
        <f>G60</f>
        <v>-0.10123210000000001</v>
      </c>
      <c r="I103" s="6">
        <f t="shared" ref="I103:W103" si="34">H60</f>
        <v>3.6080840000000003E-2</v>
      </c>
      <c r="J103" s="6">
        <f t="shared" si="34"/>
        <v>3.5770419999999997E-2</v>
      </c>
      <c r="K103" s="6">
        <f t="shared" si="34"/>
        <v>3.4622670000000001E-2</v>
      </c>
      <c r="L103" s="6">
        <f t="shared" si="34"/>
        <v>1.9745829999999999E-2</v>
      </c>
      <c r="M103" s="6">
        <f t="shared" si="34"/>
        <v>8.4686280000000004E-4</v>
      </c>
      <c r="N103" s="6">
        <f t="shared" si="34"/>
        <v>6.0753819999999998E-3</v>
      </c>
      <c r="O103" s="6">
        <f t="shared" si="34"/>
        <v>3.9453509999999997E-3</v>
      </c>
      <c r="P103" s="6">
        <f t="shared" si="34"/>
        <v>8.7404249999999996E-4</v>
      </c>
      <c r="Q103" s="6">
        <f t="shared" si="34"/>
        <v>1.116467E-2</v>
      </c>
      <c r="R103" s="6">
        <f t="shared" si="34"/>
        <v>-3.9701459999999999E-3</v>
      </c>
      <c r="S103" s="6">
        <f t="shared" si="34"/>
        <v>-5.0783160000000003E-3</v>
      </c>
      <c r="T103" s="6">
        <f t="shared" si="34"/>
        <v>-5.2132610000000003E-3</v>
      </c>
      <c r="U103" s="6">
        <f t="shared" si="34"/>
        <v>-6.9856639999999999E-3</v>
      </c>
      <c r="V103" s="6">
        <f t="shared" si="34"/>
        <v>-6.526947E-3</v>
      </c>
      <c r="W103" s="6">
        <f t="shared" si="34"/>
        <v>-6.4506529999999998E-3</v>
      </c>
      <c r="X103" s="6">
        <f>G61</f>
        <v>-7.7157019999999996E-3</v>
      </c>
      <c r="Y103" s="6">
        <f t="shared" ref="Y103:AM103" si="35">H61</f>
        <v>-7.9064370000000005E-3</v>
      </c>
      <c r="Z103" s="6">
        <f t="shared" si="35"/>
        <v>-8.9473720000000003E-3</v>
      </c>
      <c r="AA103" s="6">
        <f t="shared" si="35"/>
        <v>-1.1544230000000001E-2</v>
      </c>
      <c r="AB103" s="6">
        <f t="shared" si="35"/>
        <v>-1.4204029999999999E-2</v>
      </c>
      <c r="AC103" s="6">
        <f t="shared" si="35"/>
        <v>-2.0644659999999999E-2</v>
      </c>
      <c r="AD103" s="6">
        <f t="shared" si="35"/>
        <v>-3.9415360000000003E-2</v>
      </c>
      <c r="AE103" s="6">
        <f t="shared" si="35"/>
        <v>-4.6940799999999998E-2</v>
      </c>
      <c r="AF103" s="6">
        <f t="shared" si="35"/>
        <v>-5.4387570000000003E-2</v>
      </c>
      <c r="AG103" s="6">
        <f t="shared" si="35"/>
        <v>-6.0013289999999997E-2</v>
      </c>
      <c r="AH103" s="6">
        <f t="shared" si="35"/>
        <v>-7.0013049999999993E-2</v>
      </c>
      <c r="AI103" s="6">
        <f t="shared" si="35"/>
        <v>-7.7831269999999994E-2</v>
      </c>
      <c r="AJ103" s="6">
        <f t="shared" si="35"/>
        <v>-8.9999679999999999E-2</v>
      </c>
      <c r="AK103" s="6">
        <f t="shared" si="35"/>
        <v>-0.14422989999999999</v>
      </c>
      <c r="AL103" s="6">
        <f t="shared" si="35"/>
        <v>-0.1452174</v>
      </c>
      <c r="AM103" s="6">
        <f t="shared" si="35"/>
        <v>-0.1536045</v>
      </c>
    </row>
    <row r="104" spans="7:39" x14ac:dyDescent="0.25">
      <c r="G104" s="5">
        <v>13</v>
      </c>
      <c r="H104" s="6">
        <f>G63</f>
        <v>-0.12063690000000001</v>
      </c>
      <c r="I104" s="6">
        <f t="shared" ref="I104:W104" si="36">H63</f>
        <v>3.4331319999999999E-2</v>
      </c>
      <c r="J104" s="6">
        <f t="shared" si="36"/>
        <v>3.6433220000000002E-2</v>
      </c>
      <c r="K104" s="6">
        <f t="shared" si="36"/>
        <v>3.4793850000000001E-2</v>
      </c>
      <c r="L104" s="6">
        <f t="shared" si="36"/>
        <v>2.213621E-2</v>
      </c>
      <c r="M104" s="6">
        <f t="shared" si="36"/>
        <v>6.5994260000000005E-4</v>
      </c>
      <c r="N104" s="6">
        <f t="shared" si="36"/>
        <v>8.4347720000000001E-3</v>
      </c>
      <c r="O104" s="6">
        <f t="shared" si="36"/>
        <v>5.8670040000000003E-3</v>
      </c>
      <c r="P104" s="6">
        <f t="shared" si="36"/>
        <v>3.2134059999999998E-3</v>
      </c>
      <c r="Q104" s="6">
        <f t="shared" si="36"/>
        <v>1.0973449999999999E-2</v>
      </c>
      <c r="R104" s="6">
        <f t="shared" si="36"/>
        <v>-2.4709699999999999E-3</v>
      </c>
      <c r="S104" s="6">
        <f t="shared" si="36"/>
        <v>-4.388332E-3</v>
      </c>
      <c r="T104" s="6">
        <f t="shared" si="36"/>
        <v>-5.3939820000000003E-3</v>
      </c>
      <c r="U104" s="6">
        <f t="shared" si="36"/>
        <v>-6.6404339999999997E-3</v>
      </c>
      <c r="V104" s="6">
        <f t="shared" si="36"/>
        <v>-6.7095760000000001E-3</v>
      </c>
      <c r="W104" s="6">
        <f t="shared" si="36"/>
        <v>-7.6475140000000002E-3</v>
      </c>
      <c r="X104" s="6">
        <f>G64</f>
        <v>-8.986473E-3</v>
      </c>
      <c r="Y104" s="6">
        <f t="shared" ref="Y104:AM104" si="37">H64</f>
        <v>-9.9253650000000002E-3</v>
      </c>
      <c r="Z104" s="6">
        <f t="shared" si="37"/>
        <v>-9.6745489999999993E-3</v>
      </c>
      <c r="AA104" s="6">
        <f t="shared" si="37"/>
        <v>-1.240253E-2</v>
      </c>
      <c r="AB104" s="6">
        <f t="shared" si="37"/>
        <v>-1.456738E-2</v>
      </c>
      <c r="AC104" s="6">
        <f t="shared" si="37"/>
        <v>-1.975203E-2</v>
      </c>
      <c r="AD104" s="6">
        <f t="shared" si="37"/>
        <v>-3.9403920000000002E-2</v>
      </c>
      <c r="AE104" s="6">
        <f t="shared" si="37"/>
        <v>-4.7677520000000001E-2</v>
      </c>
      <c r="AF104" s="6">
        <f t="shared" si="37"/>
        <v>-5.4970739999999997E-2</v>
      </c>
      <c r="AG104" s="6">
        <f t="shared" si="37"/>
        <v>-6.0748580000000003E-2</v>
      </c>
      <c r="AH104" s="6">
        <f t="shared" si="37"/>
        <v>-7.0545200000000002E-2</v>
      </c>
      <c r="AI104" s="6">
        <f t="shared" si="37"/>
        <v>-8.0533499999999994E-2</v>
      </c>
      <c r="AJ104" s="6">
        <f t="shared" si="37"/>
        <v>-0.1032724</v>
      </c>
      <c r="AK104" s="6">
        <f t="shared" si="37"/>
        <v>-0.15564249999999999</v>
      </c>
      <c r="AL104" s="6">
        <f t="shared" si="37"/>
        <v>-0.15451239999999999</v>
      </c>
      <c r="AM104" s="6">
        <f t="shared" si="37"/>
        <v>-0.16001750000000001</v>
      </c>
    </row>
    <row r="105" spans="7:39" x14ac:dyDescent="0.25">
      <c r="G105" s="5">
        <v>14</v>
      </c>
      <c r="H105" s="6">
        <f>G66</f>
        <v>-5.6249140000000003E-2</v>
      </c>
      <c r="I105" s="6">
        <f t="shared" ref="I105:W105" si="38">H66</f>
        <v>3.6708350000000001E-2</v>
      </c>
      <c r="J105" s="6">
        <f t="shared" si="38"/>
        <v>3.3843520000000002E-2</v>
      </c>
      <c r="K105" s="6">
        <f t="shared" si="38"/>
        <v>3.3807280000000002E-2</v>
      </c>
      <c r="L105" s="6">
        <f t="shared" si="38"/>
        <v>1.8215180000000001E-2</v>
      </c>
      <c r="M105" s="6">
        <f t="shared" si="38"/>
        <v>-1.764297E-4</v>
      </c>
      <c r="N105" s="6">
        <f t="shared" si="38"/>
        <v>4.842758E-3</v>
      </c>
      <c r="O105" s="6">
        <f t="shared" si="38"/>
        <v>3.0746459999999999E-3</v>
      </c>
      <c r="P105" s="6">
        <f t="shared" si="38"/>
        <v>9.6797940000000002E-4</v>
      </c>
      <c r="Q105" s="6">
        <f t="shared" si="38"/>
        <v>9.9716189999999993E-3</v>
      </c>
      <c r="R105" s="6">
        <f t="shared" si="38"/>
        <v>-5.1250460000000003E-3</v>
      </c>
      <c r="S105" s="6">
        <f t="shared" si="38"/>
        <v>-6.7472460000000001E-3</v>
      </c>
      <c r="T105" s="6">
        <f t="shared" si="38"/>
        <v>-6.0997009999999999E-3</v>
      </c>
      <c r="U105" s="6">
        <f t="shared" si="38"/>
        <v>-1.04394E-2</v>
      </c>
      <c r="V105" s="6">
        <f t="shared" si="38"/>
        <v>-1.1243339999999999E-2</v>
      </c>
      <c r="W105" s="6">
        <f t="shared" si="38"/>
        <v>-1.313305E-2</v>
      </c>
      <c r="X105" s="6">
        <f>G67</f>
        <v>-1.6432289999999999E-2</v>
      </c>
      <c r="Y105" s="6">
        <f t="shared" ref="Y105:AM105" si="39">H67</f>
        <v>-2.0207409999999999E-2</v>
      </c>
      <c r="Z105" s="6">
        <f t="shared" si="39"/>
        <v>-2.1977900000000002E-2</v>
      </c>
      <c r="AA105" s="6">
        <f t="shared" si="39"/>
        <v>-2.5886059999999999E-2</v>
      </c>
      <c r="AB105" s="6">
        <f t="shared" si="39"/>
        <v>-2.702332E-2</v>
      </c>
      <c r="AC105" s="6">
        <f t="shared" si="39"/>
        <v>-3.332806E-2</v>
      </c>
      <c r="AD105" s="6">
        <f t="shared" si="39"/>
        <v>-4.9094199999999998E-2</v>
      </c>
      <c r="AE105" s="6">
        <f t="shared" si="39"/>
        <v>-5.2409650000000002E-2</v>
      </c>
      <c r="AF105" s="6">
        <f t="shared" si="39"/>
        <v>-5.4363729999999999E-2</v>
      </c>
      <c r="AG105" s="6">
        <f t="shared" si="39"/>
        <v>-5.4142950000000002E-2</v>
      </c>
      <c r="AH105" s="6">
        <f t="shared" si="39"/>
        <v>-5.3617949999999998E-2</v>
      </c>
      <c r="AI105" s="6">
        <f t="shared" si="39"/>
        <v>-5.7289600000000003E-2</v>
      </c>
      <c r="AJ105" s="6">
        <f t="shared" si="39"/>
        <v>-5.6250099999999997E-2</v>
      </c>
      <c r="AK105" s="6">
        <f t="shared" si="39"/>
        <v>-5.7032590000000001E-2</v>
      </c>
      <c r="AL105" s="6">
        <f t="shared" si="39"/>
        <v>-5.4274559999999999E-2</v>
      </c>
      <c r="AM105" s="6">
        <f t="shared" si="39"/>
        <v>-5.1675800000000001E-2</v>
      </c>
    </row>
    <row r="106" spans="7:39" x14ac:dyDescent="0.25">
      <c r="G106" s="5">
        <v>15</v>
      </c>
      <c r="H106" s="6">
        <f>G69</f>
        <v>-4.7252179999999998E-2</v>
      </c>
      <c r="I106" s="6">
        <f t="shared" ref="I106:W106" si="40">H69</f>
        <v>3.7233830000000002E-2</v>
      </c>
      <c r="J106" s="6">
        <f t="shared" si="40"/>
        <v>3.419399E-2</v>
      </c>
      <c r="K106" s="6">
        <f t="shared" si="40"/>
        <v>3.2952790000000003E-2</v>
      </c>
      <c r="L106" s="6">
        <f t="shared" si="40"/>
        <v>1.8728729999999999E-2</v>
      </c>
      <c r="M106" s="6">
        <f t="shared" si="40"/>
        <v>1.0309220000000001E-3</v>
      </c>
      <c r="N106" s="6">
        <f t="shared" si="40"/>
        <v>5.7220459999999997E-3</v>
      </c>
      <c r="O106" s="6">
        <f t="shared" si="40"/>
        <v>3.0746459999999999E-3</v>
      </c>
      <c r="P106" s="6">
        <f t="shared" si="40"/>
        <v>7.9488750000000004E-4</v>
      </c>
      <c r="Q106" s="6">
        <f t="shared" si="40"/>
        <v>9.6259120000000004E-3</v>
      </c>
      <c r="R106" s="6">
        <f t="shared" si="40"/>
        <v>-5.6447980000000004E-3</v>
      </c>
      <c r="S106" s="6">
        <f t="shared" si="40"/>
        <v>-7.6112749999999998E-3</v>
      </c>
      <c r="T106" s="6">
        <f t="shared" si="40"/>
        <v>-6.8082810000000002E-3</v>
      </c>
      <c r="U106" s="6">
        <f t="shared" si="40"/>
        <v>-1.182222E-2</v>
      </c>
      <c r="V106" s="6">
        <f t="shared" si="40"/>
        <v>-1.2337209999999999E-2</v>
      </c>
      <c r="W106" s="6">
        <f t="shared" si="40"/>
        <v>-1.5843869999999999E-2</v>
      </c>
      <c r="X106" s="5">
        <f>G70</f>
        <v>-2.042484E-2</v>
      </c>
      <c r="Y106" s="5">
        <f t="shared" ref="Y106:AM106" si="41">H70</f>
        <v>-2.3968219999999998E-2</v>
      </c>
      <c r="Z106" s="5">
        <f t="shared" si="41"/>
        <v>-2.6681900000000001E-2</v>
      </c>
      <c r="AA106" s="5">
        <f t="shared" si="41"/>
        <v>-3.0725479999999999E-2</v>
      </c>
      <c r="AB106" s="5">
        <f t="shared" si="41"/>
        <v>-3.3160210000000002E-2</v>
      </c>
      <c r="AC106" s="5">
        <f t="shared" si="41"/>
        <v>-3.940105E-2</v>
      </c>
      <c r="AD106" s="5">
        <f t="shared" si="41"/>
        <v>-5.013418E-2</v>
      </c>
      <c r="AE106" s="5">
        <f t="shared" si="41"/>
        <v>-5.1320079999999997E-2</v>
      </c>
      <c r="AF106" s="5">
        <f t="shared" si="41"/>
        <v>-5.275154E-2</v>
      </c>
      <c r="AG106" s="5">
        <f t="shared" si="41"/>
        <v>-5.2490710000000003E-2</v>
      </c>
      <c r="AH106" s="5">
        <f t="shared" si="41"/>
        <v>-5.4879190000000001E-2</v>
      </c>
      <c r="AI106" s="5">
        <f t="shared" si="41"/>
        <v>-5.7469840000000001E-2</v>
      </c>
      <c r="AJ106" s="5">
        <f t="shared" si="41"/>
        <v>-5.8870789999999999E-2</v>
      </c>
      <c r="AK106" s="5">
        <f t="shared" si="41"/>
        <v>-5.6488509999999999E-2</v>
      </c>
      <c r="AL106" s="5">
        <f t="shared" si="41"/>
        <v>-5.3363319999999999E-2</v>
      </c>
      <c r="AM106" s="5">
        <f t="shared" si="41"/>
        <v>-5.0427909999999999E-2</v>
      </c>
    </row>
    <row r="107" spans="7:39" x14ac:dyDescent="0.25">
      <c r="G107" s="5">
        <v>16</v>
      </c>
      <c r="H107" s="6">
        <f>G72</f>
        <v>-3.7196640000000003E-2</v>
      </c>
      <c r="I107" s="6">
        <f t="shared" ref="I107:W107" si="42">H72</f>
        <v>3.6880969999999999E-2</v>
      </c>
      <c r="J107" s="6">
        <f t="shared" si="42"/>
        <v>3.2758240000000001E-2</v>
      </c>
      <c r="K107" s="6">
        <f t="shared" si="42"/>
        <v>3.2780650000000001E-2</v>
      </c>
      <c r="L107" s="6">
        <f t="shared" si="42"/>
        <v>1.7349239999999998E-2</v>
      </c>
      <c r="M107" s="6">
        <f t="shared" si="42"/>
        <v>-3.48568E-4</v>
      </c>
      <c r="N107" s="6">
        <f t="shared" si="42"/>
        <v>4.4913289999999996E-3</v>
      </c>
      <c r="O107" s="6">
        <f t="shared" si="42"/>
        <v>2.198219E-3</v>
      </c>
      <c r="P107" s="6">
        <f t="shared" si="42"/>
        <v>-5.9795379999999997E-4</v>
      </c>
      <c r="Q107" s="6">
        <f t="shared" si="42"/>
        <v>9.2611310000000006E-3</v>
      </c>
      <c r="R107" s="6">
        <f t="shared" si="42"/>
        <v>-6.7443850000000003E-3</v>
      </c>
      <c r="S107" s="6">
        <f t="shared" si="42"/>
        <v>-8.4733959999999994E-3</v>
      </c>
      <c r="T107" s="6">
        <f t="shared" si="42"/>
        <v>-7.1625710000000004E-3</v>
      </c>
      <c r="U107" s="6">
        <f t="shared" si="42"/>
        <v>-1.320696E-2</v>
      </c>
      <c r="V107" s="6">
        <f t="shared" si="42"/>
        <v>-1.4725210000000001E-2</v>
      </c>
      <c r="W107" s="6">
        <f t="shared" si="42"/>
        <v>-1.8301959999999999E-2</v>
      </c>
      <c r="X107" s="6">
        <f>G73</f>
        <v>-2.4054530000000001E-2</v>
      </c>
      <c r="Y107" s="6">
        <f t="shared" ref="Y107:AM107" si="43">H73</f>
        <v>-2.8394220000000001E-2</v>
      </c>
      <c r="Z107" s="6">
        <f t="shared" si="43"/>
        <v>-3.1571870000000002E-2</v>
      </c>
      <c r="AA107" s="6">
        <f t="shared" si="43"/>
        <v>-3.5216810000000001E-2</v>
      </c>
      <c r="AB107" s="6">
        <f t="shared" si="43"/>
        <v>-3.586864E-2</v>
      </c>
      <c r="AC107" s="6">
        <f t="shared" si="43"/>
        <v>-3.9940360000000001E-2</v>
      </c>
      <c r="AD107" s="6">
        <f t="shared" si="43"/>
        <v>-4.5801639999999998E-2</v>
      </c>
      <c r="AE107" s="6">
        <f t="shared" si="43"/>
        <v>-4.4599529999999998E-2</v>
      </c>
      <c r="AF107" s="6">
        <f t="shared" si="43"/>
        <v>-4.5414919999999998E-2</v>
      </c>
      <c r="AG107" s="6">
        <f t="shared" si="43"/>
        <v>-4.4413090000000002E-2</v>
      </c>
      <c r="AH107" s="6">
        <f t="shared" si="43"/>
        <v>-4.4797900000000002E-2</v>
      </c>
      <c r="AI107" s="6">
        <f t="shared" si="43"/>
        <v>-4.793501E-2</v>
      </c>
      <c r="AJ107" s="6">
        <f t="shared" si="43"/>
        <v>-4.7629360000000003E-2</v>
      </c>
      <c r="AK107" s="6">
        <f t="shared" si="43"/>
        <v>-4.724598E-2</v>
      </c>
      <c r="AL107" s="6">
        <f t="shared" si="43"/>
        <v>-4.4250970000000001E-2</v>
      </c>
      <c r="AM107" s="6">
        <f t="shared" si="43"/>
        <v>-4.2232989999999998E-2</v>
      </c>
    </row>
    <row r="108" spans="7:39" x14ac:dyDescent="0.25">
      <c r="G108" s="5">
        <v>17</v>
      </c>
      <c r="H108" s="6">
        <f>G75</f>
        <v>-2.2552490000000001E-2</v>
      </c>
      <c r="I108" s="6">
        <f t="shared" ref="I108:W108" si="44">H75</f>
        <v>3.705692E-2</v>
      </c>
      <c r="J108" s="6">
        <f t="shared" si="44"/>
        <v>3.1919959999999997E-2</v>
      </c>
      <c r="K108" s="6">
        <f t="shared" si="44"/>
        <v>3.3789630000000001E-2</v>
      </c>
      <c r="L108" s="6">
        <f t="shared" si="44"/>
        <v>1.7012599999999999E-2</v>
      </c>
      <c r="M108" s="6">
        <f t="shared" si="44"/>
        <v>-1.7547609999999999E-4</v>
      </c>
      <c r="N108" s="6">
        <f t="shared" si="44"/>
        <v>3.739834E-3</v>
      </c>
      <c r="O108" s="6">
        <f t="shared" si="44"/>
        <v>2.198219E-3</v>
      </c>
      <c r="P108" s="6">
        <f t="shared" si="44"/>
        <v>-8.5401539999999999E-4</v>
      </c>
      <c r="Q108" s="6">
        <f t="shared" si="44"/>
        <v>8.5868839999999995E-3</v>
      </c>
      <c r="R108" s="6">
        <f t="shared" si="44"/>
        <v>-7.2636599999999999E-3</v>
      </c>
      <c r="S108" s="6">
        <f t="shared" si="44"/>
        <v>-9.6817020000000004E-3</v>
      </c>
      <c r="T108" s="6">
        <f t="shared" si="44"/>
        <v>-7.5159069999999996E-3</v>
      </c>
      <c r="U108" s="6">
        <f t="shared" si="44"/>
        <v>-1.528025E-2</v>
      </c>
      <c r="V108" s="6">
        <f t="shared" si="44"/>
        <v>-1.6890530000000001E-2</v>
      </c>
      <c r="W108" s="6">
        <f t="shared" si="44"/>
        <v>-2.0894050000000001E-2</v>
      </c>
      <c r="X108" s="6">
        <f>G76</f>
        <v>-2.6776310000000001E-2</v>
      </c>
      <c r="Y108" s="6">
        <f t="shared" ref="Y108:AM108" si="45">H76</f>
        <v>-3.273678E-2</v>
      </c>
      <c r="Z108" s="6">
        <f t="shared" si="45"/>
        <v>-3.428602E-2</v>
      </c>
      <c r="AA108" s="6">
        <f t="shared" si="45"/>
        <v>-3.7289620000000002E-2</v>
      </c>
      <c r="AB108" s="6">
        <f t="shared" si="45"/>
        <v>-3.7131789999999998E-2</v>
      </c>
      <c r="AC108" s="6">
        <f t="shared" si="45"/>
        <v>-3.7618640000000002E-2</v>
      </c>
      <c r="AD108" s="6">
        <f t="shared" si="45"/>
        <v>-3.6435130000000003E-2</v>
      </c>
      <c r="AE108" s="6">
        <f t="shared" si="45"/>
        <v>-3.5525800000000003E-2</v>
      </c>
      <c r="AF108" s="6">
        <f t="shared" si="45"/>
        <v>-3.664589E-2</v>
      </c>
      <c r="AG108" s="6">
        <f t="shared" si="45"/>
        <v>-3.560352E-2</v>
      </c>
      <c r="AH108" s="6">
        <f t="shared" si="45"/>
        <v>-3.5787579999999999E-2</v>
      </c>
      <c r="AI108" s="6">
        <f t="shared" si="45"/>
        <v>-3.7311080000000003E-2</v>
      </c>
      <c r="AJ108" s="6">
        <f t="shared" si="45"/>
        <v>-3.5262580000000002E-2</v>
      </c>
      <c r="AK108" s="6">
        <f t="shared" si="45"/>
        <v>-3.5823819999999999E-2</v>
      </c>
      <c r="AL108" s="6">
        <f t="shared" si="45"/>
        <v>-3.4772400000000002E-2</v>
      </c>
      <c r="AM108" s="6">
        <f t="shared" si="45"/>
        <v>-3.4907340000000002E-2</v>
      </c>
    </row>
    <row r="109" spans="7:39" x14ac:dyDescent="0.25">
      <c r="G109" s="5">
        <v>18</v>
      </c>
      <c r="H109" s="6">
        <f>G78</f>
        <v>-2.272892E-2</v>
      </c>
      <c r="I109" s="6">
        <f t="shared" ref="I109:W109" si="46">H78</f>
        <v>3.7231920000000002E-2</v>
      </c>
      <c r="J109" s="6">
        <f t="shared" si="46"/>
        <v>3.279543E-2</v>
      </c>
      <c r="K109" s="6">
        <f t="shared" si="46"/>
        <v>3.6524300000000003E-2</v>
      </c>
      <c r="L109" s="6">
        <f t="shared" si="46"/>
        <v>1.8552780000000001E-2</v>
      </c>
      <c r="M109" s="6">
        <f t="shared" si="46"/>
        <v>5.1450729999999998E-4</v>
      </c>
      <c r="N109" s="6">
        <f t="shared" si="46"/>
        <v>4.9700739999999997E-3</v>
      </c>
      <c r="O109" s="6">
        <f t="shared" si="46"/>
        <v>3.0698779999999998E-3</v>
      </c>
      <c r="P109" s="6">
        <f t="shared" si="46"/>
        <v>-1.6117099999999999E-4</v>
      </c>
      <c r="Q109" s="6">
        <f t="shared" si="46"/>
        <v>8.2411770000000006E-3</v>
      </c>
      <c r="R109" s="6">
        <f t="shared" si="46"/>
        <v>-6.7439079999999998E-3</v>
      </c>
      <c r="S109" s="6">
        <f t="shared" si="46"/>
        <v>-9.8543169999999996E-3</v>
      </c>
      <c r="T109" s="6">
        <f t="shared" si="46"/>
        <v>-6.9847110000000002E-3</v>
      </c>
      <c r="U109" s="6">
        <f t="shared" si="46"/>
        <v>-1.5625480000000001E-2</v>
      </c>
      <c r="V109" s="6">
        <f t="shared" si="46"/>
        <v>-1.7437459999999998E-2</v>
      </c>
      <c r="W109" s="6">
        <f t="shared" si="46"/>
        <v>-2.1978859999999999E-2</v>
      </c>
      <c r="X109" s="5">
        <f>G79</f>
        <v>-2.8047079999999999E-2</v>
      </c>
      <c r="Y109" s="5">
        <f t="shared" ref="Y109:AM109" si="47">H79</f>
        <v>-3.3811569999999999E-2</v>
      </c>
      <c r="Z109" s="5">
        <f t="shared" si="47"/>
        <v>-3.5914420000000002E-2</v>
      </c>
      <c r="AA109" s="5">
        <f t="shared" si="47"/>
        <v>-3.8672449999999997E-2</v>
      </c>
      <c r="AB109" s="5">
        <f t="shared" si="47"/>
        <v>-3.8575650000000003E-2</v>
      </c>
      <c r="AC109" s="5">
        <f t="shared" si="47"/>
        <v>-3.8690090000000003E-2</v>
      </c>
      <c r="AD109" s="5">
        <f t="shared" si="47"/>
        <v>-3.6262040000000002E-2</v>
      </c>
      <c r="AE109" s="5">
        <f t="shared" si="47"/>
        <v>-3.4799099999999999E-2</v>
      </c>
      <c r="AF109" s="5">
        <f t="shared" si="47"/>
        <v>-3.5571100000000001E-2</v>
      </c>
      <c r="AG109" s="5">
        <f t="shared" si="47"/>
        <v>-3.3951759999999997E-2</v>
      </c>
      <c r="AH109" s="5">
        <f t="shared" si="47"/>
        <v>-3.4705640000000003E-2</v>
      </c>
      <c r="AI109" s="5">
        <f t="shared" si="47"/>
        <v>-3.4788609999999998E-2</v>
      </c>
      <c r="AJ109" s="5">
        <f t="shared" si="47"/>
        <v>-3.4214019999999998E-2</v>
      </c>
      <c r="AK109" s="5">
        <f t="shared" si="47"/>
        <v>-3.3829209999999998E-2</v>
      </c>
      <c r="AL109" s="5">
        <f t="shared" si="47"/>
        <v>-3.3495900000000002E-2</v>
      </c>
      <c r="AM109" s="5">
        <f t="shared" si="47"/>
        <v>-3.3838269999999997E-2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110"/>
  <sheetViews>
    <sheetView topLeftCell="C77" workbookViewId="0">
      <selection activeCell="E95" sqref="E95"/>
    </sheetView>
  </sheetViews>
  <sheetFormatPr defaultRowHeight="15" x14ac:dyDescent="0.25"/>
  <sheetData>
    <row r="1" spans="1:22" x14ac:dyDescent="0.25">
      <c r="B1">
        <v>9116</v>
      </c>
      <c r="C1">
        <v>6742</v>
      </c>
      <c r="D1">
        <v>1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</row>
    <row r="3" spans="1:22" x14ac:dyDescent="0.25">
      <c r="B3">
        <v>9116</v>
      </c>
      <c r="C3">
        <v>6744</v>
      </c>
      <c r="D3">
        <v>1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29</v>
      </c>
    </row>
    <row r="4" spans="1:22" x14ac:dyDescent="0.25">
      <c r="A4" t="s">
        <v>30</v>
      </c>
      <c r="B4" t="s">
        <v>31</v>
      </c>
      <c r="C4" t="s">
        <v>32</v>
      </c>
      <c r="D4" t="s">
        <v>33</v>
      </c>
      <c r="E4" t="s">
        <v>34</v>
      </c>
      <c r="F4" t="s">
        <v>35</v>
      </c>
    </row>
    <row r="5" spans="1:22" x14ac:dyDescent="0.25">
      <c r="A5" t="s">
        <v>36</v>
      </c>
    </row>
    <row r="6" spans="1:22" x14ac:dyDescent="0.25">
      <c r="A6" t="s">
        <v>36</v>
      </c>
    </row>
    <row r="7" spans="1:22" x14ac:dyDescent="0.25">
      <c r="A7" t="s">
        <v>126</v>
      </c>
    </row>
    <row r="8" spans="1:22" x14ac:dyDescent="0.25">
      <c r="A8" t="s">
        <v>98</v>
      </c>
    </row>
    <row r="9" spans="1:22" x14ac:dyDescent="0.25">
      <c r="A9">
        <v>11.244999999999999</v>
      </c>
      <c r="B9">
        <v>9116</v>
      </c>
      <c r="C9">
        <v>6742</v>
      </c>
      <c r="D9">
        <v>1</v>
      </c>
      <c r="E9">
        <v>1</v>
      </c>
      <c r="F9" t="s">
        <v>13</v>
      </c>
      <c r="G9" s="3">
        <v>-6.1464310000000004E-4</v>
      </c>
      <c r="H9" s="3">
        <v>-6.4849850000000002E-4</v>
      </c>
      <c r="I9" s="3">
        <v>-4.6157840000000001E-4</v>
      </c>
      <c r="J9" s="3">
        <v>3.9632319999999999E-2</v>
      </c>
      <c r="K9" s="3">
        <v>-2.5653839999999998E-4</v>
      </c>
      <c r="L9" s="3">
        <v>-6.1178209999999998E-4</v>
      </c>
      <c r="M9" s="3">
        <v>-1.2450219999999999E-3</v>
      </c>
      <c r="N9" s="3">
        <v>-1.192093E-4</v>
      </c>
      <c r="O9" s="3">
        <v>4.3630600000000002E-4</v>
      </c>
      <c r="P9" s="3">
        <v>4.3742179999999999E-2</v>
      </c>
      <c r="Q9" s="3">
        <v>7.2145460000000005E-4</v>
      </c>
      <c r="R9" s="3">
        <v>9.8705290000000004E-5</v>
      </c>
      <c r="S9" s="3">
        <v>1.8774030000000001E-2</v>
      </c>
      <c r="T9" s="3">
        <v>-3.0565259999999999E-4</v>
      </c>
      <c r="U9" s="3">
        <v>2.3031230000000001E-4</v>
      </c>
      <c r="V9" s="3">
        <v>-1.416206E-4</v>
      </c>
    </row>
    <row r="10" spans="1:22" x14ac:dyDescent="0.25">
      <c r="A10">
        <v>11.268000000000001</v>
      </c>
      <c r="B10">
        <v>9116</v>
      </c>
      <c r="C10">
        <v>6744</v>
      </c>
      <c r="D10">
        <v>1</v>
      </c>
      <c r="E10">
        <v>1</v>
      </c>
      <c r="F10" t="s">
        <v>13</v>
      </c>
      <c r="G10" s="3">
        <v>-6.5183639999999996E-4</v>
      </c>
      <c r="H10" s="3">
        <v>-1.280308E-3</v>
      </c>
      <c r="I10" s="3">
        <v>-8.8691710000000004E-5</v>
      </c>
      <c r="J10" s="3">
        <v>3.4039020000000003E-2</v>
      </c>
      <c r="K10" s="3">
        <v>-3.2901760000000001E-5</v>
      </c>
      <c r="L10" s="3">
        <v>-5.0067899999999997E-4</v>
      </c>
      <c r="M10" s="3">
        <v>-1.240253E-3</v>
      </c>
      <c r="N10" s="3">
        <v>9.9182129999999996E-5</v>
      </c>
      <c r="O10" s="3">
        <v>-9.5558169999999997E-4</v>
      </c>
      <c r="P10" s="3">
        <v>3.7574769999999997E-4</v>
      </c>
      <c r="Q10" s="3">
        <v>2.7942659999999998E-4</v>
      </c>
      <c r="R10" s="3">
        <v>-3.8957599999999998E-4</v>
      </c>
      <c r="S10" s="3">
        <v>-1.029968E-3</v>
      </c>
      <c r="T10" s="3">
        <v>3.9672850000000001E-4</v>
      </c>
      <c r="U10" s="3">
        <v>1.037121E-3</v>
      </c>
      <c r="V10" s="3">
        <v>2.0885470000000001E-4</v>
      </c>
    </row>
    <row r="11" spans="1:22" x14ac:dyDescent="0.25">
      <c r="A11" t="s">
        <v>150</v>
      </c>
    </row>
    <row r="12" spans="1:22" x14ac:dyDescent="0.25">
      <c r="A12">
        <v>2154.4789999999998</v>
      </c>
      <c r="B12">
        <v>9116</v>
      </c>
      <c r="C12">
        <v>6742</v>
      </c>
      <c r="D12">
        <v>1</v>
      </c>
      <c r="E12">
        <v>1</v>
      </c>
      <c r="F12" t="s">
        <v>13</v>
      </c>
      <c r="G12" s="3">
        <v>-2.5657650000000001E-2</v>
      </c>
      <c r="H12">
        <v>-0.1974602</v>
      </c>
      <c r="I12">
        <v>-0.1726203</v>
      </c>
      <c r="J12" s="3">
        <v>7.6950069999999995E-2</v>
      </c>
      <c r="K12">
        <v>-0.123652</v>
      </c>
      <c r="L12" s="3">
        <v>-8.2788470000000006E-3</v>
      </c>
      <c r="M12">
        <v>-0.1010809</v>
      </c>
      <c r="N12" s="3">
        <v>-9.1300489999999998E-2</v>
      </c>
      <c r="O12" s="3">
        <v>-7.7713489999999996E-2</v>
      </c>
      <c r="P12" s="3">
        <v>5.8859830000000002E-2</v>
      </c>
      <c r="Q12" s="3">
        <v>-6.1839579999999998E-2</v>
      </c>
      <c r="R12" s="3">
        <v>-5.1645759999999999E-2</v>
      </c>
      <c r="S12" s="3">
        <v>2.8673170000000001E-2</v>
      </c>
      <c r="T12" s="3">
        <v>-3.6857130000000002E-2</v>
      </c>
      <c r="U12" s="3">
        <v>-2.8315070000000001E-2</v>
      </c>
      <c r="V12" s="3">
        <v>-2.0462040000000001E-2</v>
      </c>
    </row>
    <row r="13" spans="1:22" x14ac:dyDescent="0.25">
      <c r="A13">
        <v>2154.5</v>
      </c>
      <c r="B13">
        <v>9116</v>
      </c>
      <c r="C13">
        <v>6744</v>
      </c>
      <c r="D13">
        <v>1</v>
      </c>
      <c r="E13">
        <v>1</v>
      </c>
      <c r="F13" t="s">
        <v>13</v>
      </c>
      <c r="G13">
        <v>-1.6293999999999999E-2</v>
      </c>
      <c r="H13" s="3">
        <v>-1.174831E-2</v>
      </c>
      <c r="I13" s="3">
        <v>-1.0990140000000001E-2</v>
      </c>
      <c r="J13" s="3">
        <v>-1.407576E-2</v>
      </c>
      <c r="K13" s="3">
        <v>-1.5501020000000001E-2</v>
      </c>
      <c r="L13" s="3">
        <v>-1.854563E-2</v>
      </c>
      <c r="M13" s="3">
        <v>-2.1895410000000001E-2</v>
      </c>
      <c r="N13" s="3">
        <v>-1.9114490000000001E-2</v>
      </c>
      <c r="O13" s="3">
        <v>-1.8622880000000001E-2</v>
      </c>
      <c r="P13" s="3">
        <v>-1.4688970000000001E-2</v>
      </c>
      <c r="Q13" s="3">
        <v>-1.157618E-2</v>
      </c>
      <c r="R13" s="3">
        <v>-2.9711719999999998E-3</v>
      </c>
      <c r="S13" s="3">
        <v>4.3578150000000001E-3</v>
      </c>
      <c r="T13" s="3">
        <v>1.6732219999999999E-2</v>
      </c>
      <c r="U13" s="3">
        <v>3.395128E-2</v>
      </c>
      <c r="V13" s="3">
        <v>5.1186080000000002E-2</v>
      </c>
    </row>
    <row r="14" spans="1:22" x14ac:dyDescent="0.25">
      <c r="A14" t="s">
        <v>151</v>
      </c>
    </row>
    <row r="15" spans="1:22" x14ac:dyDescent="0.25">
      <c r="A15">
        <v>2164.5520000000001</v>
      </c>
      <c r="B15">
        <v>9116</v>
      </c>
      <c r="C15">
        <v>6742</v>
      </c>
      <c r="D15">
        <v>1</v>
      </c>
      <c r="E15">
        <v>1</v>
      </c>
      <c r="F15" t="s">
        <v>13</v>
      </c>
      <c r="G15" s="3">
        <v>2.9406549999999999E-3</v>
      </c>
      <c r="H15">
        <v>-0.16517689999999999</v>
      </c>
      <c r="I15">
        <v>-0.14929339999999999</v>
      </c>
      <c r="J15">
        <v>-0.12564990000000001</v>
      </c>
      <c r="K15">
        <v>-0.1101274</v>
      </c>
      <c r="L15" s="3">
        <v>-6.8979260000000004E-3</v>
      </c>
      <c r="M15" s="3">
        <v>-9.298468E-2</v>
      </c>
      <c r="N15" s="3">
        <v>-8.2760329999999993E-2</v>
      </c>
      <c r="O15" s="3">
        <v>-7.4321269999999995E-2</v>
      </c>
      <c r="P15" s="3">
        <v>5.8340070000000001E-2</v>
      </c>
      <c r="Q15" s="3">
        <v>-5.6692119999999999E-2</v>
      </c>
      <c r="R15" s="3">
        <v>-4.9111839999999997E-2</v>
      </c>
      <c r="S15" s="3">
        <v>2.939367E-2</v>
      </c>
      <c r="T15" s="3">
        <v>-3.5819049999999998E-2</v>
      </c>
      <c r="U15" s="3">
        <v>-2.756596E-2</v>
      </c>
      <c r="V15" s="3">
        <v>-2.0346159999999999E-2</v>
      </c>
    </row>
    <row r="16" spans="1:22" x14ac:dyDescent="0.25">
      <c r="A16">
        <v>2164.5749999999998</v>
      </c>
      <c r="B16">
        <v>9116</v>
      </c>
      <c r="C16">
        <v>6744</v>
      </c>
      <c r="D16">
        <v>1</v>
      </c>
      <c r="E16">
        <v>1</v>
      </c>
      <c r="F16" t="s">
        <v>13</v>
      </c>
      <c r="G16" s="3">
        <v>-1.738644E-2</v>
      </c>
      <c r="H16" s="3">
        <v>-1.3718609999999999E-2</v>
      </c>
      <c r="I16" s="3">
        <v>-1.226091E-2</v>
      </c>
      <c r="J16" s="3">
        <v>-1.5285969999999999E-2</v>
      </c>
      <c r="K16" s="3">
        <v>-1.6767979999999998E-2</v>
      </c>
      <c r="L16" s="3">
        <v>-2.0517830000000001E-2</v>
      </c>
      <c r="M16" s="3">
        <v>-2.5352949999999999E-2</v>
      </c>
      <c r="N16" s="3">
        <v>-2.3474220000000001E-2</v>
      </c>
      <c r="O16" s="3">
        <v>-2.3716930000000001E-2</v>
      </c>
      <c r="P16" s="3">
        <v>-2.0750520000000001E-2</v>
      </c>
      <c r="Q16" s="3">
        <v>-1.8435480000000001E-2</v>
      </c>
      <c r="R16" s="3">
        <v>-1.0720250000000001E-2</v>
      </c>
      <c r="S16" s="3">
        <v>-4.007816E-3</v>
      </c>
      <c r="T16" s="3">
        <v>7.1158410000000004E-3</v>
      </c>
      <c r="U16" s="3">
        <v>2.3736480000000001E-2</v>
      </c>
      <c r="V16">
        <v>4.1372300000000001E-2</v>
      </c>
    </row>
    <row r="17" spans="1:22" x14ac:dyDescent="0.25">
      <c r="A17" t="s">
        <v>152</v>
      </c>
    </row>
    <row r="18" spans="1:22" x14ac:dyDescent="0.25">
      <c r="A18">
        <v>2173.5129999999999</v>
      </c>
      <c r="B18">
        <v>9116</v>
      </c>
      <c r="C18">
        <v>6742</v>
      </c>
      <c r="D18">
        <v>1</v>
      </c>
      <c r="E18">
        <v>1</v>
      </c>
      <c r="F18" t="s">
        <v>13</v>
      </c>
      <c r="G18" s="3">
        <v>2.853584E-2</v>
      </c>
      <c r="H18">
        <v>-0.13296649999999999</v>
      </c>
      <c r="I18">
        <v>-0.1261854</v>
      </c>
      <c r="J18">
        <v>-0.10975119999999999</v>
      </c>
      <c r="K18" s="3">
        <v>-9.7630019999999998E-2</v>
      </c>
      <c r="L18" s="3">
        <v>-6.8979260000000004E-3</v>
      </c>
      <c r="M18" s="3">
        <v>-8.5776809999999995E-2</v>
      </c>
      <c r="N18" s="3">
        <v>-7.5263979999999994E-2</v>
      </c>
      <c r="O18">
        <v>-6.8255899999999994E-2</v>
      </c>
      <c r="P18" s="3">
        <v>5.8340070000000001E-2</v>
      </c>
      <c r="Q18" s="3">
        <v>-5.5651659999999999E-2</v>
      </c>
      <c r="R18" s="3">
        <v>-4.4619560000000003E-2</v>
      </c>
      <c r="S18" s="3">
        <v>2.992535E-2</v>
      </c>
      <c r="T18" s="3">
        <v>-3.4608840000000002E-2</v>
      </c>
      <c r="U18" s="3">
        <v>-2.5925159999999999E-2</v>
      </c>
      <c r="V18" s="3">
        <v>-1.889944E-2</v>
      </c>
    </row>
    <row r="19" spans="1:22" x14ac:dyDescent="0.25">
      <c r="A19">
        <v>2173.5320000000002</v>
      </c>
      <c r="B19">
        <v>9116</v>
      </c>
      <c r="C19">
        <v>6744</v>
      </c>
      <c r="D19">
        <v>1</v>
      </c>
      <c r="E19">
        <v>1</v>
      </c>
      <c r="F19" t="s">
        <v>13</v>
      </c>
      <c r="G19" s="3">
        <v>-1.575232E-2</v>
      </c>
      <c r="H19" s="3">
        <v>-1.318121E-2</v>
      </c>
      <c r="I19">
        <v>-1.49765E-2</v>
      </c>
      <c r="J19" s="3">
        <v>-1.787996E-2</v>
      </c>
      <c r="K19" s="3">
        <v>-1.9115449999999999E-2</v>
      </c>
      <c r="L19" s="3">
        <v>-2.3735050000000001E-2</v>
      </c>
      <c r="M19" s="3">
        <v>-2.916622E-2</v>
      </c>
      <c r="N19">
        <v>-2.8744700000000001E-2</v>
      </c>
      <c r="O19">
        <v>-2.9808999999999999E-2</v>
      </c>
      <c r="P19" s="3">
        <v>-2.717924E-2</v>
      </c>
      <c r="Q19" s="3">
        <v>-2.5826930000000001E-2</v>
      </c>
      <c r="R19" s="3">
        <v>-1.9912719999999998E-2</v>
      </c>
      <c r="S19" s="3">
        <v>-1.379824E-2</v>
      </c>
      <c r="T19" s="3">
        <v>-4.3139459999999999E-3</v>
      </c>
      <c r="U19" s="3">
        <v>1.0785579999999999E-2</v>
      </c>
      <c r="V19">
        <v>2.9244900000000001E-2</v>
      </c>
    </row>
    <row r="20" spans="1:22" x14ac:dyDescent="0.25">
      <c r="A20" t="s">
        <v>153</v>
      </c>
    </row>
    <row r="21" spans="1:22" x14ac:dyDescent="0.25">
      <c r="A21">
        <v>2183.027</v>
      </c>
      <c r="B21">
        <v>9116</v>
      </c>
      <c r="C21">
        <v>6742</v>
      </c>
      <c r="D21">
        <v>1</v>
      </c>
      <c r="E21">
        <v>1</v>
      </c>
      <c r="F21" t="s">
        <v>13</v>
      </c>
      <c r="G21" s="3">
        <v>4.7792429999999997E-2</v>
      </c>
      <c r="H21">
        <v>-0.1019125</v>
      </c>
      <c r="I21">
        <v>-0.1042781</v>
      </c>
      <c r="J21" s="3">
        <v>-9.4167230000000005E-2</v>
      </c>
      <c r="K21" s="3">
        <v>-8.5302829999999996E-2</v>
      </c>
      <c r="L21" s="3">
        <v>-5.9947969999999996E-3</v>
      </c>
      <c r="M21" s="3">
        <v>-7.8127379999999996E-2</v>
      </c>
      <c r="N21" s="3">
        <v>-6.8660739999999998E-2</v>
      </c>
      <c r="O21" s="3">
        <v>-6.3320639999999997E-2</v>
      </c>
      <c r="P21">
        <v>5.7880399999999999E-2</v>
      </c>
      <c r="Q21" s="3">
        <v>-5.195284E-2</v>
      </c>
      <c r="R21" s="3">
        <v>-4.5775410000000002E-2</v>
      </c>
      <c r="S21" s="3">
        <v>3.0107979999999999E-2</v>
      </c>
      <c r="T21" s="3">
        <v>-3.2876490000000001E-2</v>
      </c>
      <c r="U21" s="3">
        <v>-2.4772639999999999E-2</v>
      </c>
      <c r="V21" s="3">
        <v>-1.7523770000000001E-2</v>
      </c>
    </row>
    <row r="22" spans="1:22" x14ac:dyDescent="0.25">
      <c r="A22">
        <v>2183.0500000000002</v>
      </c>
      <c r="B22">
        <v>9116</v>
      </c>
      <c r="C22">
        <v>6744</v>
      </c>
      <c r="D22">
        <v>1</v>
      </c>
      <c r="E22">
        <v>1</v>
      </c>
      <c r="F22" t="s">
        <v>13</v>
      </c>
      <c r="G22" s="3">
        <v>-1.375198E-2</v>
      </c>
      <c r="H22" s="3">
        <v>-8.2907680000000004E-3</v>
      </c>
      <c r="I22" s="3">
        <v>-1.642418E-2</v>
      </c>
      <c r="J22" s="3">
        <v>-2.0297050000000001E-2</v>
      </c>
      <c r="K22">
        <v>-2.1282200000000001E-2</v>
      </c>
      <c r="L22" s="3">
        <v>-2.5698180000000001E-2</v>
      </c>
      <c r="M22" s="3">
        <v>-3.3845420000000001E-2</v>
      </c>
      <c r="N22" s="3">
        <v>-3.3851619999999999E-2</v>
      </c>
      <c r="O22" s="3">
        <v>-3.5471919999999997E-2</v>
      </c>
      <c r="P22" s="3">
        <v>-3.3608909999999999E-2</v>
      </c>
      <c r="Q22" s="3">
        <v>-3.3768180000000002E-2</v>
      </c>
      <c r="R22" s="3">
        <v>-2.911091E-2</v>
      </c>
      <c r="S22" s="3">
        <v>-2.3727890000000001E-2</v>
      </c>
      <c r="T22" s="3">
        <v>-1.6105649999999999E-2</v>
      </c>
      <c r="U22" s="3">
        <v>-2.5315279999999999E-3</v>
      </c>
      <c r="V22" s="3">
        <v>1.462221E-2</v>
      </c>
    </row>
    <row r="23" spans="1:22" x14ac:dyDescent="0.25">
      <c r="A23" t="s">
        <v>154</v>
      </c>
    </row>
    <row r="24" spans="1:22" x14ac:dyDescent="0.25">
      <c r="A24">
        <v>2192.5160000000001</v>
      </c>
      <c r="B24">
        <v>9116</v>
      </c>
      <c r="C24">
        <v>6742</v>
      </c>
      <c r="D24">
        <v>1</v>
      </c>
      <c r="E24">
        <v>1</v>
      </c>
      <c r="F24" t="s">
        <v>13</v>
      </c>
      <c r="G24" s="3">
        <v>6.0503479999999998E-2</v>
      </c>
      <c r="H24" s="3">
        <v>-7.1972369999999994E-2</v>
      </c>
      <c r="I24" s="3">
        <v>-8.1343170000000006E-2</v>
      </c>
      <c r="J24" s="3">
        <v>-7.8437809999999997E-2</v>
      </c>
      <c r="K24" s="3">
        <v>-7.3489189999999996E-2</v>
      </c>
      <c r="L24" s="3">
        <v>-5.3043370000000001E-3</v>
      </c>
      <c r="M24" s="3">
        <v>-7.0918079999999994E-2</v>
      </c>
      <c r="N24" s="3">
        <v>-6.2209609999999999E-2</v>
      </c>
      <c r="O24" s="3">
        <v>-5.7948109999999997E-2</v>
      </c>
      <c r="P24" s="3">
        <v>5.7361130000000003E-2</v>
      </c>
      <c r="Q24" s="3">
        <v>-4.7964569999999998E-2</v>
      </c>
      <c r="R24" s="3">
        <v>-4.1801449999999997E-2</v>
      </c>
      <c r="S24" s="3">
        <v>3.0993940000000001E-2</v>
      </c>
      <c r="T24" s="3">
        <v>-2.9591559999999999E-2</v>
      </c>
      <c r="U24" s="3">
        <v>-2.276707E-2</v>
      </c>
      <c r="V24" s="3">
        <v>-1.6077040000000001E-2</v>
      </c>
    </row>
    <row r="25" spans="1:22" x14ac:dyDescent="0.25">
      <c r="A25">
        <v>2192.5340000000001</v>
      </c>
      <c r="B25">
        <v>9116</v>
      </c>
      <c r="C25">
        <v>6744</v>
      </c>
      <c r="D25">
        <v>1</v>
      </c>
      <c r="E25">
        <v>1</v>
      </c>
      <c r="F25" t="s">
        <v>13</v>
      </c>
      <c r="G25" s="3">
        <v>-1.266289E-2</v>
      </c>
      <c r="H25" s="3">
        <v>-6.3195229999999996E-3</v>
      </c>
      <c r="I25" s="3">
        <v>-1.714802E-2</v>
      </c>
      <c r="J25" s="3">
        <v>-2.1853919999999999E-2</v>
      </c>
      <c r="K25">
        <v>-2.32687E-2</v>
      </c>
      <c r="L25" s="3">
        <v>-2.8021339999999999E-2</v>
      </c>
      <c r="M25" s="3">
        <v>-3.7312980000000003E-2</v>
      </c>
      <c r="N25" s="3">
        <v>-3.857708E-2</v>
      </c>
      <c r="O25" s="3">
        <v>-4.1564459999999998E-2</v>
      </c>
      <c r="P25" s="3">
        <v>-4.0588859999999997E-2</v>
      </c>
      <c r="Q25" s="3">
        <v>-4.1700840000000003E-2</v>
      </c>
      <c r="R25" s="3">
        <v>-3.8663860000000001E-2</v>
      </c>
      <c r="S25" s="3">
        <v>-3.4741880000000003E-2</v>
      </c>
      <c r="T25" s="3">
        <v>-2.916765E-2</v>
      </c>
      <c r="U25" s="3">
        <v>-1.840019E-2</v>
      </c>
      <c r="V25" s="3">
        <v>-3.9238930000000003E-3</v>
      </c>
    </row>
    <row r="26" spans="1:22" x14ac:dyDescent="0.25">
      <c r="A26" t="s">
        <v>155</v>
      </c>
    </row>
    <row r="27" spans="1:22" x14ac:dyDescent="0.25">
      <c r="A27">
        <v>2202.0909999999999</v>
      </c>
      <c r="B27">
        <v>9116</v>
      </c>
      <c r="C27">
        <v>6742</v>
      </c>
      <c r="D27">
        <v>1</v>
      </c>
      <c r="E27">
        <v>1</v>
      </c>
      <c r="F27" t="s">
        <v>13</v>
      </c>
      <c r="G27" s="3">
        <v>6.6849710000000007E-2</v>
      </c>
      <c r="H27" s="3">
        <v>-4.6535020000000003E-2</v>
      </c>
      <c r="I27" s="3">
        <v>-6.2062260000000001E-2</v>
      </c>
      <c r="J27">
        <v>-6.4764500000000003E-2</v>
      </c>
      <c r="K27" s="3">
        <v>-6.2189580000000001E-2</v>
      </c>
      <c r="L27" s="3">
        <v>-4.4403079999999996E-3</v>
      </c>
      <c r="M27" s="3">
        <v>-6.3410279999999999E-2</v>
      </c>
      <c r="N27" s="3">
        <v>-5.6448459999999999E-2</v>
      </c>
      <c r="O27" s="3">
        <v>-5.336428E-2</v>
      </c>
      <c r="P27" s="3">
        <v>5.7321549999999999E-2</v>
      </c>
      <c r="Q27" s="3">
        <v>-4.4905189999999998E-2</v>
      </c>
      <c r="R27" s="3">
        <v>-3.9267059999999999E-2</v>
      </c>
      <c r="S27" s="3">
        <v>3.0812260000000001E-2</v>
      </c>
      <c r="T27" s="3">
        <v>-3.132248E-2</v>
      </c>
      <c r="U27" s="3">
        <v>-2.098417E-2</v>
      </c>
      <c r="V27" s="3">
        <v>-1.5355590000000001E-2</v>
      </c>
    </row>
    <row r="28" spans="1:22" x14ac:dyDescent="0.25">
      <c r="A28">
        <v>2202.1120000000001</v>
      </c>
      <c r="B28">
        <v>9116</v>
      </c>
      <c r="C28">
        <v>6744</v>
      </c>
      <c r="D28">
        <v>1</v>
      </c>
      <c r="E28">
        <v>1</v>
      </c>
      <c r="F28" t="s">
        <v>13</v>
      </c>
      <c r="G28" s="3">
        <v>-1.284742E-2</v>
      </c>
      <c r="H28" s="3">
        <v>-4.708767E-3</v>
      </c>
      <c r="I28" s="3">
        <v>-1.6605379999999999E-2</v>
      </c>
      <c r="J28" s="3">
        <v>-2.2721290000000002E-2</v>
      </c>
      <c r="K28" s="3">
        <v>-2.579975E-2</v>
      </c>
      <c r="L28" s="3">
        <v>-3.0348779999999999E-2</v>
      </c>
      <c r="M28" s="3">
        <v>-4.1460509999999999E-2</v>
      </c>
      <c r="N28" s="3">
        <v>-4.3848039999999998E-2</v>
      </c>
      <c r="O28" s="3">
        <v>-4.6934129999999998E-2</v>
      </c>
      <c r="P28" s="3">
        <v>-4.665279E-2</v>
      </c>
      <c r="Q28" s="3">
        <v>-4.9635409999999998E-2</v>
      </c>
      <c r="R28" s="3">
        <v>-4.8044679999999999E-2</v>
      </c>
      <c r="S28" s="3">
        <v>-4.5224670000000002E-2</v>
      </c>
      <c r="T28" s="3">
        <v>-4.150438E-2</v>
      </c>
      <c r="U28" s="3">
        <v>-3.4631250000000002E-2</v>
      </c>
      <c r="V28" s="3">
        <v>-2.2802349999999999E-2</v>
      </c>
    </row>
    <row r="29" spans="1:22" x14ac:dyDescent="0.25">
      <c r="A29" t="s">
        <v>156</v>
      </c>
    </row>
    <row r="30" spans="1:22" x14ac:dyDescent="0.25">
      <c r="A30">
        <v>2211.018</v>
      </c>
      <c r="B30">
        <v>9116</v>
      </c>
      <c r="C30">
        <v>6742</v>
      </c>
      <c r="D30">
        <v>1</v>
      </c>
      <c r="E30">
        <v>1</v>
      </c>
      <c r="F30" t="s">
        <v>13</v>
      </c>
      <c r="G30" s="3">
        <v>6.8091390000000002E-2</v>
      </c>
      <c r="H30">
        <v>-2.4157999999999999E-2</v>
      </c>
      <c r="I30" s="3">
        <v>-4.3860910000000003E-2</v>
      </c>
      <c r="J30" s="3">
        <v>-5.1773550000000002E-2</v>
      </c>
      <c r="K30" s="3">
        <v>-5.2088740000000001E-2</v>
      </c>
      <c r="L30" s="3">
        <v>-4.1098590000000004E-3</v>
      </c>
      <c r="M30" s="3">
        <v>-5.6815619999999997E-2</v>
      </c>
      <c r="N30" s="3">
        <v>-5.1398279999999998E-2</v>
      </c>
      <c r="O30">
        <v>-4.8775199999999998E-2</v>
      </c>
      <c r="P30" s="3">
        <v>5.6649209999999998E-2</v>
      </c>
      <c r="Q30" s="3">
        <v>-4.2016030000000003E-2</v>
      </c>
      <c r="R30" s="3">
        <v>-3.7022109999999997E-2</v>
      </c>
      <c r="S30" s="3">
        <v>3.1162740000000001E-2</v>
      </c>
      <c r="T30" s="3">
        <v>-2.9937269999999998E-2</v>
      </c>
      <c r="U30">
        <v>-2.2605900000000002E-2</v>
      </c>
      <c r="V30" s="3">
        <v>-1.463413E-2</v>
      </c>
    </row>
    <row r="31" spans="1:22" x14ac:dyDescent="0.25">
      <c r="A31">
        <v>2211.0349999999999</v>
      </c>
      <c r="B31">
        <v>9116</v>
      </c>
      <c r="C31">
        <v>6744</v>
      </c>
      <c r="D31">
        <v>1</v>
      </c>
      <c r="E31">
        <v>1</v>
      </c>
      <c r="F31" t="s">
        <v>13</v>
      </c>
      <c r="G31" s="3">
        <v>-1.1216159999999999E-2</v>
      </c>
      <c r="H31" s="3">
        <v>-3.4041399999999999E-3</v>
      </c>
      <c r="I31" s="3">
        <v>-1.6247270000000001E-2</v>
      </c>
      <c r="J31" s="3">
        <v>-2.0987510000000001E-2</v>
      </c>
      <c r="K31" s="3">
        <v>-2.6522159999999999E-2</v>
      </c>
      <c r="L31" s="3">
        <v>-3.1599519999999999E-2</v>
      </c>
      <c r="M31" s="3">
        <v>-4.475498E-2</v>
      </c>
      <c r="N31" s="3">
        <v>-4.8392770000000002E-2</v>
      </c>
      <c r="O31" s="3">
        <v>-5.2237510000000001E-2</v>
      </c>
      <c r="P31" s="3">
        <v>-5.3262709999999998E-2</v>
      </c>
      <c r="Q31" s="3">
        <v>-5.684662E-2</v>
      </c>
      <c r="R31" s="3">
        <v>-5.7778839999999998E-2</v>
      </c>
      <c r="S31" s="3">
        <v>-5.6060310000000002E-2</v>
      </c>
      <c r="T31">
        <v>-5.4751399999999999E-2</v>
      </c>
      <c r="U31" s="3">
        <v>-5.1417829999999998E-2</v>
      </c>
      <c r="V31" s="3">
        <v>-4.3664929999999998E-2</v>
      </c>
    </row>
    <row r="32" spans="1:22" x14ac:dyDescent="0.25">
      <c r="A32" t="s">
        <v>157</v>
      </c>
    </row>
    <row r="33" spans="1:22" x14ac:dyDescent="0.25">
      <c r="A33">
        <v>2221.087</v>
      </c>
      <c r="B33">
        <v>9116</v>
      </c>
      <c r="C33">
        <v>6742</v>
      </c>
      <c r="D33">
        <v>1</v>
      </c>
      <c r="E33">
        <v>1</v>
      </c>
      <c r="F33" t="s">
        <v>13</v>
      </c>
      <c r="G33" s="3">
        <v>6.6326140000000006E-2</v>
      </c>
      <c r="H33" s="3">
        <v>-3.3192629999999998E-3</v>
      </c>
      <c r="I33">
        <v>-2.6350499999999999E-2</v>
      </c>
      <c r="J33" s="3">
        <v>-3.7923810000000002E-2</v>
      </c>
      <c r="K33" s="3">
        <v>-4.0445330000000002E-2</v>
      </c>
      <c r="L33" s="3">
        <v>-3.418922E-3</v>
      </c>
      <c r="M33" s="3">
        <v>-4.925442E-2</v>
      </c>
      <c r="N33">
        <v>-4.4598100000000002E-2</v>
      </c>
      <c r="O33" s="3">
        <v>-4.340219E-2</v>
      </c>
      <c r="P33" s="3">
        <v>5.6129459999999999E-2</v>
      </c>
      <c r="Q33" s="3">
        <v>-3.8894650000000003E-2</v>
      </c>
      <c r="R33" s="3">
        <v>-3.3912659999999997E-2</v>
      </c>
      <c r="S33" s="3">
        <v>3.1162740000000001E-2</v>
      </c>
      <c r="T33" s="3">
        <v>-2.7344230000000001E-2</v>
      </c>
      <c r="U33" s="3">
        <v>-2.4246690000000001E-2</v>
      </c>
      <c r="V33" s="3">
        <v>-1.3368130000000001E-2</v>
      </c>
    </row>
    <row r="34" spans="1:22" x14ac:dyDescent="0.25">
      <c r="A34">
        <v>2221.1060000000002</v>
      </c>
      <c r="B34">
        <v>9116</v>
      </c>
      <c r="C34">
        <v>6744</v>
      </c>
      <c r="D34">
        <v>1</v>
      </c>
      <c r="E34">
        <v>1</v>
      </c>
      <c r="F34" t="s">
        <v>13</v>
      </c>
      <c r="G34" s="3">
        <v>-1.067162E-2</v>
      </c>
      <c r="H34" s="3">
        <v>-3.5829540000000002E-3</v>
      </c>
      <c r="I34" s="3">
        <v>-1.642799E-2</v>
      </c>
      <c r="J34" s="3">
        <v>-2.2025110000000001E-2</v>
      </c>
      <c r="K34">
        <v>-2.4715899999999999E-2</v>
      </c>
      <c r="L34" s="3">
        <v>-3.3029559999999999E-2</v>
      </c>
      <c r="M34" s="3">
        <v>-4.7874930000000003E-2</v>
      </c>
      <c r="N34" s="3">
        <v>-5.2390579999999999E-2</v>
      </c>
      <c r="O34">
        <v>-5.6717400000000001E-2</v>
      </c>
      <c r="P34" s="3">
        <v>-5.8956620000000001E-2</v>
      </c>
      <c r="Q34" s="3">
        <v>-6.387806E-2</v>
      </c>
      <c r="R34" s="3">
        <v>-6.6791059999999999E-2</v>
      </c>
      <c r="S34">
        <v>-6.67243E-2</v>
      </c>
      <c r="T34" s="3">
        <v>-6.7631239999999995E-2</v>
      </c>
      <c r="U34" s="3">
        <v>-6.8927290000000002E-2</v>
      </c>
      <c r="V34" s="3">
        <v>-6.6668030000000003E-2</v>
      </c>
    </row>
    <row r="35" spans="1:22" x14ac:dyDescent="0.25">
      <c r="A35" t="s">
        <v>158</v>
      </c>
    </row>
    <row r="36" spans="1:22" x14ac:dyDescent="0.25">
      <c r="A36">
        <v>2229.942</v>
      </c>
      <c r="B36">
        <v>9116</v>
      </c>
      <c r="C36">
        <v>6742</v>
      </c>
      <c r="D36">
        <v>1</v>
      </c>
      <c r="E36">
        <v>1</v>
      </c>
      <c r="F36" t="s">
        <v>13</v>
      </c>
      <c r="G36" s="3">
        <v>5.8549879999999999E-2</v>
      </c>
      <c r="H36" s="3">
        <v>1.5666960000000001E-2</v>
      </c>
      <c r="I36" s="3">
        <v>-9.3736649999999998E-3</v>
      </c>
      <c r="J36" s="3">
        <v>-2.474117E-2</v>
      </c>
      <c r="K36" s="3">
        <v>-2.9826640000000001E-2</v>
      </c>
      <c r="L36" s="3">
        <v>-2.5281909999999999E-3</v>
      </c>
      <c r="M36" s="3">
        <v>-4.116964E-2</v>
      </c>
      <c r="N36" s="3">
        <v>-3.832054E-2</v>
      </c>
      <c r="O36" s="3">
        <v>-3.8207530000000003E-2</v>
      </c>
      <c r="P36" s="3">
        <v>5.630255E-2</v>
      </c>
      <c r="Q36" s="3">
        <v>-3.5140989999999997E-2</v>
      </c>
      <c r="R36" s="3">
        <v>-3.126574E-2</v>
      </c>
      <c r="S36" s="3">
        <v>3.1351089999999998E-2</v>
      </c>
      <c r="T36" s="3">
        <v>-2.5787830000000001E-2</v>
      </c>
      <c r="U36" s="3">
        <v>-2.1511079999999998E-2</v>
      </c>
      <c r="V36" s="3">
        <v>-1.5607360000000001E-2</v>
      </c>
    </row>
    <row r="37" spans="1:22" x14ac:dyDescent="0.25">
      <c r="A37">
        <v>2229.9659999999999</v>
      </c>
      <c r="B37">
        <v>9116</v>
      </c>
      <c r="C37">
        <v>6744</v>
      </c>
      <c r="D37">
        <v>1</v>
      </c>
      <c r="E37">
        <v>1</v>
      </c>
      <c r="F37" t="s">
        <v>13</v>
      </c>
      <c r="G37" s="3">
        <v>-1.0852809999999999E-2</v>
      </c>
      <c r="H37" s="3">
        <v>-3.8909909999999999E-3</v>
      </c>
      <c r="I37" s="3">
        <v>-1.661205E-2</v>
      </c>
      <c r="J37" s="3">
        <v>-2.254105E-2</v>
      </c>
      <c r="K37" s="3">
        <v>-2.6164050000000001E-2</v>
      </c>
      <c r="L37" s="3">
        <v>-3.3569340000000003E-2</v>
      </c>
      <c r="M37" s="3">
        <v>-5.1329609999999998E-2</v>
      </c>
      <c r="N37">
        <v>-5.7308199999999997E-2</v>
      </c>
      <c r="O37" s="3">
        <v>-6.208992E-2</v>
      </c>
      <c r="P37" s="3">
        <v>-6.4469810000000002E-2</v>
      </c>
      <c r="Q37" s="3">
        <v>-7.1110729999999997E-2</v>
      </c>
      <c r="R37" s="3">
        <v>-7.6336860000000006E-2</v>
      </c>
      <c r="S37" s="3">
        <v>-7.7905650000000007E-2</v>
      </c>
      <c r="T37" s="3">
        <v>-8.1419939999999996E-2</v>
      </c>
      <c r="U37">
        <v>-8.7709899999999993E-2</v>
      </c>
      <c r="V37">
        <v>-9.1823100000000005E-2</v>
      </c>
    </row>
    <row r="38" spans="1:22" x14ac:dyDescent="0.25">
      <c r="A38" t="s">
        <v>159</v>
      </c>
    </row>
    <row r="39" spans="1:22" x14ac:dyDescent="0.25">
      <c r="A39">
        <v>2240.2190000000001</v>
      </c>
      <c r="B39">
        <v>9116</v>
      </c>
      <c r="C39">
        <v>6742</v>
      </c>
      <c r="D39">
        <v>1</v>
      </c>
      <c r="E39">
        <v>1</v>
      </c>
      <c r="F39" t="s">
        <v>13</v>
      </c>
      <c r="G39" s="3">
        <v>4.3576719999999999E-2</v>
      </c>
      <c r="H39">
        <v>3.2300000000000002E-2</v>
      </c>
      <c r="I39" s="3">
        <v>6.4482690000000004E-3</v>
      </c>
      <c r="J39" s="3">
        <v>-1.154613E-2</v>
      </c>
      <c r="K39" s="3">
        <v>-1.8351079999999999E-2</v>
      </c>
      <c r="L39" s="3">
        <v>-2.1710399999999999E-3</v>
      </c>
      <c r="M39" s="3">
        <v>-3.2639979999999999E-2</v>
      </c>
      <c r="N39" s="3">
        <v>-3.1014440000000001E-2</v>
      </c>
      <c r="O39" s="3">
        <v>-3.1625750000000001E-2</v>
      </c>
      <c r="P39" s="3">
        <v>5.514956E-2</v>
      </c>
      <c r="Q39" s="3">
        <v>-3.0691619999999999E-2</v>
      </c>
      <c r="R39" s="3">
        <v>-2.821684E-2</v>
      </c>
      <c r="S39">
        <v>3.2242300000000002E-2</v>
      </c>
      <c r="T39">
        <v>-2.2846700000000001E-2</v>
      </c>
      <c r="U39">
        <v>-1.9285199999999999E-2</v>
      </c>
      <c r="V39" s="3">
        <v>-1.657867E-2</v>
      </c>
    </row>
    <row r="40" spans="1:22" x14ac:dyDescent="0.25">
      <c r="A40">
        <v>2240.2379999999998</v>
      </c>
      <c r="B40">
        <v>9116</v>
      </c>
      <c r="C40">
        <v>6744</v>
      </c>
      <c r="D40">
        <v>1</v>
      </c>
      <c r="E40">
        <v>1</v>
      </c>
      <c r="F40" t="s">
        <v>13</v>
      </c>
      <c r="G40" s="3">
        <v>-1.2124060000000001E-2</v>
      </c>
      <c r="H40" s="3">
        <v>-5.1465030000000002E-3</v>
      </c>
      <c r="I40" s="3">
        <v>-1.606894E-2</v>
      </c>
      <c r="J40" s="3">
        <v>-2.3057939999999999E-2</v>
      </c>
      <c r="K40" s="3">
        <v>-2.7789589999999999E-2</v>
      </c>
      <c r="L40" s="3">
        <v>-3.6608219999999997E-2</v>
      </c>
      <c r="M40" s="3">
        <v>-5.5663110000000002E-2</v>
      </c>
      <c r="N40" s="3">
        <v>-6.1306479999999997E-2</v>
      </c>
      <c r="O40" s="3">
        <v>-6.703568E-2</v>
      </c>
      <c r="P40" s="3">
        <v>-7.0899009999999998E-2</v>
      </c>
      <c r="Q40" s="3">
        <v>-7.8854560000000004E-2</v>
      </c>
      <c r="R40" s="3">
        <v>-8.6266519999999999E-2</v>
      </c>
      <c r="S40" s="3">
        <v>-9.010696E-2</v>
      </c>
      <c r="T40">
        <v>-9.7208500000000003E-2</v>
      </c>
      <c r="U40">
        <v>-0.1088667</v>
      </c>
      <c r="V40">
        <v>-0.1205039</v>
      </c>
    </row>
    <row r="41" spans="1:22" x14ac:dyDescent="0.25">
      <c r="A41" t="s">
        <v>160</v>
      </c>
    </row>
    <row r="42" spans="1:22" x14ac:dyDescent="0.25">
      <c r="A42">
        <v>2249.4299999999998</v>
      </c>
      <c r="B42">
        <v>9116</v>
      </c>
      <c r="C42">
        <v>6742</v>
      </c>
      <c r="D42">
        <v>1</v>
      </c>
      <c r="E42">
        <v>1</v>
      </c>
      <c r="F42" t="s">
        <v>13</v>
      </c>
      <c r="G42" s="3">
        <v>2.0094870000000001E-2</v>
      </c>
      <c r="H42" s="3">
        <v>4.5786380000000002E-2</v>
      </c>
      <c r="I42" s="3">
        <v>2.1333689999999999E-2</v>
      </c>
      <c r="J42" s="3">
        <v>1.280308E-3</v>
      </c>
      <c r="K42" s="3">
        <v>-6.8778989999999998E-3</v>
      </c>
      <c r="L42" s="3">
        <v>-1.307964E-3</v>
      </c>
      <c r="M42" s="3">
        <v>-2.4198529999999999E-2</v>
      </c>
      <c r="N42" s="3">
        <v>-2.3516180000000001E-2</v>
      </c>
      <c r="O42" s="3">
        <v>-2.538586E-2</v>
      </c>
      <c r="P42" s="3">
        <v>5.5323120000000003E-2</v>
      </c>
      <c r="Q42" s="3">
        <v>-2.6182649999999998E-2</v>
      </c>
      <c r="R42" s="3">
        <v>-2.3896690000000002E-2</v>
      </c>
      <c r="S42" s="3">
        <v>3.2774449999999997E-2</v>
      </c>
      <c r="T42">
        <v>-2.0252699999999998E-2</v>
      </c>
      <c r="U42" s="3">
        <v>-1.6003130000000001E-2</v>
      </c>
      <c r="V42" s="3">
        <v>-1.3684750000000001E-2</v>
      </c>
    </row>
    <row r="43" spans="1:22" x14ac:dyDescent="0.25">
      <c r="A43">
        <v>2249.4520000000002</v>
      </c>
      <c r="B43">
        <v>9116</v>
      </c>
      <c r="C43">
        <v>6744</v>
      </c>
      <c r="D43">
        <v>1</v>
      </c>
      <c r="E43">
        <v>1</v>
      </c>
      <c r="F43" t="s">
        <v>13</v>
      </c>
      <c r="G43" s="3">
        <v>-1.230526E-2</v>
      </c>
      <c r="H43" s="3">
        <v>-6.4010619999999999E-3</v>
      </c>
      <c r="I43" s="3">
        <v>-1.6974449999999999E-2</v>
      </c>
      <c r="J43" s="3">
        <v>-2.3576739999999999E-2</v>
      </c>
      <c r="K43">
        <v>-2.8511999999999999E-2</v>
      </c>
      <c r="L43" s="3">
        <v>-3.8038250000000003E-2</v>
      </c>
      <c r="M43" s="3">
        <v>-5.7223320000000001E-2</v>
      </c>
      <c r="N43" s="3">
        <v>-6.6577430000000007E-2</v>
      </c>
      <c r="O43" s="3">
        <v>-7.2770119999999994E-2</v>
      </c>
      <c r="P43" s="3">
        <v>-7.787848E-2</v>
      </c>
      <c r="Q43" s="3">
        <v>-8.6966989999999994E-2</v>
      </c>
      <c r="R43" s="3">
        <v>-9.6900940000000005E-2</v>
      </c>
      <c r="S43">
        <v>-0.1021686</v>
      </c>
      <c r="T43">
        <v>-0.1133533</v>
      </c>
      <c r="U43">
        <v>-0.13148070000000001</v>
      </c>
      <c r="V43">
        <v>-0.15170620000000001</v>
      </c>
    </row>
    <row r="44" spans="1:22" x14ac:dyDescent="0.25">
      <c r="A44" t="s">
        <v>161</v>
      </c>
    </row>
    <row r="45" spans="1:22" x14ac:dyDescent="0.25">
      <c r="A45">
        <v>2259.4209999999998</v>
      </c>
      <c r="B45">
        <v>9116</v>
      </c>
      <c r="C45">
        <v>6742</v>
      </c>
      <c r="D45">
        <v>1</v>
      </c>
      <c r="E45">
        <v>1</v>
      </c>
      <c r="F45" t="s">
        <v>13</v>
      </c>
      <c r="G45" s="3">
        <v>-9.7413059999999999E-3</v>
      </c>
      <c r="H45" s="3">
        <v>5.4635049999999998E-2</v>
      </c>
      <c r="I45" s="3">
        <v>3.3272740000000002E-2</v>
      </c>
      <c r="J45">
        <v>1.2718200000000001E-2</v>
      </c>
      <c r="K45" s="3">
        <v>2.7160639999999998E-3</v>
      </c>
      <c r="L45" s="3">
        <v>-7.8916550000000005E-4</v>
      </c>
      <c r="M45" s="3">
        <v>-1.6288279999999999E-2</v>
      </c>
      <c r="N45" s="3">
        <v>-1.6535279999999999E-2</v>
      </c>
      <c r="O45" s="3">
        <v>-1.854134E-2</v>
      </c>
      <c r="P45">
        <v>5.4629799999999999E-2</v>
      </c>
      <c r="Q45" s="3">
        <v>-2.1790980000000001E-2</v>
      </c>
      <c r="R45" s="3">
        <v>-1.992464E-2</v>
      </c>
      <c r="S45" s="3">
        <v>3.2069680000000003E-2</v>
      </c>
      <c r="T45" s="3">
        <v>-1.748419E-2</v>
      </c>
      <c r="U45" s="3">
        <v>-1.343107E-2</v>
      </c>
      <c r="V45" s="3">
        <v>-1.068211E-2</v>
      </c>
    </row>
    <row r="46" spans="1:22" x14ac:dyDescent="0.25">
      <c r="A46">
        <v>2259.4450000000002</v>
      </c>
      <c r="B46">
        <v>9116</v>
      </c>
      <c r="C46">
        <v>6744</v>
      </c>
      <c r="D46">
        <v>1</v>
      </c>
      <c r="E46">
        <v>1</v>
      </c>
      <c r="F46" t="s">
        <v>13</v>
      </c>
      <c r="G46" s="3">
        <v>-9.5877649999999998E-3</v>
      </c>
      <c r="H46" s="3">
        <v>-9.2668530000000002E-3</v>
      </c>
      <c r="I46">
        <v>-1.7702099999999998E-2</v>
      </c>
      <c r="J46" s="3">
        <v>-2.444267E-2</v>
      </c>
      <c r="K46" s="3">
        <v>-2.9598240000000001E-2</v>
      </c>
      <c r="L46" s="3">
        <v>-3.8934709999999997E-2</v>
      </c>
      <c r="M46" s="3">
        <v>-6.1903949999999999E-2</v>
      </c>
      <c r="N46" s="3">
        <v>-6.8405629999999995E-2</v>
      </c>
      <c r="O46" s="3">
        <v>-7.8142169999999997E-2</v>
      </c>
      <c r="P46" s="3">
        <v>-8.5963730000000002E-2</v>
      </c>
      <c r="Q46" s="3">
        <v>-9.5270160000000007E-2</v>
      </c>
      <c r="R46">
        <v>-0.1077166</v>
      </c>
      <c r="S46">
        <v>-0.1145468</v>
      </c>
      <c r="T46">
        <v>-0.12912850000000001</v>
      </c>
      <c r="U46">
        <v>-0.15391250000000001</v>
      </c>
      <c r="V46">
        <v>-0.1830831</v>
      </c>
    </row>
    <row r="47" spans="1:22" x14ac:dyDescent="0.25">
      <c r="A47" t="s">
        <v>162</v>
      </c>
    </row>
    <row r="48" spans="1:22" x14ac:dyDescent="0.25">
      <c r="A48">
        <v>2268.5349999999999</v>
      </c>
      <c r="B48">
        <v>9116</v>
      </c>
      <c r="C48">
        <v>6742</v>
      </c>
      <c r="D48">
        <v>1</v>
      </c>
      <c r="E48">
        <v>1</v>
      </c>
      <c r="F48" t="s">
        <v>13</v>
      </c>
      <c r="G48">
        <v>-3.8698200000000002E-2</v>
      </c>
      <c r="H48" s="3">
        <v>6.0298919999999999E-2</v>
      </c>
      <c r="I48" s="3">
        <v>4.1987419999999998E-2</v>
      </c>
      <c r="J48" s="3">
        <v>2.1283630000000001E-2</v>
      </c>
      <c r="K48">
        <v>1.0764599999999999E-2</v>
      </c>
      <c r="L48" s="3">
        <v>-2.7132030000000002E-4</v>
      </c>
      <c r="M48" s="3">
        <v>-9.788036E-3</v>
      </c>
      <c r="N48" s="3">
        <v>-1.1476989999999999E-2</v>
      </c>
      <c r="O48" s="3">
        <v>-1.4480109999999999E-2</v>
      </c>
      <c r="P48" s="3">
        <v>5.4610249999999999E-2</v>
      </c>
      <c r="Q48" s="3">
        <v>-1.8963810000000001E-2</v>
      </c>
      <c r="R48" s="3">
        <v>-1.8256189999999999E-2</v>
      </c>
      <c r="S48" s="3">
        <v>3.2601360000000003E-2</v>
      </c>
      <c r="T48" s="3">
        <v>-1.6619680000000001E-2</v>
      </c>
      <c r="U48" s="3">
        <v>-1.3046739999999999E-2</v>
      </c>
      <c r="V48" s="3">
        <v>-1.043558E-2</v>
      </c>
    </row>
    <row r="49" spans="1:22" x14ac:dyDescent="0.25">
      <c r="A49">
        <v>2268.556</v>
      </c>
      <c r="B49">
        <v>9116</v>
      </c>
      <c r="C49">
        <v>6744</v>
      </c>
      <c r="D49">
        <v>1</v>
      </c>
      <c r="E49">
        <v>1</v>
      </c>
      <c r="F49" t="s">
        <v>13</v>
      </c>
      <c r="G49" s="3">
        <v>-9.0374949999999996E-3</v>
      </c>
      <c r="H49" s="3">
        <v>-7.9617500000000001E-3</v>
      </c>
      <c r="I49" s="3">
        <v>-1.607275E-2</v>
      </c>
      <c r="J49" s="3">
        <v>-2.270985E-2</v>
      </c>
      <c r="K49" s="3">
        <v>-2.833366E-2</v>
      </c>
      <c r="L49" s="3">
        <v>-3.8398740000000001E-2</v>
      </c>
      <c r="M49">
        <v>-6.3972000000000001E-2</v>
      </c>
      <c r="N49" s="3">
        <v>-7.3131559999999998E-2</v>
      </c>
      <c r="O49" s="3">
        <v>-8.2664970000000004E-2</v>
      </c>
      <c r="P49" s="3">
        <v>-8.8902469999999997E-2</v>
      </c>
      <c r="Q49" s="3">
        <v>-9.8697660000000006E-2</v>
      </c>
      <c r="R49">
        <v>-0.1190729</v>
      </c>
      <c r="S49">
        <v>-0.12712570000000001</v>
      </c>
      <c r="T49">
        <v>-0.14419360000000001</v>
      </c>
      <c r="U49">
        <v>-0.17307139999999999</v>
      </c>
      <c r="V49">
        <v>-0.2078624</v>
      </c>
    </row>
    <row r="50" spans="1:22" x14ac:dyDescent="0.25">
      <c r="A50" t="s">
        <v>163</v>
      </c>
    </row>
    <row r="51" spans="1:22" x14ac:dyDescent="0.25">
      <c r="A51">
        <v>2277.8530000000001</v>
      </c>
      <c r="B51">
        <v>9116</v>
      </c>
      <c r="C51">
        <v>6742</v>
      </c>
      <c r="D51">
        <v>1</v>
      </c>
      <c r="E51">
        <v>1</v>
      </c>
      <c r="F51" t="s">
        <v>13</v>
      </c>
      <c r="G51" s="3">
        <v>-6.9765090000000002E-2</v>
      </c>
      <c r="H51" s="3">
        <v>6.2576290000000007E-2</v>
      </c>
      <c r="I51" s="3">
        <v>4.8117159999999999E-2</v>
      </c>
      <c r="J51">
        <v>2.7954099999999999E-2</v>
      </c>
      <c r="K51" s="3">
        <v>1.675892E-2</v>
      </c>
      <c r="L51" s="3">
        <v>7.3909759999999999E-5</v>
      </c>
      <c r="M51" s="3">
        <v>-4.5113560000000002E-3</v>
      </c>
      <c r="N51" s="3">
        <v>-6.768703E-3</v>
      </c>
      <c r="O51">
        <v>-1.04928E-2</v>
      </c>
      <c r="P51" s="3">
        <v>5.3744319999999998E-2</v>
      </c>
      <c r="Q51" s="3">
        <v>-1.6016010000000001E-2</v>
      </c>
      <c r="R51" s="3">
        <v>-1.5836719999999999E-2</v>
      </c>
      <c r="S51" s="3">
        <v>3.3310890000000003E-2</v>
      </c>
      <c r="T51" s="3">
        <v>-1.5755180000000001E-2</v>
      </c>
      <c r="U51" s="3">
        <v>-1.286411E-2</v>
      </c>
      <c r="V51" s="3">
        <v>-1.097822E-2</v>
      </c>
    </row>
    <row r="52" spans="1:22" x14ac:dyDescent="0.25">
      <c r="A52">
        <v>2277.8760000000002</v>
      </c>
      <c r="B52">
        <v>9116</v>
      </c>
      <c r="C52">
        <v>6744</v>
      </c>
      <c r="D52">
        <v>1</v>
      </c>
      <c r="E52">
        <v>1</v>
      </c>
      <c r="F52" t="s">
        <v>13</v>
      </c>
      <c r="G52" s="3">
        <v>-1.012659E-2</v>
      </c>
      <c r="H52" s="3">
        <v>-9.5748900000000008E-3</v>
      </c>
      <c r="I52" s="3">
        <v>-1.5167709999999999E-2</v>
      </c>
      <c r="J52" s="3">
        <v>-2.167177E-2</v>
      </c>
      <c r="K52" s="3">
        <v>-2.8152940000000001E-2</v>
      </c>
      <c r="L52" s="3">
        <v>-3.8398740000000001E-2</v>
      </c>
      <c r="M52" s="3">
        <v>-6.5186019999999997E-2</v>
      </c>
      <c r="N52" s="3">
        <v>-7.6584340000000001E-2</v>
      </c>
      <c r="O52" s="3">
        <v>-8.5531709999999997E-2</v>
      </c>
      <c r="P52" s="3">
        <v>-9.3494419999999995E-2</v>
      </c>
      <c r="Q52">
        <v>-0.1071706</v>
      </c>
      <c r="R52">
        <v>-0.11745070000000001</v>
      </c>
      <c r="S52">
        <v>-0.14845230000000001</v>
      </c>
      <c r="T52">
        <v>-0.1681376</v>
      </c>
      <c r="U52">
        <v>-0.19076009999999999</v>
      </c>
      <c r="V52">
        <v>-0.23228499999999999</v>
      </c>
    </row>
    <row r="53" spans="1:22" x14ac:dyDescent="0.25">
      <c r="A53" t="s">
        <v>164</v>
      </c>
    </row>
    <row r="54" spans="1:22" x14ac:dyDescent="0.25">
      <c r="A54">
        <v>2287.491</v>
      </c>
      <c r="B54">
        <v>9116</v>
      </c>
      <c r="C54">
        <v>6742</v>
      </c>
      <c r="D54">
        <v>1</v>
      </c>
      <c r="E54">
        <v>1</v>
      </c>
      <c r="F54" t="s">
        <v>13</v>
      </c>
      <c r="G54">
        <v>-0.10576530000000001</v>
      </c>
      <c r="H54">
        <v>6.3129900000000003E-2</v>
      </c>
      <c r="I54" s="3">
        <v>5.3618430000000002E-2</v>
      </c>
      <c r="J54" s="3">
        <v>3.4319879999999997E-2</v>
      </c>
      <c r="K54" s="3">
        <v>2.2585870000000001E-2</v>
      </c>
      <c r="L54" s="3">
        <v>4.4775009999999999E-4</v>
      </c>
      <c r="M54" s="3">
        <v>4.5967099999999998E-4</v>
      </c>
      <c r="N54" s="3">
        <v>-2.7627939999999998E-3</v>
      </c>
      <c r="O54" s="3">
        <v>-6.5093039999999996E-3</v>
      </c>
      <c r="P54" s="3">
        <v>5.4304119999999997E-2</v>
      </c>
      <c r="Q54" s="3">
        <v>-1.3470650000000001E-2</v>
      </c>
      <c r="R54" s="3">
        <v>-1.376486E-2</v>
      </c>
      <c r="S54" s="3">
        <v>3.3493040000000002E-2</v>
      </c>
      <c r="T54" s="3">
        <v>-1.488781E-2</v>
      </c>
      <c r="U54" s="3">
        <v>-1.266193E-2</v>
      </c>
      <c r="V54" s="3">
        <v>-1.0934350000000001E-2</v>
      </c>
    </row>
    <row r="55" spans="1:22" x14ac:dyDescent="0.25">
      <c r="A55">
        <v>2287.5100000000002</v>
      </c>
      <c r="B55">
        <v>9116</v>
      </c>
      <c r="C55">
        <v>6744</v>
      </c>
      <c r="D55">
        <v>1</v>
      </c>
      <c r="E55">
        <v>1</v>
      </c>
      <c r="F55" t="s">
        <v>13</v>
      </c>
      <c r="G55" s="3">
        <v>-1.122189E-2</v>
      </c>
      <c r="H55" s="3">
        <v>-1.0647770000000001E-2</v>
      </c>
      <c r="I55" s="3">
        <v>-1.426506E-2</v>
      </c>
      <c r="J55" s="3">
        <v>-2.0635130000000002E-2</v>
      </c>
      <c r="K55" s="3">
        <v>-2.725267E-2</v>
      </c>
      <c r="L55" s="3">
        <v>-3.7147050000000001E-2</v>
      </c>
      <c r="M55">
        <v>-6.6561700000000001E-2</v>
      </c>
      <c r="N55" s="3">
        <v>-7.8776840000000001E-2</v>
      </c>
      <c r="O55" s="3">
        <v>-8.8756559999999998E-2</v>
      </c>
      <c r="P55" s="3">
        <v>-9.8086359999999997E-2</v>
      </c>
      <c r="Q55">
        <v>-0.1131201</v>
      </c>
      <c r="R55">
        <v>-0.127914</v>
      </c>
      <c r="S55">
        <v>-0.12642239999999999</v>
      </c>
      <c r="T55">
        <v>-0.19951730000000001</v>
      </c>
      <c r="U55">
        <v>-0.2161083</v>
      </c>
      <c r="V55">
        <v>-0.25528190000000001</v>
      </c>
    </row>
    <row r="56" spans="1:22" x14ac:dyDescent="0.25">
      <c r="A56" t="s">
        <v>165</v>
      </c>
    </row>
    <row r="57" spans="1:22" x14ac:dyDescent="0.25">
      <c r="A57">
        <v>2297.3760000000002</v>
      </c>
      <c r="B57">
        <v>9116</v>
      </c>
      <c r="C57">
        <v>6742</v>
      </c>
      <c r="D57">
        <v>1</v>
      </c>
      <c r="E57">
        <v>1</v>
      </c>
      <c r="F57" t="s">
        <v>13</v>
      </c>
      <c r="G57">
        <v>-0.1438894</v>
      </c>
      <c r="H57">
        <v>6.2954899999999994E-2</v>
      </c>
      <c r="I57" s="3">
        <v>5.7154660000000003E-2</v>
      </c>
      <c r="J57">
        <v>4.0133000000000002E-2</v>
      </c>
      <c r="K57" s="3">
        <v>2.8408530000000001E-2</v>
      </c>
      <c r="L57" s="3">
        <v>9.6559520000000004E-4</v>
      </c>
      <c r="M57" s="3">
        <v>5.3801539999999998E-3</v>
      </c>
      <c r="N57" s="3">
        <v>1.941681E-3</v>
      </c>
      <c r="O57" s="3">
        <v>-2.5200840000000001E-3</v>
      </c>
      <c r="P57" s="3">
        <v>5.3091529999999998E-2</v>
      </c>
      <c r="Q57" s="3">
        <v>-1.0292050000000001E-2</v>
      </c>
      <c r="R57" s="3">
        <v>-1.2038709999999999E-2</v>
      </c>
      <c r="S57" s="3">
        <v>3.3669949999999997E-2</v>
      </c>
      <c r="T57" s="3">
        <v>-1.3674739999999999E-2</v>
      </c>
      <c r="U57" s="3">
        <v>-1.229763E-2</v>
      </c>
      <c r="V57" s="3">
        <v>-1.1476989999999999E-2</v>
      </c>
    </row>
    <row r="58" spans="1:22" x14ac:dyDescent="0.25">
      <c r="A58">
        <v>2297.3980000000001</v>
      </c>
      <c r="B58">
        <v>9116</v>
      </c>
      <c r="C58">
        <v>6744</v>
      </c>
      <c r="D58">
        <v>1</v>
      </c>
      <c r="E58">
        <v>1</v>
      </c>
      <c r="F58" t="s">
        <v>13</v>
      </c>
      <c r="G58" s="3">
        <v>-1.267719E-2</v>
      </c>
      <c r="H58" s="3">
        <v>-1.2029649999999999E-2</v>
      </c>
      <c r="I58">
        <v>-1.48139E-2</v>
      </c>
      <c r="J58" s="3">
        <v>-2.0284650000000001E-2</v>
      </c>
      <c r="K58" s="3">
        <v>-2.6891229999999999E-2</v>
      </c>
      <c r="L58" s="3">
        <v>-3.7150860000000001E-2</v>
      </c>
      <c r="M58" s="3">
        <v>-6.8469520000000006E-2</v>
      </c>
      <c r="N58" s="3">
        <v>-8.1139559999999999E-2</v>
      </c>
      <c r="O58" s="3">
        <v>-9.2337130000000003E-2</v>
      </c>
      <c r="P58">
        <v>-0.1023149</v>
      </c>
      <c r="Q58">
        <v>-0.11908249999999999</v>
      </c>
      <c r="R58">
        <v>-0.13801859999999999</v>
      </c>
      <c r="S58">
        <v>-0.13705829999999999</v>
      </c>
      <c r="T58">
        <v>-0.23217109999999999</v>
      </c>
      <c r="U58">
        <v>-0.2400098</v>
      </c>
      <c r="V58">
        <v>-0.27025320000000003</v>
      </c>
    </row>
    <row r="59" spans="1:22" x14ac:dyDescent="0.25">
      <c r="A59" t="s">
        <v>166</v>
      </c>
    </row>
    <row r="60" spans="1:22" x14ac:dyDescent="0.25">
      <c r="A60">
        <v>2307.2759999999998</v>
      </c>
      <c r="B60">
        <v>9116</v>
      </c>
      <c r="C60">
        <v>6742</v>
      </c>
      <c r="D60">
        <v>1</v>
      </c>
      <c r="E60">
        <v>1</v>
      </c>
      <c r="F60" t="s">
        <v>13</v>
      </c>
      <c r="G60">
        <v>-0.1821885</v>
      </c>
      <c r="H60" s="3">
        <v>5.980158E-2</v>
      </c>
      <c r="I60" s="3">
        <v>5.9607029999999998E-2</v>
      </c>
      <c r="J60" s="3">
        <v>4.4409280000000002E-2</v>
      </c>
      <c r="K60" s="3">
        <v>3.3032890000000002E-2</v>
      </c>
      <c r="L60" s="3">
        <v>1.13821E-3</v>
      </c>
      <c r="M60" s="3">
        <v>9.9525450000000001E-3</v>
      </c>
      <c r="N60" s="3">
        <v>5.4297449999999997E-3</v>
      </c>
      <c r="O60" s="3">
        <v>9.4699859999999999E-4</v>
      </c>
      <c r="P60" s="3">
        <v>5.2571769999999997E-2</v>
      </c>
      <c r="Q60" s="3">
        <v>-8.2111360000000008E-3</v>
      </c>
      <c r="R60" s="3">
        <v>-1.013756E-2</v>
      </c>
      <c r="S60">
        <v>3.3137800000000002E-2</v>
      </c>
      <c r="T60" s="3">
        <v>-1.332903E-2</v>
      </c>
      <c r="U60" s="3">
        <v>-1.229763E-2</v>
      </c>
      <c r="V60" s="3">
        <v>-1.219988E-2</v>
      </c>
    </row>
    <row r="61" spans="1:22" x14ac:dyDescent="0.25">
      <c r="A61">
        <v>2307.3000000000002</v>
      </c>
      <c r="B61">
        <v>9116</v>
      </c>
      <c r="C61">
        <v>6744</v>
      </c>
      <c r="D61">
        <v>1</v>
      </c>
      <c r="E61">
        <v>1</v>
      </c>
      <c r="F61" t="s">
        <v>13</v>
      </c>
      <c r="G61" s="3">
        <v>-1.3403419999999999E-2</v>
      </c>
      <c r="H61" s="3">
        <v>-1.4001370000000001E-2</v>
      </c>
      <c r="I61">
        <v>-1.51763E-2</v>
      </c>
      <c r="J61" s="3">
        <v>-1.9592760000000001E-2</v>
      </c>
      <c r="K61" s="3">
        <v>-2.5807380000000001E-2</v>
      </c>
      <c r="L61" s="3">
        <v>-3.5184859999999998E-2</v>
      </c>
      <c r="M61" s="3">
        <v>-6.8122859999999993E-2</v>
      </c>
      <c r="N61" s="3">
        <v>-8.1685069999999999E-2</v>
      </c>
      <c r="O61" s="3">
        <v>-9.3949320000000003E-2</v>
      </c>
      <c r="P61">
        <v>-0.10488649999999999</v>
      </c>
      <c r="Q61">
        <v>-0.1230483</v>
      </c>
      <c r="R61">
        <v>-0.14378640000000001</v>
      </c>
      <c r="S61">
        <v>-0.1468477</v>
      </c>
      <c r="T61">
        <v>-0.2490377</v>
      </c>
      <c r="U61">
        <v>-0.26298569999999999</v>
      </c>
      <c r="V61">
        <v>-0.28166099999999999</v>
      </c>
    </row>
    <row r="62" spans="1:22" x14ac:dyDescent="0.25">
      <c r="A62" t="s">
        <v>167</v>
      </c>
    </row>
    <row r="63" spans="1:22" x14ac:dyDescent="0.25">
      <c r="A63">
        <v>2316.2809999999999</v>
      </c>
      <c r="B63">
        <v>9116</v>
      </c>
      <c r="C63">
        <v>6742</v>
      </c>
      <c r="D63">
        <v>1</v>
      </c>
      <c r="E63">
        <v>1</v>
      </c>
      <c r="F63" t="s">
        <v>13</v>
      </c>
      <c r="G63">
        <v>-0.22419500000000001</v>
      </c>
      <c r="H63">
        <v>5.64003E-2</v>
      </c>
      <c r="I63" s="3">
        <v>6.0832980000000002E-2</v>
      </c>
      <c r="J63" s="3">
        <v>4.8171520000000002E-2</v>
      </c>
      <c r="K63" s="3">
        <v>3.7320140000000002E-2</v>
      </c>
      <c r="L63" s="3">
        <v>1.3213159999999999E-3</v>
      </c>
      <c r="M63" s="3">
        <v>1.351786E-2</v>
      </c>
      <c r="N63" s="3">
        <v>9.0875629999999999E-3</v>
      </c>
      <c r="O63" s="3">
        <v>3.9815900000000001E-3</v>
      </c>
      <c r="P63">
        <v>5.2591800000000001E-2</v>
      </c>
      <c r="Q63" s="3">
        <v>-5.3777690000000001E-3</v>
      </c>
      <c r="R63" s="3">
        <v>-8.2373619999999998E-3</v>
      </c>
      <c r="S63" s="3">
        <v>3.3851619999999999E-2</v>
      </c>
      <c r="T63" s="3">
        <v>-1.298332E-2</v>
      </c>
      <c r="U63" s="3">
        <v>-1.245975E-2</v>
      </c>
      <c r="V63" s="3">
        <v>-1.346493E-2</v>
      </c>
    </row>
    <row r="64" spans="1:22" x14ac:dyDescent="0.25">
      <c r="A64">
        <v>2316.3009999999999</v>
      </c>
      <c r="B64">
        <v>9116</v>
      </c>
      <c r="C64">
        <v>6744</v>
      </c>
      <c r="D64">
        <v>1</v>
      </c>
      <c r="E64">
        <v>1</v>
      </c>
      <c r="F64" t="s">
        <v>13</v>
      </c>
      <c r="G64" s="3">
        <v>-1.5583039999999999E-2</v>
      </c>
      <c r="H64" s="3">
        <v>-1.686907E-2</v>
      </c>
      <c r="I64" s="3">
        <v>-1.716614E-2</v>
      </c>
      <c r="J64">
        <v>-2.06275E-2</v>
      </c>
      <c r="K64" s="3">
        <v>-2.562714E-2</v>
      </c>
      <c r="L64" s="3">
        <v>-3.4294610000000003E-2</v>
      </c>
      <c r="M64" s="3">
        <v>-6.8978310000000001E-2</v>
      </c>
      <c r="N64" s="3">
        <v>-8.4604260000000001E-2</v>
      </c>
      <c r="O64" s="3">
        <v>-9.7107410000000005E-2</v>
      </c>
      <c r="P64">
        <v>-0.10819769999999999</v>
      </c>
      <c r="Q64">
        <v>-0.12791630000000001</v>
      </c>
      <c r="R64">
        <v>-0.15082599999999999</v>
      </c>
      <c r="S64">
        <v>-0.1576834</v>
      </c>
      <c r="T64">
        <v>-0.25757459999999999</v>
      </c>
      <c r="U64">
        <v>-0.28868680000000002</v>
      </c>
      <c r="V64">
        <v>-0.3007321</v>
      </c>
    </row>
    <row r="65" spans="1:22" x14ac:dyDescent="0.25">
      <c r="A65" t="s">
        <v>168</v>
      </c>
    </row>
    <row r="66" spans="1:22" x14ac:dyDescent="0.25">
      <c r="A66">
        <v>2325.527</v>
      </c>
      <c r="B66">
        <v>9116</v>
      </c>
      <c r="C66">
        <v>6742</v>
      </c>
      <c r="D66">
        <v>1</v>
      </c>
      <c r="E66">
        <v>1</v>
      </c>
      <c r="F66" t="s">
        <v>13</v>
      </c>
      <c r="G66">
        <v>-0.25984239999999997</v>
      </c>
      <c r="H66" s="3">
        <v>5.1670069999999999E-2</v>
      </c>
      <c r="I66" s="3">
        <v>6.1007980000000003E-2</v>
      </c>
      <c r="J66" s="3">
        <v>5.0907609999999999E-2</v>
      </c>
      <c r="K66" s="3">
        <v>4.0403370000000001E-2</v>
      </c>
      <c r="L66" s="3">
        <v>1.6670229999999999E-3</v>
      </c>
      <c r="M66" s="3">
        <v>1.703501E-2</v>
      </c>
      <c r="N66" s="3">
        <v>1.205254E-2</v>
      </c>
      <c r="O66" s="3">
        <v>6.5822600000000004E-3</v>
      </c>
      <c r="P66" s="3">
        <v>5.241871E-2</v>
      </c>
      <c r="Q66" s="3">
        <v>-4.1632650000000002E-3</v>
      </c>
      <c r="R66" s="3">
        <v>-7.5459480000000002E-3</v>
      </c>
      <c r="S66" s="3">
        <v>3.3319950000000001E-2</v>
      </c>
      <c r="T66" s="3">
        <v>-1.2291430000000001E-2</v>
      </c>
      <c r="U66" s="3">
        <v>-1.300716E-2</v>
      </c>
      <c r="V66" s="3">
        <v>-1.509285E-2</v>
      </c>
    </row>
    <row r="67" spans="1:22" x14ac:dyDescent="0.25">
      <c r="A67">
        <v>2325.5520000000001</v>
      </c>
      <c r="B67">
        <v>9116</v>
      </c>
      <c r="C67">
        <v>6744</v>
      </c>
      <c r="D67">
        <v>1</v>
      </c>
      <c r="E67">
        <v>1</v>
      </c>
      <c r="F67" t="s">
        <v>13</v>
      </c>
      <c r="G67" s="3">
        <v>-1.848841E-2</v>
      </c>
      <c r="H67" s="3">
        <v>-2.0990849999999998E-2</v>
      </c>
      <c r="I67" s="3">
        <v>-2.042532E-2</v>
      </c>
      <c r="J67" s="3">
        <v>-2.3395059999999999E-2</v>
      </c>
      <c r="K67">
        <v>-2.59881E-2</v>
      </c>
      <c r="L67">
        <v>-3.32222E-2</v>
      </c>
      <c r="M67" s="3">
        <v>-6.7937849999999994E-2</v>
      </c>
      <c r="N67" s="3">
        <v>-8.3877090000000001E-2</v>
      </c>
      <c r="O67" s="3">
        <v>-9.7107410000000005E-2</v>
      </c>
      <c r="P67">
        <v>-0.1092997</v>
      </c>
      <c r="Q67">
        <v>-0.12935830000000001</v>
      </c>
      <c r="R67">
        <v>-0.1533494</v>
      </c>
      <c r="S67">
        <v>-0.16467570000000001</v>
      </c>
      <c r="T67">
        <v>-0.26229000000000002</v>
      </c>
      <c r="U67">
        <v>-0.30892520000000001</v>
      </c>
      <c r="V67">
        <v>-0.31677440000000001</v>
      </c>
    </row>
    <row r="68" spans="1:22" x14ac:dyDescent="0.25">
      <c r="A68" t="s">
        <v>169</v>
      </c>
    </row>
    <row r="69" spans="1:22" x14ac:dyDescent="0.25">
      <c r="A69">
        <v>2334.7109999999998</v>
      </c>
      <c r="B69">
        <v>9116</v>
      </c>
      <c r="C69">
        <v>6742</v>
      </c>
      <c r="D69">
        <v>1</v>
      </c>
      <c r="E69">
        <v>1</v>
      </c>
      <c r="F69" t="s">
        <v>13</v>
      </c>
      <c r="G69" s="3">
        <v>-8.9355470000000006E-2</v>
      </c>
      <c r="H69" s="3">
        <v>6.1811449999999997E-2</v>
      </c>
      <c r="I69" s="3">
        <v>5.6452750000000003E-2</v>
      </c>
      <c r="J69" s="3">
        <v>4.064512E-2</v>
      </c>
      <c r="K69" s="3">
        <v>2.961254E-2</v>
      </c>
      <c r="L69" s="3">
        <v>9.765625E-4</v>
      </c>
      <c r="M69" s="3">
        <v>7.8868870000000004E-3</v>
      </c>
      <c r="N69" s="3">
        <v>3.511906E-3</v>
      </c>
      <c r="O69" s="3">
        <v>-1.4882090000000001E-3</v>
      </c>
      <c r="P69" s="3">
        <v>5.1686290000000003E-2</v>
      </c>
      <c r="Q69" s="3">
        <v>-1.1682990000000001E-2</v>
      </c>
      <c r="R69" s="3">
        <v>-1.486349E-2</v>
      </c>
      <c r="S69" s="3">
        <v>3.3669949999999997E-2</v>
      </c>
      <c r="T69" s="3">
        <v>-2.1286010000000001E-2</v>
      </c>
      <c r="U69" s="3">
        <v>-2.341938E-2</v>
      </c>
      <c r="V69" s="3">
        <v>-2.8654579999999999E-2</v>
      </c>
    </row>
    <row r="70" spans="1:22" x14ac:dyDescent="0.25">
      <c r="A70">
        <v>2334.7330000000002</v>
      </c>
      <c r="B70">
        <v>9116</v>
      </c>
      <c r="C70">
        <v>6744</v>
      </c>
      <c r="D70">
        <v>1</v>
      </c>
      <c r="E70">
        <v>1</v>
      </c>
      <c r="F70" t="s">
        <v>13</v>
      </c>
      <c r="G70" s="3">
        <v>-3.6284450000000003E-2</v>
      </c>
      <c r="H70" s="3">
        <v>-4.0830140000000001E-2</v>
      </c>
      <c r="I70" s="3">
        <v>-4.505062E-2</v>
      </c>
      <c r="J70" s="3">
        <v>-5.0898550000000001E-2</v>
      </c>
      <c r="K70" s="3">
        <v>-5.7599539999999998E-2</v>
      </c>
      <c r="L70" s="3">
        <v>-6.7726140000000004E-2</v>
      </c>
      <c r="M70" s="3">
        <v>-8.387899E-2</v>
      </c>
      <c r="N70" s="3">
        <v>-8.5705760000000006E-2</v>
      </c>
      <c r="O70" s="3">
        <v>-8.6534979999999997E-2</v>
      </c>
      <c r="P70">
        <v>-8.5787299999999997E-2</v>
      </c>
      <c r="Q70">
        <v>-8.8986399999999993E-2</v>
      </c>
      <c r="R70" s="3">
        <v>-9.4407560000000001E-2</v>
      </c>
      <c r="S70" s="3">
        <v>-9.5793719999999999E-2</v>
      </c>
      <c r="T70" s="3">
        <v>-9.3411919999999996E-2</v>
      </c>
      <c r="U70" s="3">
        <v>-8.9004990000000006E-2</v>
      </c>
      <c r="V70" s="3">
        <v>-8.3035949999999997E-2</v>
      </c>
    </row>
    <row r="71" spans="1:22" x14ac:dyDescent="0.25">
      <c r="A71" t="s">
        <v>170</v>
      </c>
    </row>
    <row r="72" spans="1:22" x14ac:dyDescent="0.25">
      <c r="A72">
        <v>2344.9279999999999</v>
      </c>
      <c r="B72">
        <v>9116</v>
      </c>
      <c r="C72">
        <v>6742</v>
      </c>
      <c r="D72">
        <v>1</v>
      </c>
      <c r="E72">
        <v>1</v>
      </c>
      <c r="F72" t="s">
        <v>13</v>
      </c>
      <c r="G72" s="3">
        <v>-7.4701790000000004E-2</v>
      </c>
      <c r="H72" s="3">
        <v>6.2429430000000001E-2</v>
      </c>
      <c r="I72" s="3">
        <v>5.6981089999999998E-2</v>
      </c>
      <c r="J72" s="3">
        <v>4.0987969999999999E-2</v>
      </c>
      <c r="K72" s="3">
        <v>3.0469420000000001E-2</v>
      </c>
      <c r="L72" s="3">
        <v>1.137257E-3</v>
      </c>
      <c r="M72" s="3">
        <v>8.2426070000000008E-3</v>
      </c>
      <c r="N72" s="3">
        <v>4.0345190000000003E-3</v>
      </c>
      <c r="O72" s="3">
        <v>-1.307487E-3</v>
      </c>
      <c r="P72" s="3">
        <v>5.0840379999999998E-2</v>
      </c>
      <c r="Q72" s="3">
        <v>-1.2313370000000001E-2</v>
      </c>
      <c r="R72" s="3">
        <v>-1.5722750000000001E-2</v>
      </c>
      <c r="S72">
        <v>3.3664699999999999E-2</v>
      </c>
      <c r="T72" s="3">
        <v>-2.3704050000000001E-2</v>
      </c>
      <c r="U72" s="3">
        <v>-2.617216E-2</v>
      </c>
      <c r="V72" s="3">
        <v>-3.2255649999999997E-2</v>
      </c>
    </row>
    <row r="73" spans="1:22" x14ac:dyDescent="0.25">
      <c r="A73">
        <v>2344.9540000000002</v>
      </c>
      <c r="B73">
        <v>9116</v>
      </c>
      <c r="C73">
        <v>6744</v>
      </c>
      <c r="D73">
        <v>1</v>
      </c>
      <c r="E73">
        <v>1</v>
      </c>
      <c r="F73" t="s">
        <v>13</v>
      </c>
      <c r="G73" s="3">
        <v>-4.1555880000000003E-2</v>
      </c>
      <c r="H73" s="3">
        <v>-4.996014E-2</v>
      </c>
      <c r="I73" s="3">
        <v>-5.4291249999999999E-2</v>
      </c>
      <c r="J73" s="3">
        <v>-5.9201719999999999E-2</v>
      </c>
      <c r="K73" s="3">
        <v>-6.4640050000000004E-2</v>
      </c>
      <c r="L73" s="3">
        <v>-7.0939539999999995E-2</v>
      </c>
      <c r="M73" s="3">
        <v>-8.1980230000000001E-2</v>
      </c>
      <c r="N73" s="3">
        <v>-8.1524849999999996E-2</v>
      </c>
      <c r="O73" s="3">
        <v>-8.2355020000000001E-2</v>
      </c>
      <c r="P73" s="3">
        <v>-8.1748959999999996E-2</v>
      </c>
      <c r="Q73" s="3">
        <v>-8.3404060000000002E-2</v>
      </c>
      <c r="R73" s="3">
        <v>-8.7379929999999995E-2</v>
      </c>
      <c r="S73" s="3">
        <v>-8.634377E-2</v>
      </c>
      <c r="T73" s="3">
        <v>-8.4887030000000002E-2</v>
      </c>
      <c r="U73" s="3">
        <v>-8.0614089999999999E-2</v>
      </c>
      <c r="V73">
        <v>-7.5724600000000003E-2</v>
      </c>
    </row>
    <row r="74" spans="1:22" x14ac:dyDescent="0.25">
      <c r="A74" t="s">
        <v>171</v>
      </c>
    </row>
    <row r="75" spans="1:22" x14ac:dyDescent="0.25">
      <c r="A75">
        <v>2353.1660000000002</v>
      </c>
      <c r="B75">
        <v>9116</v>
      </c>
      <c r="C75">
        <v>6742</v>
      </c>
      <c r="D75">
        <v>1</v>
      </c>
      <c r="E75">
        <v>1</v>
      </c>
      <c r="F75" t="s">
        <v>13</v>
      </c>
      <c r="G75" s="3">
        <v>-5.9697630000000002E-2</v>
      </c>
      <c r="H75" s="3">
        <v>6.2429430000000001E-2</v>
      </c>
      <c r="I75" s="3">
        <v>5.6105139999999998E-2</v>
      </c>
      <c r="J75" s="3">
        <v>4.0646549999999997E-2</v>
      </c>
      <c r="K75" s="3">
        <v>3.0641080000000001E-2</v>
      </c>
      <c r="L75" s="3">
        <v>1.137257E-3</v>
      </c>
      <c r="M75" s="3">
        <v>8.5945129999999998E-3</v>
      </c>
      <c r="N75" s="3">
        <v>3.859997E-3</v>
      </c>
      <c r="O75" s="3">
        <v>-1.654148E-3</v>
      </c>
      <c r="P75" s="3">
        <v>5.0493719999999999E-2</v>
      </c>
      <c r="Q75">
        <v>-1.2833600000000001E-2</v>
      </c>
      <c r="R75">
        <v>-1.7105100000000002E-2</v>
      </c>
      <c r="S75" s="3">
        <v>3.3310409999999999E-2</v>
      </c>
      <c r="T75" s="3">
        <v>-2.595186E-2</v>
      </c>
      <c r="U75" s="3">
        <v>-2.9453750000000001E-2</v>
      </c>
      <c r="V75" s="3">
        <v>-3.6595820000000001E-2</v>
      </c>
    </row>
    <row r="76" spans="1:22" x14ac:dyDescent="0.25">
      <c r="A76">
        <v>2353.1889999999999</v>
      </c>
      <c r="B76">
        <v>9116</v>
      </c>
      <c r="C76">
        <v>6744</v>
      </c>
      <c r="D76">
        <v>1</v>
      </c>
      <c r="E76">
        <v>1</v>
      </c>
      <c r="F76" t="s">
        <v>13</v>
      </c>
      <c r="G76">
        <v>-4.5732500000000002E-2</v>
      </c>
      <c r="H76" s="3">
        <v>-5.6770319999999999E-2</v>
      </c>
      <c r="I76" s="3">
        <v>-6.1353209999999998E-2</v>
      </c>
      <c r="J76" s="3">
        <v>-6.7331310000000005E-2</v>
      </c>
      <c r="K76" s="3">
        <v>-7.1322440000000001E-2</v>
      </c>
      <c r="L76" s="3">
        <v>-7.6480870000000006E-2</v>
      </c>
      <c r="M76" s="3">
        <v>-7.7299119999999999E-2</v>
      </c>
      <c r="N76" s="3">
        <v>-7.4436660000000002E-2</v>
      </c>
      <c r="O76" s="3">
        <v>-7.4110980000000007E-2</v>
      </c>
      <c r="P76">
        <v>-7.2564600000000007E-2</v>
      </c>
      <c r="Q76" s="3">
        <v>-7.456923E-2</v>
      </c>
      <c r="R76" s="3">
        <v>-7.7465530000000005E-2</v>
      </c>
      <c r="S76" s="3">
        <v>-7.5678830000000002E-2</v>
      </c>
      <c r="T76" s="3">
        <v>-7.4545379999999994E-2</v>
      </c>
      <c r="U76" s="3">
        <v>-7.1676249999999997E-2</v>
      </c>
      <c r="V76" s="3">
        <v>-6.9126129999999994E-2</v>
      </c>
    </row>
    <row r="77" spans="1:22" x14ac:dyDescent="0.25">
      <c r="A77" t="s">
        <v>172</v>
      </c>
    </row>
    <row r="78" spans="1:22" x14ac:dyDescent="0.25">
      <c r="A78">
        <v>2362.9690000000001</v>
      </c>
      <c r="B78">
        <v>9116</v>
      </c>
      <c r="C78">
        <v>6742</v>
      </c>
      <c r="D78">
        <v>1</v>
      </c>
      <c r="E78">
        <v>1</v>
      </c>
      <c r="F78" t="s">
        <v>13</v>
      </c>
      <c r="G78" s="3">
        <v>-3.8504120000000003E-2</v>
      </c>
      <c r="H78" s="3">
        <v>6.2530989999999995E-2</v>
      </c>
      <c r="I78" s="3">
        <v>5.5055140000000002E-2</v>
      </c>
      <c r="J78">
        <v>3.9809700000000003E-2</v>
      </c>
      <c r="K78" s="3">
        <v>2.9441829999999999E-2</v>
      </c>
      <c r="L78" s="3">
        <v>6.3180919999999995E-4</v>
      </c>
      <c r="M78" s="3">
        <v>7.8921319999999996E-3</v>
      </c>
      <c r="N78" s="3">
        <v>3.6807060000000002E-3</v>
      </c>
      <c r="O78" s="3">
        <v>-1.8267629999999999E-3</v>
      </c>
      <c r="P78" s="3">
        <v>5.018711E-2</v>
      </c>
      <c r="Q78" s="3">
        <v>-1.370001E-2</v>
      </c>
      <c r="R78" s="3">
        <v>-1.8141270000000001E-2</v>
      </c>
      <c r="S78" s="3">
        <v>3.3319950000000001E-2</v>
      </c>
      <c r="T78" s="3">
        <v>-2.7853969999999999E-2</v>
      </c>
      <c r="U78">
        <v>-3.1439300000000003E-2</v>
      </c>
      <c r="V78">
        <v>-3.8646699999999999E-2</v>
      </c>
    </row>
    <row r="79" spans="1:22" x14ac:dyDescent="0.25">
      <c r="A79">
        <v>2362.9870000000001</v>
      </c>
      <c r="B79">
        <v>9116</v>
      </c>
      <c r="C79">
        <v>6744</v>
      </c>
      <c r="D79">
        <v>1</v>
      </c>
      <c r="E79">
        <v>1</v>
      </c>
      <c r="F79" t="s">
        <v>13</v>
      </c>
      <c r="G79" s="3">
        <v>-4.8456190000000003E-2</v>
      </c>
      <c r="H79" s="3">
        <v>-5.8864590000000001E-2</v>
      </c>
      <c r="I79" s="3">
        <v>-6.1353209999999998E-2</v>
      </c>
      <c r="J79" s="3">
        <v>-6.4909930000000005E-2</v>
      </c>
      <c r="K79" s="3">
        <v>-6.4287659999999996E-2</v>
      </c>
      <c r="L79" s="3">
        <v>-6.4151760000000002E-2</v>
      </c>
      <c r="M79" s="3">
        <v>-6.099367E-2</v>
      </c>
      <c r="N79">
        <v>-5.95293E-2</v>
      </c>
      <c r="O79" s="3">
        <v>-6.032324E-2</v>
      </c>
      <c r="P79" s="3">
        <v>-5.952358E-2</v>
      </c>
      <c r="Q79">
        <v>-5.9249400000000001E-2</v>
      </c>
      <c r="R79" s="3">
        <v>-6.0163969999999997E-2</v>
      </c>
      <c r="S79" s="3">
        <v>-5.8868410000000003E-2</v>
      </c>
      <c r="T79" s="3">
        <v>-5.9486869999999997E-2</v>
      </c>
      <c r="U79" s="3">
        <v>-5.8728219999999998E-2</v>
      </c>
      <c r="V79" s="3">
        <v>-5.8596130000000003E-2</v>
      </c>
    </row>
    <row r="81" spans="7:39" x14ac:dyDescent="0.25"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</row>
    <row r="82" spans="7:39" x14ac:dyDescent="0.25"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</row>
    <row r="83" spans="7:39" x14ac:dyDescent="0.25">
      <c r="G83" s="5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</row>
    <row r="84" spans="7:39" x14ac:dyDescent="0.25">
      <c r="G84" s="5"/>
      <c r="H84" s="5" t="s">
        <v>44</v>
      </c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</row>
    <row r="85" spans="7:39" x14ac:dyDescent="0.25">
      <c r="G85" s="5" t="s">
        <v>45</v>
      </c>
      <c r="H85" s="5" t="s">
        <v>14</v>
      </c>
      <c r="I85" s="5" t="s">
        <v>15</v>
      </c>
      <c r="J85" s="5" t="s">
        <v>16</v>
      </c>
      <c r="K85" s="5" t="s">
        <v>17</v>
      </c>
      <c r="L85" s="5" t="s">
        <v>18</v>
      </c>
      <c r="M85" s="5" t="s">
        <v>19</v>
      </c>
      <c r="N85" s="5" t="s">
        <v>20</v>
      </c>
      <c r="O85" s="5" t="s">
        <v>21</v>
      </c>
      <c r="P85" s="5" t="s">
        <v>22</v>
      </c>
      <c r="Q85" s="5" t="s">
        <v>23</v>
      </c>
      <c r="R85" s="5" t="s">
        <v>24</v>
      </c>
      <c r="S85" s="5" t="s">
        <v>25</v>
      </c>
      <c r="T85" s="5" t="s">
        <v>26</v>
      </c>
      <c r="U85" s="5" t="s">
        <v>27</v>
      </c>
      <c r="V85" s="5" t="s">
        <v>28</v>
      </c>
      <c r="W85" s="5" t="s">
        <v>29</v>
      </c>
      <c r="X85" s="5" t="s">
        <v>46</v>
      </c>
      <c r="Y85" s="5" t="s">
        <v>47</v>
      </c>
      <c r="Z85" s="5" t="s">
        <v>48</v>
      </c>
      <c r="AA85" s="5" t="s">
        <v>49</v>
      </c>
      <c r="AB85" s="5" t="s">
        <v>50</v>
      </c>
      <c r="AC85" s="5" t="s">
        <v>51</v>
      </c>
      <c r="AD85" s="5" t="s">
        <v>52</v>
      </c>
      <c r="AE85" s="5" t="s">
        <v>53</v>
      </c>
      <c r="AF85" s="5" t="s">
        <v>54</v>
      </c>
      <c r="AG85" s="5" t="s">
        <v>55</v>
      </c>
      <c r="AH85" s="5" t="s">
        <v>56</v>
      </c>
      <c r="AI85" s="5" t="s">
        <v>57</v>
      </c>
      <c r="AJ85" s="5" t="s">
        <v>58</v>
      </c>
      <c r="AK85" s="5" t="s">
        <v>59</v>
      </c>
      <c r="AL85" s="5" t="s">
        <v>60</v>
      </c>
      <c r="AM85" s="5" t="s">
        <v>61</v>
      </c>
    </row>
    <row r="86" spans="7:39" x14ac:dyDescent="0.25">
      <c r="G86" s="5" t="s">
        <v>62</v>
      </c>
      <c r="H86" s="6">
        <f>G9</f>
        <v>-6.1464310000000004E-4</v>
      </c>
      <c r="I86" s="6">
        <f t="shared" ref="I86:W86" si="0">H9</f>
        <v>-6.4849850000000002E-4</v>
      </c>
      <c r="J86" s="6">
        <f t="shared" si="0"/>
        <v>-4.6157840000000001E-4</v>
      </c>
      <c r="K86" s="6">
        <f t="shared" si="0"/>
        <v>3.9632319999999999E-2</v>
      </c>
      <c r="L86" s="6">
        <f t="shared" si="0"/>
        <v>-2.5653839999999998E-4</v>
      </c>
      <c r="M86" s="6">
        <f t="shared" si="0"/>
        <v>-6.1178209999999998E-4</v>
      </c>
      <c r="N86" s="6">
        <f t="shared" si="0"/>
        <v>-1.2450219999999999E-3</v>
      </c>
      <c r="O86" s="6">
        <f t="shared" si="0"/>
        <v>-1.192093E-4</v>
      </c>
      <c r="P86" s="6">
        <f t="shared" si="0"/>
        <v>4.3630600000000002E-4</v>
      </c>
      <c r="Q86" s="6">
        <f t="shared" si="0"/>
        <v>4.3742179999999999E-2</v>
      </c>
      <c r="R86" s="6">
        <f t="shared" si="0"/>
        <v>7.2145460000000005E-4</v>
      </c>
      <c r="S86" s="6">
        <f t="shared" si="0"/>
        <v>9.8705290000000004E-5</v>
      </c>
      <c r="T86" s="6">
        <f t="shared" si="0"/>
        <v>1.8774030000000001E-2</v>
      </c>
      <c r="U86" s="6">
        <f t="shared" si="0"/>
        <v>-3.0565259999999999E-4</v>
      </c>
      <c r="V86" s="6">
        <f t="shared" si="0"/>
        <v>2.3031230000000001E-4</v>
      </c>
      <c r="W86" s="6">
        <f t="shared" si="0"/>
        <v>-1.416206E-4</v>
      </c>
      <c r="X86" s="6">
        <f>G10</f>
        <v>-6.5183639999999996E-4</v>
      </c>
      <c r="Y86" s="6">
        <f t="shared" ref="Y86:AM86" si="1">H10</f>
        <v>-1.280308E-3</v>
      </c>
      <c r="Z86" s="6">
        <f t="shared" si="1"/>
        <v>-8.8691710000000004E-5</v>
      </c>
      <c r="AA86" s="6">
        <f t="shared" si="1"/>
        <v>3.4039020000000003E-2</v>
      </c>
      <c r="AB86" s="6">
        <f t="shared" si="1"/>
        <v>-3.2901760000000001E-5</v>
      </c>
      <c r="AC86" s="6">
        <f t="shared" si="1"/>
        <v>-5.0067899999999997E-4</v>
      </c>
      <c r="AD86" s="6">
        <f t="shared" si="1"/>
        <v>-1.240253E-3</v>
      </c>
      <c r="AE86" s="6">
        <f t="shared" si="1"/>
        <v>9.9182129999999996E-5</v>
      </c>
      <c r="AF86" s="6">
        <f t="shared" si="1"/>
        <v>-9.5558169999999997E-4</v>
      </c>
      <c r="AG86" s="6">
        <f t="shared" si="1"/>
        <v>3.7574769999999997E-4</v>
      </c>
      <c r="AH86" s="6">
        <f t="shared" si="1"/>
        <v>2.7942659999999998E-4</v>
      </c>
      <c r="AI86" s="6">
        <f t="shared" si="1"/>
        <v>-3.8957599999999998E-4</v>
      </c>
      <c r="AJ86" s="6">
        <f t="shared" si="1"/>
        <v>-1.029968E-3</v>
      </c>
      <c r="AK86" s="6">
        <f t="shared" si="1"/>
        <v>3.9672850000000001E-4</v>
      </c>
      <c r="AL86" s="6">
        <f t="shared" si="1"/>
        <v>1.037121E-3</v>
      </c>
      <c r="AM86" s="6">
        <f t="shared" si="1"/>
        <v>2.0885470000000001E-4</v>
      </c>
    </row>
    <row r="87" spans="7:39" x14ac:dyDescent="0.25">
      <c r="G87" s="5">
        <v>-4</v>
      </c>
      <c r="H87" s="6">
        <f>G12</f>
        <v>-2.5657650000000001E-2</v>
      </c>
      <c r="I87" s="6">
        <f t="shared" ref="I87:W87" si="2">H12</f>
        <v>-0.1974602</v>
      </c>
      <c r="J87" s="6">
        <f t="shared" si="2"/>
        <v>-0.1726203</v>
      </c>
      <c r="K87" s="6">
        <f t="shared" si="2"/>
        <v>7.6950069999999995E-2</v>
      </c>
      <c r="L87" s="6">
        <f t="shared" si="2"/>
        <v>-0.123652</v>
      </c>
      <c r="M87" s="6">
        <f t="shared" si="2"/>
        <v>-8.2788470000000006E-3</v>
      </c>
      <c r="N87" s="6">
        <f t="shared" si="2"/>
        <v>-0.1010809</v>
      </c>
      <c r="O87" s="6">
        <f t="shared" si="2"/>
        <v>-9.1300489999999998E-2</v>
      </c>
      <c r="P87" s="6">
        <f t="shared" si="2"/>
        <v>-7.7713489999999996E-2</v>
      </c>
      <c r="Q87" s="6">
        <f t="shared" si="2"/>
        <v>5.8859830000000002E-2</v>
      </c>
      <c r="R87" s="6">
        <f t="shared" si="2"/>
        <v>-6.1839579999999998E-2</v>
      </c>
      <c r="S87" s="6">
        <f t="shared" si="2"/>
        <v>-5.1645759999999999E-2</v>
      </c>
      <c r="T87" s="6">
        <f t="shared" si="2"/>
        <v>2.8673170000000001E-2</v>
      </c>
      <c r="U87" s="6">
        <f t="shared" si="2"/>
        <v>-3.6857130000000002E-2</v>
      </c>
      <c r="V87" s="6">
        <f t="shared" si="2"/>
        <v>-2.8315070000000001E-2</v>
      </c>
      <c r="W87" s="6">
        <f t="shared" si="2"/>
        <v>-2.0462040000000001E-2</v>
      </c>
      <c r="X87" s="6">
        <f>G13</f>
        <v>-1.6293999999999999E-2</v>
      </c>
      <c r="Y87" s="6">
        <f t="shared" ref="Y87:AM87" si="3">H13</f>
        <v>-1.174831E-2</v>
      </c>
      <c r="Z87" s="6">
        <f t="shared" si="3"/>
        <v>-1.0990140000000001E-2</v>
      </c>
      <c r="AA87" s="6">
        <f t="shared" si="3"/>
        <v>-1.407576E-2</v>
      </c>
      <c r="AB87" s="6">
        <f t="shared" si="3"/>
        <v>-1.5501020000000001E-2</v>
      </c>
      <c r="AC87" s="6">
        <f t="shared" si="3"/>
        <v>-1.854563E-2</v>
      </c>
      <c r="AD87" s="6">
        <f t="shared" si="3"/>
        <v>-2.1895410000000001E-2</v>
      </c>
      <c r="AE87" s="6">
        <f t="shared" si="3"/>
        <v>-1.9114490000000001E-2</v>
      </c>
      <c r="AF87" s="6">
        <f t="shared" si="3"/>
        <v>-1.8622880000000001E-2</v>
      </c>
      <c r="AG87" s="6">
        <f t="shared" si="3"/>
        <v>-1.4688970000000001E-2</v>
      </c>
      <c r="AH87" s="6">
        <f t="shared" si="3"/>
        <v>-1.157618E-2</v>
      </c>
      <c r="AI87" s="6">
        <f t="shared" si="3"/>
        <v>-2.9711719999999998E-3</v>
      </c>
      <c r="AJ87" s="6">
        <f t="shared" si="3"/>
        <v>4.3578150000000001E-3</v>
      </c>
      <c r="AK87" s="6">
        <f t="shared" si="3"/>
        <v>1.6732219999999999E-2</v>
      </c>
      <c r="AL87" s="6">
        <f t="shared" si="3"/>
        <v>3.395128E-2</v>
      </c>
      <c r="AM87" s="6">
        <f t="shared" si="3"/>
        <v>5.1186080000000002E-2</v>
      </c>
    </row>
    <row r="88" spans="7:39" x14ac:dyDescent="0.25">
      <c r="G88" s="5">
        <v>-3</v>
      </c>
      <c r="H88" s="6">
        <f>G15</f>
        <v>2.9406549999999999E-3</v>
      </c>
      <c r="I88" s="6">
        <f t="shared" ref="I88:W88" si="4">H15</f>
        <v>-0.16517689999999999</v>
      </c>
      <c r="J88" s="6">
        <f t="shared" si="4"/>
        <v>-0.14929339999999999</v>
      </c>
      <c r="K88" s="6">
        <f t="shared" si="4"/>
        <v>-0.12564990000000001</v>
      </c>
      <c r="L88" s="6">
        <f t="shared" si="4"/>
        <v>-0.1101274</v>
      </c>
      <c r="M88" s="6">
        <f t="shared" si="4"/>
        <v>-6.8979260000000004E-3</v>
      </c>
      <c r="N88" s="6">
        <f t="shared" si="4"/>
        <v>-9.298468E-2</v>
      </c>
      <c r="O88" s="6">
        <f t="shared" si="4"/>
        <v>-8.2760329999999993E-2</v>
      </c>
      <c r="P88" s="6">
        <f t="shared" si="4"/>
        <v>-7.4321269999999995E-2</v>
      </c>
      <c r="Q88" s="6">
        <f t="shared" si="4"/>
        <v>5.8340070000000001E-2</v>
      </c>
      <c r="R88" s="6">
        <f t="shared" si="4"/>
        <v>-5.6692119999999999E-2</v>
      </c>
      <c r="S88" s="6">
        <f t="shared" si="4"/>
        <v>-4.9111839999999997E-2</v>
      </c>
      <c r="T88" s="6">
        <f t="shared" si="4"/>
        <v>2.939367E-2</v>
      </c>
      <c r="U88" s="6">
        <f t="shared" si="4"/>
        <v>-3.5819049999999998E-2</v>
      </c>
      <c r="V88" s="6">
        <f t="shared" si="4"/>
        <v>-2.756596E-2</v>
      </c>
      <c r="W88" s="6">
        <f t="shared" si="4"/>
        <v>-2.0346159999999999E-2</v>
      </c>
      <c r="X88" s="6">
        <f>G16</f>
        <v>-1.738644E-2</v>
      </c>
      <c r="Y88" s="6">
        <f t="shared" ref="Y88:AM88" si="5">H16</f>
        <v>-1.3718609999999999E-2</v>
      </c>
      <c r="Z88" s="6">
        <f t="shared" si="5"/>
        <v>-1.226091E-2</v>
      </c>
      <c r="AA88" s="6">
        <f t="shared" si="5"/>
        <v>-1.5285969999999999E-2</v>
      </c>
      <c r="AB88" s="6">
        <f t="shared" si="5"/>
        <v>-1.6767979999999998E-2</v>
      </c>
      <c r="AC88" s="6">
        <f t="shared" si="5"/>
        <v>-2.0517830000000001E-2</v>
      </c>
      <c r="AD88" s="6">
        <f t="shared" si="5"/>
        <v>-2.5352949999999999E-2</v>
      </c>
      <c r="AE88" s="6">
        <f t="shared" si="5"/>
        <v>-2.3474220000000001E-2</v>
      </c>
      <c r="AF88" s="6">
        <f t="shared" si="5"/>
        <v>-2.3716930000000001E-2</v>
      </c>
      <c r="AG88" s="6">
        <f t="shared" si="5"/>
        <v>-2.0750520000000001E-2</v>
      </c>
      <c r="AH88" s="6">
        <f t="shared" si="5"/>
        <v>-1.8435480000000001E-2</v>
      </c>
      <c r="AI88" s="6">
        <f t="shared" si="5"/>
        <v>-1.0720250000000001E-2</v>
      </c>
      <c r="AJ88" s="6">
        <f t="shared" si="5"/>
        <v>-4.007816E-3</v>
      </c>
      <c r="AK88" s="6">
        <f t="shared" si="5"/>
        <v>7.1158410000000004E-3</v>
      </c>
      <c r="AL88" s="6">
        <f t="shared" si="5"/>
        <v>2.3736480000000001E-2</v>
      </c>
      <c r="AM88" s="6">
        <f t="shared" si="5"/>
        <v>4.1372300000000001E-2</v>
      </c>
    </row>
    <row r="89" spans="7:39" x14ac:dyDescent="0.25">
      <c r="G89" s="5">
        <v>-2</v>
      </c>
      <c r="H89" s="6">
        <f>G18</f>
        <v>2.853584E-2</v>
      </c>
      <c r="I89" s="6">
        <f t="shared" ref="I89:W89" si="6">H18</f>
        <v>-0.13296649999999999</v>
      </c>
      <c r="J89" s="6">
        <f t="shared" si="6"/>
        <v>-0.1261854</v>
      </c>
      <c r="K89" s="6">
        <f t="shared" si="6"/>
        <v>-0.10975119999999999</v>
      </c>
      <c r="L89" s="6">
        <f t="shared" si="6"/>
        <v>-9.7630019999999998E-2</v>
      </c>
      <c r="M89" s="6">
        <f t="shared" si="6"/>
        <v>-6.8979260000000004E-3</v>
      </c>
      <c r="N89" s="6">
        <f t="shared" si="6"/>
        <v>-8.5776809999999995E-2</v>
      </c>
      <c r="O89" s="6">
        <f t="shared" si="6"/>
        <v>-7.5263979999999994E-2</v>
      </c>
      <c r="P89" s="6">
        <f t="shared" si="6"/>
        <v>-6.8255899999999994E-2</v>
      </c>
      <c r="Q89" s="6">
        <f t="shared" si="6"/>
        <v>5.8340070000000001E-2</v>
      </c>
      <c r="R89" s="6">
        <f t="shared" si="6"/>
        <v>-5.5651659999999999E-2</v>
      </c>
      <c r="S89" s="6">
        <f t="shared" si="6"/>
        <v>-4.4619560000000003E-2</v>
      </c>
      <c r="T89" s="6">
        <f t="shared" si="6"/>
        <v>2.992535E-2</v>
      </c>
      <c r="U89" s="6">
        <f t="shared" si="6"/>
        <v>-3.4608840000000002E-2</v>
      </c>
      <c r="V89" s="6">
        <f t="shared" si="6"/>
        <v>-2.5925159999999999E-2</v>
      </c>
      <c r="W89" s="6">
        <f t="shared" si="6"/>
        <v>-1.889944E-2</v>
      </c>
      <c r="X89" s="6">
        <f>G19</f>
        <v>-1.575232E-2</v>
      </c>
      <c r="Y89" s="6">
        <f t="shared" ref="Y89:AM89" si="7">H19</f>
        <v>-1.318121E-2</v>
      </c>
      <c r="Z89" s="6">
        <f t="shared" si="7"/>
        <v>-1.49765E-2</v>
      </c>
      <c r="AA89" s="6">
        <f t="shared" si="7"/>
        <v>-1.787996E-2</v>
      </c>
      <c r="AB89" s="6">
        <f t="shared" si="7"/>
        <v>-1.9115449999999999E-2</v>
      </c>
      <c r="AC89" s="6">
        <f t="shared" si="7"/>
        <v>-2.3735050000000001E-2</v>
      </c>
      <c r="AD89" s="6">
        <f t="shared" si="7"/>
        <v>-2.916622E-2</v>
      </c>
      <c r="AE89" s="6">
        <f t="shared" si="7"/>
        <v>-2.8744700000000001E-2</v>
      </c>
      <c r="AF89" s="6">
        <f t="shared" si="7"/>
        <v>-2.9808999999999999E-2</v>
      </c>
      <c r="AG89" s="6">
        <f t="shared" si="7"/>
        <v>-2.717924E-2</v>
      </c>
      <c r="AH89" s="6">
        <f t="shared" si="7"/>
        <v>-2.5826930000000001E-2</v>
      </c>
      <c r="AI89" s="6">
        <f t="shared" si="7"/>
        <v>-1.9912719999999998E-2</v>
      </c>
      <c r="AJ89" s="6">
        <f t="shared" si="7"/>
        <v>-1.379824E-2</v>
      </c>
      <c r="AK89" s="6">
        <f t="shared" si="7"/>
        <v>-4.3139459999999999E-3</v>
      </c>
      <c r="AL89" s="6">
        <f t="shared" si="7"/>
        <v>1.0785579999999999E-2</v>
      </c>
      <c r="AM89" s="6">
        <f t="shared" si="7"/>
        <v>2.9244900000000001E-2</v>
      </c>
    </row>
    <row r="90" spans="7:39" x14ac:dyDescent="0.25">
      <c r="G90" s="5">
        <v>-1</v>
      </c>
      <c r="H90" s="6">
        <f>G21</f>
        <v>4.7792429999999997E-2</v>
      </c>
      <c r="I90" s="6">
        <f t="shared" ref="I90:W90" si="8">H21</f>
        <v>-0.1019125</v>
      </c>
      <c r="J90" s="6">
        <f t="shared" si="8"/>
        <v>-0.1042781</v>
      </c>
      <c r="K90" s="6">
        <f t="shared" si="8"/>
        <v>-9.4167230000000005E-2</v>
      </c>
      <c r="L90" s="6">
        <f t="shared" si="8"/>
        <v>-8.5302829999999996E-2</v>
      </c>
      <c r="M90" s="6">
        <f t="shared" si="8"/>
        <v>-5.9947969999999996E-3</v>
      </c>
      <c r="N90" s="6">
        <f t="shared" si="8"/>
        <v>-7.8127379999999996E-2</v>
      </c>
      <c r="O90" s="6">
        <f t="shared" si="8"/>
        <v>-6.8660739999999998E-2</v>
      </c>
      <c r="P90" s="6">
        <f t="shared" si="8"/>
        <v>-6.3320639999999997E-2</v>
      </c>
      <c r="Q90" s="6">
        <f t="shared" si="8"/>
        <v>5.7880399999999999E-2</v>
      </c>
      <c r="R90" s="6">
        <f t="shared" si="8"/>
        <v>-5.195284E-2</v>
      </c>
      <c r="S90" s="6">
        <f t="shared" si="8"/>
        <v>-4.5775410000000002E-2</v>
      </c>
      <c r="T90" s="6">
        <f t="shared" si="8"/>
        <v>3.0107979999999999E-2</v>
      </c>
      <c r="U90" s="6">
        <f t="shared" si="8"/>
        <v>-3.2876490000000001E-2</v>
      </c>
      <c r="V90" s="6">
        <f t="shared" si="8"/>
        <v>-2.4772639999999999E-2</v>
      </c>
      <c r="W90" s="6">
        <f t="shared" si="8"/>
        <v>-1.7523770000000001E-2</v>
      </c>
      <c r="X90" s="6">
        <f>G22</f>
        <v>-1.375198E-2</v>
      </c>
      <c r="Y90" s="6">
        <f t="shared" ref="Y90:AM90" si="9">H22</f>
        <v>-8.2907680000000004E-3</v>
      </c>
      <c r="Z90" s="6">
        <f t="shared" si="9"/>
        <v>-1.642418E-2</v>
      </c>
      <c r="AA90" s="6">
        <f t="shared" si="9"/>
        <v>-2.0297050000000001E-2</v>
      </c>
      <c r="AB90" s="6">
        <f t="shared" si="9"/>
        <v>-2.1282200000000001E-2</v>
      </c>
      <c r="AC90" s="6">
        <f t="shared" si="9"/>
        <v>-2.5698180000000001E-2</v>
      </c>
      <c r="AD90" s="6">
        <f t="shared" si="9"/>
        <v>-3.3845420000000001E-2</v>
      </c>
      <c r="AE90" s="6">
        <f t="shared" si="9"/>
        <v>-3.3851619999999999E-2</v>
      </c>
      <c r="AF90" s="6">
        <f t="shared" si="9"/>
        <v>-3.5471919999999997E-2</v>
      </c>
      <c r="AG90" s="6">
        <f t="shared" si="9"/>
        <v>-3.3608909999999999E-2</v>
      </c>
      <c r="AH90" s="6">
        <f t="shared" si="9"/>
        <v>-3.3768180000000002E-2</v>
      </c>
      <c r="AI90" s="6">
        <f t="shared" si="9"/>
        <v>-2.911091E-2</v>
      </c>
      <c r="AJ90" s="6">
        <f t="shared" si="9"/>
        <v>-2.3727890000000001E-2</v>
      </c>
      <c r="AK90" s="6">
        <f t="shared" si="9"/>
        <v>-1.6105649999999999E-2</v>
      </c>
      <c r="AL90" s="6">
        <f t="shared" si="9"/>
        <v>-2.5315279999999999E-3</v>
      </c>
      <c r="AM90" s="6">
        <f t="shared" si="9"/>
        <v>1.462221E-2</v>
      </c>
    </row>
    <row r="91" spans="7:39" x14ac:dyDescent="0.25">
      <c r="G91" s="5">
        <v>0</v>
      </c>
      <c r="H91" s="6">
        <f>G24</f>
        <v>6.0503479999999998E-2</v>
      </c>
      <c r="I91" s="6">
        <f t="shared" ref="I91:W91" si="10">H24</f>
        <v>-7.1972369999999994E-2</v>
      </c>
      <c r="J91" s="6">
        <f t="shared" si="10"/>
        <v>-8.1343170000000006E-2</v>
      </c>
      <c r="K91" s="6">
        <f t="shared" si="10"/>
        <v>-7.8437809999999997E-2</v>
      </c>
      <c r="L91" s="6">
        <f t="shared" si="10"/>
        <v>-7.3489189999999996E-2</v>
      </c>
      <c r="M91" s="6">
        <f t="shared" si="10"/>
        <v>-5.3043370000000001E-3</v>
      </c>
      <c r="N91" s="6">
        <f t="shared" si="10"/>
        <v>-7.0918079999999994E-2</v>
      </c>
      <c r="O91" s="6">
        <f t="shared" si="10"/>
        <v>-6.2209609999999999E-2</v>
      </c>
      <c r="P91" s="6">
        <f t="shared" si="10"/>
        <v>-5.7948109999999997E-2</v>
      </c>
      <c r="Q91" s="6">
        <f t="shared" si="10"/>
        <v>5.7361130000000003E-2</v>
      </c>
      <c r="R91" s="6">
        <f t="shared" si="10"/>
        <v>-4.7964569999999998E-2</v>
      </c>
      <c r="S91" s="6">
        <f t="shared" si="10"/>
        <v>-4.1801449999999997E-2</v>
      </c>
      <c r="T91" s="6">
        <f t="shared" si="10"/>
        <v>3.0993940000000001E-2</v>
      </c>
      <c r="U91" s="6">
        <f t="shared" si="10"/>
        <v>-2.9591559999999999E-2</v>
      </c>
      <c r="V91" s="6">
        <f t="shared" si="10"/>
        <v>-2.276707E-2</v>
      </c>
      <c r="W91" s="6">
        <f t="shared" si="10"/>
        <v>-1.6077040000000001E-2</v>
      </c>
      <c r="X91" s="6">
        <f>G25</f>
        <v>-1.266289E-2</v>
      </c>
      <c r="Y91" s="6">
        <f t="shared" ref="Y91:AM91" si="11">H25</f>
        <v>-6.3195229999999996E-3</v>
      </c>
      <c r="Z91" s="6">
        <f t="shared" si="11"/>
        <v>-1.714802E-2</v>
      </c>
      <c r="AA91" s="6">
        <f t="shared" si="11"/>
        <v>-2.1853919999999999E-2</v>
      </c>
      <c r="AB91" s="6">
        <f t="shared" si="11"/>
        <v>-2.32687E-2</v>
      </c>
      <c r="AC91" s="6">
        <f t="shared" si="11"/>
        <v>-2.8021339999999999E-2</v>
      </c>
      <c r="AD91" s="6">
        <f t="shared" si="11"/>
        <v>-3.7312980000000003E-2</v>
      </c>
      <c r="AE91" s="6">
        <f t="shared" si="11"/>
        <v>-3.857708E-2</v>
      </c>
      <c r="AF91" s="6">
        <f t="shared" si="11"/>
        <v>-4.1564459999999998E-2</v>
      </c>
      <c r="AG91" s="6">
        <f t="shared" si="11"/>
        <v>-4.0588859999999997E-2</v>
      </c>
      <c r="AH91" s="6">
        <f t="shared" si="11"/>
        <v>-4.1700840000000003E-2</v>
      </c>
      <c r="AI91" s="6">
        <f t="shared" si="11"/>
        <v>-3.8663860000000001E-2</v>
      </c>
      <c r="AJ91" s="6">
        <f t="shared" si="11"/>
        <v>-3.4741880000000003E-2</v>
      </c>
      <c r="AK91" s="6">
        <f t="shared" si="11"/>
        <v>-2.916765E-2</v>
      </c>
      <c r="AL91" s="6">
        <f t="shared" si="11"/>
        <v>-1.840019E-2</v>
      </c>
      <c r="AM91" s="6">
        <f t="shared" si="11"/>
        <v>-3.9238930000000003E-3</v>
      </c>
    </row>
    <row r="92" spans="7:39" x14ac:dyDescent="0.25">
      <c r="G92" s="5">
        <v>1</v>
      </c>
      <c r="H92" s="6">
        <f>G27</f>
        <v>6.6849710000000007E-2</v>
      </c>
      <c r="I92" s="6">
        <f t="shared" ref="I92:W92" si="12">H27</f>
        <v>-4.6535020000000003E-2</v>
      </c>
      <c r="J92" s="6">
        <f t="shared" si="12"/>
        <v>-6.2062260000000001E-2</v>
      </c>
      <c r="K92" s="6">
        <f t="shared" si="12"/>
        <v>-6.4764500000000003E-2</v>
      </c>
      <c r="L92" s="6">
        <f t="shared" si="12"/>
        <v>-6.2189580000000001E-2</v>
      </c>
      <c r="M92" s="6">
        <f t="shared" si="12"/>
        <v>-4.4403079999999996E-3</v>
      </c>
      <c r="N92" s="6">
        <f t="shared" si="12"/>
        <v>-6.3410279999999999E-2</v>
      </c>
      <c r="O92" s="6">
        <f t="shared" si="12"/>
        <v>-5.6448459999999999E-2</v>
      </c>
      <c r="P92" s="6">
        <f t="shared" si="12"/>
        <v>-5.336428E-2</v>
      </c>
      <c r="Q92" s="6">
        <f t="shared" si="12"/>
        <v>5.7321549999999999E-2</v>
      </c>
      <c r="R92" s="6">
        <f t="shared" si="12"/>
        <v>-4.4905189999999998E-2</v>
      </c>
      <c r="S92" s="6">
        <f t="shared" si="12"/>
        <v>-3.9267059999999999E-2</v>
      </c>
      <c r="T92" s="6">
        <f t="shared" si="12"/>
        <v>3.0812260000000001E-2</v>
      </c>
      <c r="U92" s="6">
        <f t="shared" si="12"/>
        <v>-3.132248E-2</v>
      </c>
      <c r="V92" s="6">
        <f t="shared" si="12"/>
        <v>-2.098417E-2</v>
      </c>
      <c r="W92" s="6">
        <f t="shared" si="12"/>
        <v>-1.5355590000000001E-2</v>
      </c>
      <c r="X92" s="6">
        <f>G28</f>
        <v>-1.284742E-2</v>
      </c>
      <c r="Y92" s="6">
        <f t="shared" ref="Y92:AM92" si="13">H28</f>
        <v>-4.708767E-3</v>
      </c>
      <c r="Z92" s="6">
        <f t="shared" si="13"/>
        <v>-1.6605379999999999E-2</v>
      </c>
      <c r="AA92" s="6">
        <f t="shared" si="13"/>
        <v>-2.2721290000000002E-2</v>
      </c>
      <c r="AB92" s="6">
        <f t="shared" si="13"/>
        <v>-2.579975E-2</v>
      </c>
      <c r="AC92" s="6">
        <f t="shared" si="13"/>
        <v>-3.0348779999999999E-2</v>
      </c>
      <c r="AD92" s="6">
        <f t="shared" si="13"/>
        <v>-4.1460509999999999E-2</v>
      </c>
      <c r="AE92" s="6">
        <f t="shared" si="13"/>
        <v>-4.3848039999999998E-2</v>
      </c>
      <c r="AF92" s="6">
        <f t="shared" si="13"/>
        <v>-4.6934129999999998E-2</v>
      </c>
      <c r="AG92" s="6">
        <f t="shared" si="13"/>
        <v>-4.665279E-2</v>
      </c>
      <c r="AH92" s="6">
        <f t="shared" si="13"/>
        <v>-4.9635409999999998E-2</v>
      </c>
      <c r="AI92" s="6">
        <f t="shared" si="13"/>
        <v>-4.8044679999999999E-2</v>
      </c>
      <c r="AJ92" s="6">
        <f t="shared" si="13"/>
        <v>-4.5224670000000002E-2</v>
      </c>
      <c r="AK92" s="6">
        <f t="shared" si="13"/>
        <v>-4.150438E-2</v>
      </c>
      <c r="AL92" s="6">
        <f t="shared" si="13"/>
        <v>-3.4631250000000002E-2</v>
      </c>
      <c r="AM92" s="6">
        <f t="shared" si="13"/>
        <v>-2.2802349999999999E-2</v>
      </c>
    </row>
    <row r="93" spans="7:39" x14ac:dyDescent="0.25">
      <c r="G93" s="5">
        <v>2</v>
      </c>
      <c r="H93" s="6">
        <f>G30</f>
        <v>6.8091390000000002E-2</v>
      </c>
      <c r="I93" s="6">
        <f t="shared" ref="I93:W93" si="14">H30</f>
        <v>-2.4157999999999999E-2</v>
      </c>
      <c r="J93" s="6">
        <f t="shared" si="14"/>
        <v>-4.3860910000000003E-2</v>
      </c>
      <c r="K93" s="6">
        <f t="shared" si="14"/>
        <v>-5.1773550000000002E-2</v>
      </c>
      <c r="L93" s="6">
        <f t="shared" si="14"/>
        <v>-5.2088740000000001E-2</v>
      </c>
      <c r="M93" s="6">
        <f t="shared" si="14"/>
        <v>-4.1098590000000004E-3</v>
      </c>
      <c r="N93" s="6">
        <f t="shared" si="14"/>
        <v>-5.6815619999999997E-2</v>
      </c>
      <c r="O93" s="6">
        <f t="shared" si="14"/>
        <v>-5.1398279999999998E-2</v>
      </c>
      <c r="P93" s="6">
        <f t="shared" si="14"/>
        <v>-4.8775199999999998E-2</v>
      </c>
      <c r="Q93" s="6">
        <f t="shared" si="14"/>
        <v>5.6649209999999998E-2</v>
      </c>
      <c r="R93" s="6">
        <f t="shared" si="14"/>
        <v>-4.2016030000000003E-2</v>
      </c>
      <c r="S93" s="6">
        <f t="shared" si="14"/>
        <v>-3.7022109999999997E-2</v>
      </c>
      <c r="T93" s="6">
        <f t="shared" si="14"/>
        <v>3.1162740000000001E-2</v>
      </c>
      <c r="U93" s="6">
        <f t="shared" si="14"/>
        <v>-2.9937269999999998E-2</v>
      </c>
      <c r="V93" s="6">
        <f t="shared" si="14"/>
        <v>-2.2605900000000002E-2</v>
      </c>
      <c r="W93" s="6">
        <f t="shared" si="14"/>
        <v>-1.463413E-2</v>
      </c>
      <c r="X93" s="6">
        <f>G31</f>
        <v>-1.1216159999999999E-2</v>
      </c>
      <c r="Y93" s="6">
        <f t="shared" ref="Y93:AM93" si="15">H31</f>
        <v>-3.4041399999999999E-3</v>
      </c>
      <c r="Z93" s="6">
        <f t="shared" si="15"/>
        <v>-1.6247270000000001E-2</v>
      </c>
      <c r="AA93" s="6">
        <f t="shared" si="15"/>
        <v>-2.0987510000000001E-2</v>
      </c>
      <c r="AB93" s="6">
        <f t="shared" si="15"/>
        <v>-2.6522159999999999E-2</v>
      </c>
      <c r="AC93" s="6">
        <f t="shared" si="15"/>
        <v>-3.1599519999999999E-2</v>
      </c>
      <c r="AD93" s="6">
        <f t="shared" si="15"/>
        <v>-4.475498E-2</v>
      </c>
      <c r="AE93" s="6">
        <f t="shared" si="15"/>
        <v>-4.8392770000000002E-2</v>
      </c>
      <c r="AF93" s="6">
        <f t="shared" si="15"/>
        <v>-5.2237510000000001E-2</v>
      </c>
      <c r="AG93" s="6">
        <f t="shared" si="15"/>
        <v>-5.3262709999999998E-2</v>
      </c>
      <c r="AH93" s="6">
        <f t="shared" si="15"/>
        <v>-5.684662E-2</v>
      </c>
      <c r="AI93" s="6">
        <f t="shared" si="15"/>
        <v>-5.7778839999999998E-2</v>
      </c>
      <c r="AJ93" s="6">
        <f t="shared" si="15"/>
        <v>-5.6060310000000002E-2</v>
      </c>
      <c r="AK93" s="6">
        <f t="shared" si="15"/>
        <v>-5.4751399999999999E-2</v>
      </c>
      <c r="AL93" s="6">
        <f t="shared" si="15"/>
        <v>-5.1417829999999998E-2</v>
      </c>
      <c r="AM93" s="6">
        <f t="shared" si="15"/>
        <v>-4.3664929999999998E-2</v>
      </c>
    </row>
    <row r="94" spans="7:39" x14ac:dyDescent="0.25">
      <c r="G94" s="5">
        <v>3</v>
      </c>
      <c r="H94" s="6">
        <f>G33</f>
        <v>6.6326140000000006E-2</v>
      </c>
      <c r="I94" s="6">
        <f t="shared" ref="I94:W94" si="16">H33</f>
        <v>-3.3192629999999998E-3</v>
      </c>
      <c r="J94" s="6">
        <f t="shared" si="16"/>
        <v>-2.6350499999999999E-2</v>
      </c>
      <c r="K94" s="6">
        <f t="shared" si="16"/>
        <v>-3.7923810000000002E-2</v>
      </c>
      <c r="L94" s="6">
        <f t="shared" si="16"/>
        <v>-4.0445330000000002E-2</v>
      </c>
      <c r="M94" s="6">
        <f t="shared" si="16"/>
        <v>-3.418922E-3</v>
      </c>
      <c r="N94" s="6">
        <f t="shared" si="16"/>
        <v>-4.925442E-2</v>
      </c>
      <c r="O94" s="6">
        <f t="shared" si="16"/>
        <v>-4.4598100000000002E-2</v>
      </c>
      <c r="P94" s="6">
        <f t="shared" si="16"/>
        <v>-4.340219E-2</v>
      </c>
      <c r="Q94" s="6">
        <f t="shared" si="16"/>
        <v>5.6129459999999999E-2</v>
      </c>
      <c r="R94" s="6">
        <f t="shared" si="16"/>
        <v>-3.8894650000000003E-2</v>
      </c>
      <c r="S94" s="6">
        <f t="shared" si="16"/>
        <v>-3.3912659999999997E-2</v>
      </c>
      <c r="T94" s="6">
        <f t="shared" si="16"/>
        <v>3.1162740000000001E-2</v>
      </c>
      <c r="U94" s="6">
        <f t="shared" si="16"/>
        <v>-2.7344230000000001E-2</v>
      </c>
      <c r="V94" s="6">
        <f t="shared" si="16"/>
        <v>-2.4246690000000001E-2</v>
      </c>
      <c r="W94" s="6">
        <f t="shared" si="16"/>
        <v>-1.3368130000000001E-2</v>
      </c>
      <c r="X94" s="6">
        <f>G34</f>
        <v>-1.067162E-2</v>
      </c>
      <c r="Y94" s="6">
        <f t="shared" ref="Y94:AM94" si="17">H34</f>
        <v>-3.5829540000000002E-3</v>
      </c>
      <c r="Z94" s="6">
        <f t="shared" si="17"/>
        <v>-1.642799E-2</v>
      </c>
      <c r="AA94" s="6">
        <f t="shared" si="17"/>
        <v>-2.2025110000000001E-2</v>
      </c>
      <c r="AB94" s="6">
        <f t="shared" si="17"/>
        <v>-2.4715899999999999E-2</v>
      </c>
      <c r="AC94" s="6">
        <f t="shared" si="17"/>
        <v>-3.3029559999999999E-2</v>
      </c>
      <c r="AD94" s="6">
        <f t="shared" si="17"/>
        <v>-4.7874930000000003E-2</v>
      </c>
      <c r="AE94" s="6">
        <f t="shared" si="17"/>
        <v>-5.2390579999999999E-2</v>
      </c>
      <c r="AF94" s="6">
        <f t="shared" si="17"/>
        <v>-5.6717400000000001E-2</v>
      </c>
      <c r="AG94" s="6">
        <f t="shared" si="17"/>
        <v>-5.8956620000000001E-2</v>
      </c>
      <c r="AH94" s="6">
        <f t="shared" si="17"/>
        <v>-6.387806E-2</v>
      </c>
      <c r="AI94" s="6">
        <f t="shared" si="17"/>
        <v>-6.6791059999999999E-2</v>
      </c>
      <c r="AJ94" s="6">
        <f t="shared" si="17"/>
        <v>-6.67243E-2</v>
      </c>
      <c r="AK94" s="6">
        <f t="shared" si="17"/>
        <v>-6.7631239999999995E-2</v>
      </c>
      <c r="AL94" s="6">
        <f t="shared" si="17"/>
        <v>-6.8927290000000002E-2</v>
      </c>
      <c r="AM94" s="6">
        <f t="shared" si="17"/>
        <v>-6.6668030000000003E-2</v>
      </c>
    </row>
    <row r="95" spans="7:39" x14ac:dyDescent="0.25">
      <c r="G95" s="5">
        <v>4</v>
      </c>
      <c r="H95" s="6">
        <f>G36</f>
        <v>5.8549879999999999E-2</v>
      </c>
      <c r="I95" s="6">
        <f t="shared" ref="I95:W95" si="18">H36</f>
        <v>1.5666960000000001E-2</v>
      </c>
      <c r="J95" s="6">
        <f t="shared" si="18"/>
        <v>-9.3736649999999998E-3</v>
      </c>
      <c r="K95" s="6">
        <f t="shared" si="18"/>
        <v>-2.474117E-2</v>
      </c>
      <c r="L95" s="6">
        <f t="shared" si="18"/>
        <v>-2.9826640000000001E-2</v>
      </c>
      <c r="M95" s="6">
        <f t="shared" si="18"/>
        <v>-2.5281909999999999E-3</v>
      </c>
      <c r="N95" s="6">
        <f t="shared" si="18"/>
        <v>-4.116964E-2</v>
      </c>
      <c r="O95" s="6">
        <f t="shared" si="18"/>
        <v>-3.832054E-2</v>
      </c>
      <c r="P95" s="6">
        <f t="shared" si="18"/>
        <v>-3.8207530000000003E-2</v>
      </c>
      <c r="Q95" s="6">
        <f t="shared" si="18"/>
        <v>5.630255E-2</v>
      </c>
      <c r="R95" s="6">
        <f t="shared" si="18"/>
        <v>-3.5140989999999997E-2</v>
      </c>
      <c r="S95" s="6">
        <f t="shared" si="18"/>
        <v>-3.126574E-2</v>
      </c>
      <c r="T95" s="6">
        <f t="shared" si="18"/>
        <v>3.1351089999999998E-2</v>
      </c>
      <c r="U95" s="6">
        <f t="shared" si="18"/>
        <v>-2.5787830000000001E-2</v>
      </c>
      <c r="V95" s="6">
        <f t="shared" si="18"/>
        <v>-2.1511079999999998E-2</v>
      </c>
      <c r="W95" s="6">
        <f t="shared" si="18"/>
        <v>-1.5607360000000001E-2</v>
      </c>
      <c r="X95" s="6">
        <f>G37</f>
        <v>-1.0852809999999999E-2</v>
      </c>
      <c r="Y95" s="6">
        <f t="shared" ref="Y95:AM95" si="19">H37</f>
        <v>-3.8909909999999999E-3</v>
      </c>
      <c r="Z95" s="6">
        <f t="shared" si="19"/>
        <v>-1.661205E-2</v>
      </c>
      <c r="AA95" s="6">
        <f t="shared" si="19"/>
        <v>-2.254105E-2</v>
      </c>
      <c r="AB95" s="6">
        <f t="shared" si="19"/>
        <v>-2.6164050000000001E-2</v>
      </c>
      <c r="AC95" s="6">
        <f t="shared" si="19"/>
        <v>-3.3569340000000003E-2</v>
      </c>
      <c r="AD95" s="6">
        <f t="shared" si="19"/>
        <v>-5.1329609999999998E-2</v>
      </c>
      <c r="AE95" s="6">
        <f t="shared" si="19"/>
        <v>-5.7308199999999997E-2</v>
      </c>
      <c r="AF95" s="6">
        <f t="shared" si="19"/>
        <v>-6.208992E-2</v>
      </c>
      <c r="AG95" s="6">
        <f t="shared" si="19"/>
        <v>-6.4469810000000002E-2</v>
      </c>
      <c r="AH95" s="6">
        <f t="shared" si="19"/>
        <v>-7.1110729999999997E-2</v>
      </c>
      <c r="AI95" s="6">
        <f t="shared" si="19"/>
        <v>-7.6336860000000006E-2</v>
      </c>
      <c r="AJ95" s="6">
        <f t="shared" si="19"/>
        <v>-7.7905650000000007E-2</v>
      </c>
      <c r="AK95" s="6">
        <f t="shared" si="19"/>
        <v>-8.1419939999999996E-2</v>
      </c>
      <c r="AL95" s="6">
        <f t="shared" si="19"/>
        <v>-8.7709899999999993E-2</v>
      </c>
      <c r="AM95" s="6">
        <f t="shared" si="19"/>
        <v>-9.1823100000000005E-2</v>
      </c>
    </row>
    <row r="96" spans="7:39" x14ac:dyDescent="0.25">
      <c r="G96" s="5">
        <v>5</v>
      </c>
      <c r="H96" s="6">
        <f>G39</f>
        <v>4.3576719999999999E-2</v>
      </c>
      <c r="I96" s="6">
        <f t="shared" ref="I96:W96" si="20">H39</f>
        <v>3.2300000000000002E-2</v>
      </c>
      <c r="J96" s="6">
        <f t="shared" si="20"/>
        <v>6.4482690000000004E-3</v>
      </c>
      <c r="K96" s="6">
        <f t="shared" si="20"/>
        <v>-1.154613E-2</v>
      </c>
      <c r="L96" s="6">
        <f t="shared" si="20"/>
        <v>-1.8351079999999999E-2</v>
      </c>
      <c r="M96" s="6">
        <f t="shared" si="20"/>
        <v>-2.1710399999999999E-3</v>
      </c>
      <c r="N96" s="6">
        <f t="shared" si="20"/>
        <v>-3.2639979999999999E-2</v>
      </c>
      <c r="O96" s="6">
        <f t="shared" si="20"/>
        <v>-3.1014440000000001E-2</v>
      </c>
      <c r="P96" s="6">
        <f t="shared" si="20"/>
        <v>-3.1625750000000001E-2</v>
      </c>
      <c r="Q96" s="6">
        <f t="shared" si="20"/>
        <v>5.514956E-2</v>
      </c>
      <c r="R96" s="6">
        <f t="shared" si="20"/>
        <v>-3.0691619999999999E-2</v>
      </c>
      <c r="S96" s="6">
        <f t="shared" si="20"/>
        <v>-2.821684E-2</v>
      </c>
      <c r="T96" s="6">
        <f t="shared" si="20"/>
        <v>3.2242300000000002E-2</v>
      </c>
      <c r="U96" s="6">
        <f t="shared" si="20"/>
        <v>-2.2846700000000001E-2</v>
      </c>
      <c r="V96" s="6">
        <f t="shared" si="20"/>
        <v>-1.9285199999999999E-2</v>
      </c>
      <c r="W96" s="6">
        <f t="shared" si="20"/>
        <v>-1.657867E-2</v>
      </c>
      <c r="X96" s="6">
        <f>G40</f>
        <v>-1.2124060000000001E-2</v>
      </c>
      <c r="Y96" s="6">
        <f t="shared" ref="Y96:AM96" si="21">H40</f>
        <v>-5.1465030000000002E-3</v>
      </c>
      <c r="Z96" s="6">
        <f t="shared" si="21"/>
        <v>-1.606894E-2</v>
      </c>
      <c r="AA96" s="6">
        <f t="shared" si="21"/>
        <v>-2.3057939999999999E-2</v>
      </c>
      <c r="AB96" s="6">
        <f t="shared" si="21"/>
        <v>-2.7789589999999999E-2</v>
      </c>
      <c r="AC96" s="6">
        <f t="shared" si="21"/>
        <v>-3.6608219999999997E-2</v>
      </c>
      <c r="AD96" s="6">
        <f t="shared" si="21"/>
        <v>-5.5663110000000002E-2</v>
      </c>
      <c r="AE96" s="6">
        <f t="shared" si="21"/>
        <v>-6.1306479999999997E-2</v>
      </c>
      <c r="AF96" s="6">
        <f t="shared" si="21"/>
        <v>-6.703568E-2</v>
      </c>
      <c r="AG96" s="6">
        <f t="shared" si="21"/>
        <v>-7.0899009999999998E-2</v>
      </c>
      <c r="AH96" s="6">
        <f t="shared" si="21"/>
        <v>-7.8854560000000004E-2</v>
      </c>
      <c r="AI96" s="6">
        <f t="shared" si="21"/>
        <v>-8.6266519999999999E-2</v>
      </c>
      <c r="AJ96" s="6">
        <f t="shared" si="21"/>
        <v>-9.010696E-2</v>
      </c>
      <c r="AK96" s="6">
        <f t="shared" si="21"/>
        <v>-9.7208500000000003E-2</v>
      </c>
      <c r="AL96" s="6">
        <f t="shared" si="21"/>
        <v>-0.1088667</v>
      </c>
      <c r="AM96" s="6">
        <f t="shared" si="21"/>
        <v>-0.1205039</v>
      </c>
    </row>
    <row r="97" spans="7:39" x14ac:dyDescent="0.25">
      <c r="G97" s="5">
        <v>6</v>
      </c>
      <c r="H97" s="6">
        <f>G42</f>
        <v>2.0094870000000001E-2</v>
      </c>
      <c r="I97" s="6">
        <f t="shared" ref="I97:W97" si="22">H42</f>
        <v>4.5786380000000002E-2</v>
      </c>
      <c r="J97" s="6">
        <f t="shared" si="22"/>
        <v>2.1333689999999999E-2</v>
      </c>
      <c r="K97" s="6">
        <f t="shared" si="22"/>
        <v>1.280308E-3</v>
      </c>
      <c r="L97" s="6">
        <f t="shared" si="22"/>
        <v>-6.8778989999999998E-3</v>
      </c>
      <c r="M97" s="6">
        <f t="shared" si="22"/>
        <v>-1.307964E-3</v>
      </c>
      <c r="N97" s="6">
        <f t="shared" si="22"/>
        <v>-2.4198529999999999E-2</v>
      </c>
      <c r="O97" s="6">
        <f t="shared" si="22"/>
        <v>-2.3516180000000001E-2</v>
      </c>
      <c r="P97" s="6">
        <f t="shared" si="22"/>
        <v>-2.538586E-2</v>
      </c>
      <c r="Q97" s="6">
        <f t="shared" si="22"/>
        <v>5.5323120000000003E-2</v>
      </c>
      <c r="R97" s="6">
        <f t="shared" si="22"/>
        <v>-2.6182649999999998E-2</v>
      </c>
      <c r="S97" s="6">
        <f t="shared" si="22"/>
        <v>-2.3896690000000002E-2</v>
      </c>
      <c r="T97" s="6">
        <f t="shared" si="22"/>
        <v>3.2774449999999997E-2</v>
      </c>
      <c r="U97" s="6">
        <f t="shared" si="22"/>
        <v>-2.0252699999999998E-2</v>
      </c>
      <c r="V97" s="6">
        <f t="shared" si="22"/>
        <v>-1.6003130000000001E-2</v>
      </c>
      <c r="W97" s="6">
        <f t="shared" si="22"/>
        <v>-1.3684750000000001E-2</v>
      </c>
      <c r="X97" s="6">
        <f>G43</f>
        <v>-1.230526E-2</v>
      </c>
      <c r="Y97" s="6">
        <f t="shared" ref="Y97:AM97" si="23">H43</f>
        <v>-6.4010619999999999E-3</v>
      </c>
      <c r="Z97" s="6">
        <f t="shared" si="23"/>
        <v>-1.6974449999999999E-2</v>
      </c>
      <c r="AA97" s="6">
        <f t="shared" si="23"/>
        <v>-2.3576739999999999E-2</v>
      </c>
      <c r="AB97" s="6">
        <f t="shared" si="23"/>
        <v>-2.8511999999999999E-2</v>
      </c>
      <c r="AC97" s="6">
        <f t="shared" si="23"/>
        <v>-3.8038250000000003E-2</v>
      </c>
      <c r="AD97" s="6">
        <f t="shared" si="23"/>
        <v>-5.7223320000000001E-2</v>
      </c>
      <c r="AE97" s="6">
        <f t="shared" si="23"/>
        <v>-6.6577430000000007E-2</v>
      </c>
      <c r="AF97" s="6">
        <f t="shared" si="23"/>
        <v>-7.2770119999999994E-2</v>
      </c>
      <c r="AG97" s="6">
        <f t="shared" si="23"/>
        <v>-7.787848E-2</v>
      </c>
      <c r="AH97" s="6">
        <f t="shared" si="23"/>
        <v>-8.6966989999999994E-2</v>
      </c>
      <c r="AI97" s="6">
        <f t="shared" si="23"/>
        <v>-9.6900940000000005E-2</v>
      </c>
      <c r="AJ97" s="6">
        <f t="shared" si="23"/>
        <v>-0.1021686</v>
      </c>
      <c r="AK97" s="6">
        <f t="shared" si="23"/>
        <v>-0.1133533</v>
      </c>
      <c r="AL97" s="6">
        <f t="shared" si="23"/>
        <v>-0.13148070000000001</v>
      </c>
      <c r="AM97" s="6">
        <f t="shared" si="23"/>
        <v>-0.15170620000000001</v>
      </c>
    </row>
    <row r="98" spans="7:39" x14ac:dyDescent="0.25">
      <c r="G98" s="5">
        <v>7</v>
      </c>
      <c r="H98" s="6">
        <f>G45</f>
        <v>-9.7413059999999999E-3</v>
      </c>
      <c r="I98" s="6">
        <f t="shared" ref="I98:W98" si="24">H45</f>
        <v>5.4635049999999998E-2</v>
      </c>
      <c r="J98" s="6">
        <f t="shared" si="24"/>
        <v>3.3272740000000002E-2</v>
      </c>
      <c r="K98" s="6">
        <f t="shared" si="24"/>
        <v>1.2718200000000001E-2</v>
      </c>
      <c r="L98" s="6">
        <f t="shared" si="24"/>
        <v>2.7160639999999998E-3</v>
      </c>
      <c r="M98" s="6">
        <f t="shared" si="24"/>
        <v>-7.8916550000000005E-4</v>
      </c>
      <c r="N98" s="6">
        <f t="shared" si="24"/>
        <v>-1.6288279999999999E-2</v>
      </c>
      <c r="O98" s="6">
        <f t="shared" si="24"/>
        <v>-1.6535279999999999E-2</v>
      </c>
      <c r="P98" s="6">
        <f t="shared" si="24"/>
        <v>-1.854134E-2</v>
      </c>
      <c r="Q98" s="6">
        <f t="shared" si="24"/>
        <v>5.4629799999999999E-2</v>
      </c>
      <c r="R98" s="6">
        <f t="shared" si="24"/>
        <v>-2.1790980000000001E-2</v>
      </c>
      <c r="S98" s="6">
        <f t="shared" si="24"/>
        <v>-1.992464E-2</v>
      </c>
      <c r="T98" s="6">
        <f t="shared" si="24"/>
        <v>3.2069680000000003E-2</v>
      </c>
      <c r="U98" s="6">
        <f t="shared" si="24"/>
        <v>-1.748419E-2</v>
      </c>
      <c r="V98" s="6">
        <f t="shared" si="24"/>
        <v>-1.343107E-2</v>
      </c>
      <c r="W98" s="6">
        <f t="shared" si="24"/>
        <v>-1.068211E-2</v>
      </c>
      <c r="X98" s="6">
        <f>G46</f>
        <v>-9.5877649999999998E-3</v>
      </c>
      <c r="Y98" s="6">
        <f t="shared" ref="Y98:AM98" si="25">H46</f>
        <v>-9.2668530000000002E-3</v>
      </c>
      <c r="Z98" s="6">
        <f t="shared" si="25"/>
        <v>-1.7702099999999998E-2</v>
      </c>
      <c r="AA98" s="6">
        <f t="shared" si="25"/>
        <v>-2.444267E-2</v>
      </c>
      <c r="AB98" s="6">
        <f t="shared" si="25"/>
        <v>-2.9598240000000001E-2</v>
      </c>
      <c r="AC98" s="6">
        <f t="shared" si="25"/>
        <v>-3.8934709999999997E-2</v>
      </c>
      <c r="AD98" s="6">
        <f t="shared" si="25"/>
        <v>-6.1903949999999999E-2</v>
      </c>
      <c r="AE98" s="6">
        <f t="shared" si="25"/>
        <v>-6.8405629999999995E-2</v>
      </c>
      <c r="AF98" s="6">
        <f t="shared" si="25"/>
        <v>-7.8142169999999997E-2</v>
      </c>
      <c r="AG98" s="6">
        <f t="shared" si="25"/>
        <v>-8.5963730000000002E-2</v>
      </c>
      <c r="AH98" s="6">
        <f t="shared" si="25"/>
        <v>-9.5270160000000007E-2</v>
      </c>
      <c r="AI98" s="6">
        <f t="shared" si="25"/>
        <v>-0.1077166</v>
      </c>
      <c r="AJ98" s="6">
        <f t="shared" si="25"/>
        <v>-0.1145468</v>
      </c>
      <c r="AK98" s="6">
        <f t="shared" si="25"/>
        <v>-0.12912850000000001</v>
      </c>
      <c r="AL98" s="6">
        <f t="shared" si="25"/>
        <v>-0.15391250000000001</v>
      </c>
      <c r="AM98" s="6">
        <f t="shared" si="25"/>
        <v>-0.1830831</v>
      </c>
    </row>
    <row r="99" spans="7:39" x14ac:dyDescent="0.25">
      <c r="G99" s="5">
        <v>8</v>
      </c>
      <c r="H99" s="6">
        <f>G48</f>
        <v>-3.8698200000000002E-2</v>
      </c>
      <c r="I99" s="6">
        <f t="shared" ref="I99:W99" si="26">H48</f>
        <v>6.0298919999999999E-2</v>
      </c>
      <c r="J99" s="6">
        <f t="shared" si="26"/>
        <v>4.1987419999999998E-2</v>
      </c>
      <c r="K99" s="6">
        <f t="shared" si="26"/>
        <v>2.1283630000000001E-2</v>
      </c>
      <c r="L99" s="6">
        <f t="shared" si="26"/>
        <v>1.0764599999999999E-2</v>
      </c>
      <c r="M99" s="6">
        <f t="shared" si="26"/>
        <v>-2.7132030000000002E-4</v>
      </c>
      <c r="N99" s="6">
        <f t="shared" si="26"/>
        <v>-9.788036E-3</v>
      </c>
      <c r="O99" s="6">
        <f t="shared" si="26"/>
        <v>-1.1476989999999999E-2</v>
      </c>
      <c r="P99" s="6">
        <f t="shared" si="26"/>
        <v>-1.4480109999999999E-2</v>
      </c>
      <c r="Q99" s="6">
        <f t="shared" si="26"/>
        <v>5.4610249999999999E-2</v>
      </c>
      <c r="R99" s="6">
        <f t="shared" si="26"/>
        <v>-1.8963810000000001E-2</v>
      </c>
      <c r="S99" s="6">
        <f t="shared" si="26"/>
        <v>-1.8256189999999999E-2</v>
      </c>
      <c r="T99" s="6">
        <f t="shared" si="26"/>
        <v>3.2601360000000003E-2</v>
      </c>
      <c r="U99" s="6">
        <f t="shared" si="26"/>
        <v>-1.6619680000000001E-2</v>
      </c>
      <c r="V99" s="6">
        <f t="shared" si="26"/>
        <v>-1.3046739999999999E-2</v>
      </c>
      <c r="W99" s="6">
        <f t="shared" si="26"/>
        <v>-1.043558E-2</v>
      </c>
      <c r="X99" s="6">
        <f>G49</f>
        <v>-9.0374949999999996E-3</v>
      </c>
      <c r="Y99" s="6">
        <f t="shared" ref="Y99:AM99" si="27">H49</f>
        <v>-7.9617500000000001E-3</v>
      </c>
      <c r="Z99" s="6">
        <f t="shared" si="27"/>
        <v>-1.607275E-2</v>
      </c>
      <c r="AA99" s="6">
        <f t="shared" si="27"/>
        <v>-2.270985E-2</v>
      </c>
      <c r="AB99" s="6">
        <f t="shared" si="27"/>
        <v>-2.833366E-2</v>
      </c>
      <c r="AC99" s="6">
        <f t="shared" si="27"/>
        <v>-3.8398740000000001E-2</v>
      </c>
      <c r="AD99" s="6">
        <f t="shared" si="27"/>
        <v>-6.3972000000000001E-2</v>
      </c>
      <c r="AE99" s="6">
        <f t="shared" si="27"/>
        <v>-7.3131559999999998E-2</v>
      </c>
      <c r="AF99" s="6">
        <f t="shared" si="27"/>
        <v>-8.2664970000000004E-2</v>
      </c>
      <c r="AG99" s="6">
        <f t="shared" si="27"/>
        <v>-8.8902469999999997E-2</v>
      </c>
      <c r="AH99" s="6">
        <f t="shared" si="27"/>
        <v>-9.8697660000000006E-2</v>
      </c>
      <c r="AI99" s="6">
        <f t="shared" si="27"/>
        <v>-0.1190729</v>
      </c>
      <c r="AJ99" s="6">
        <f t="shared" si="27"/>
        <v>-0.12712570000000001</v>
      </c>
      <c r="AK99" s="6">
        <f t="shared" si="27"/>
        <v>-0.14419360000000001</v>
      </c>
      <c r="AL99" s="6">
        <f t="shared" si="27"/>
        <v>-0.17307139999999999</v>
      </c>
      <c r="AM99" s="6">
        <f t="shared" si="27"/>
        <v>-0.2078624</v>
      </c>
    </row>
    <row r="100" spans="7:39" x14ac:dyDescent="0.25">
      <c r="G100" s="5">
        <v>9</v>
      </c>
      <c r="H100" s="6">
        <f>G51</f>
        <v>-6.9765090000000002E-2</v>
      </c>
      <c r="I100" s="6">
        <f t="shared" ref="I100:W100" si="28">H51</f>
        <v>6.2576290000000007E-2</v>
      </c>
      <c r="J100" s="6">
        <f t="shared" si="28"/>
        <v>4.8117159999999999E-2</v>
      </c>
      <c r="K100" s="6">
        <f t="shared" si="28"/>
        <v>2.7954099999999999E-2</v>
      </c>
      <c r="L100" s="6">
        <f t="shared" si="28"/>
        <v>1.675892E-2</v>
      </c>
      <c r="M100" s="6">
        <f t="shared" si="28"/>
        <v>7.3909759999999999E-5</v>
      </c>
      <c r="N100" s="6">
        <f t="shared" si="28"/>
        <v>-4.5113560000000002E-3</v>
      </c>
      <c r="O100" s="6">
        <f t="shared" si="28"/>
        <v>-6.768703E-3</v>
      </c>
      <c r="P100" s="6">
        <f t="shared" si="28"/>
        <v>-1.04928E-2</v>
      </c>
      <c r="Q100" s="6">
        <f t="shared" si="28"/>
        <v>5.3744319999999998E-2</v>
      </c>
      <c r="R100" s="6">
        <f t="shared" si="28"/>
        <v>-1.6016010000000001E-2</v>
      </c>
      <c r="S100" s="6">
        <f t="shared" si="28"/>
        <v>-1.5836719999999999E-2</v>
      </c>
      <c r="T100" s="6">
        <f t="shared" si="28"/>
        <v>3.3310890000000003E-2</v>
      </c>
      <c r="U100" s="6">
        <f t="shared" si="28"/>
        <v>-1.5755180000000001E-2</v>
      </c>
      <c r="V100" s="6">
        <f t="shared" si="28"/>
        <v>-1.286411E-2</v>
      </c>
      <c r="W100" s="6">
        <f t="shared" si="28"/>
        <v>-1.097822E-2</v>
      </c>
      <c r="X100" s="6">
        <f>G52</f>
        <v>-1.012659E-2</v>
      </c>
      <c r="Y100" s="6">
        <f t="shared" ref="Y100:AM100" si="29">H52</f>
        <v>-9.5748900000000008E-3</v>
      </c>
      <c r="Z100" s="6">
        <f t="shared" si="29"/>
        <v>-1.5167709999999999E-2</v>
      </c>
      <c r="AA100" s="6">
        <f t="shared" si="29"/>
        <v>-2.167177E-2</v>
      </c>
      <c r="AB100" s="6">
        <f t="shared" si="29"/>
        <v>-2.8152940000000001E-2</v>
      </c>
      <c r="AC100" s="6">
        <f t="shared" si="29"/>
        <v>-3.8398740000000001E-2</v>
      </c>
      <c r="AD100" s="6">
        <f t="shared" si="29"/>
        <v>-6.5186019999999997E-2</v>
      </c>
      <c r="AE100" s="6">
        <f t="shared" si="29"/>
        <v>-7.6584340000000001E-2</v>
      </c>
      <c r="AF100" s="6">
        <f t="shared" si="29"/>
        <v>-8.5531709999999997E-2</v>
      </c>
      <c r="AG100" s="6">
        <f t="shared" si="29"/>
        <v>-9.3494419999999995E-2</v>
      </c>
      <c r="AH100" s="6">
        <f t="shared" si="29"/>
        <v>-0.1071706</v>
      </c>
      <c r="AI100" s="6">
        <f t="shared" si="29"/>
        <v>-0.11745070000000001</v>
      </c>
      <c r="AJ100" s="6">
        <f t="shared" si="29"/>
        <v>-0.14845230000000001</v>
      </c>
      <c r="AK100" s="6">
        <f t="shared" si="29"/>
        <v>-0.1681376</v>
      </c>
      <c r="AL100" s="6">
        <f t="shared" si="29"/>
        <v>-0.19076009999999999</v>
      </c>
      <c r="AM100" s="6">
        <f t="shared" si="29"/>
        <v>-0.23228499999999999</v>
      </c>
    </row>
    <row r="101" spans="7:39" x14ac:dyDescent="0.25">
      <c r="G101" s="5">
        <v>10</v>
      </c>
      <c r="H101" s="6">
        <f>G54</f>
        <v>-0.10576530000000001</v>
      </c>
      <c r="I101" s="6">
        <f t="shared" ref="I101:W101" si="30">H54</f>
        <v>6.3129900000000003E-2</v>
      </c>
      <c r="J101" s="6">
        <f t="shared" si="30"/>
        <v>5.3618430000000002E-2</v>
      </c>
      <c r="K101" s="6">
        <f t="shared" si="30"/>
        <v>3.4319879999999997E-2</v>
      </c>
      <c r="L101" s="6">
        <f t="shared" si="30"/>
        <v>2.2585870000000001E-2</v>
      </c>
      <c r="M101" s="6">
        <f t="shared" si="30"/>
        <v>4.4775009999999999E-4</v>
      </c>
      <c r="N101" s="6">
        <f t="shared" si="30"/>
        <v>4.5967099999999998E-4</v>
      </c>
      <c r="O101" s="6">
        <f t="shared" si="30"/>
        <v>-2.7627939999999998E-3</v>
      </c>
      <c r="P101" s="6">
        <f t="shared" si="30"/>
        <v>-6.5093039999999996E-3</v>
      </c>
      <c r="Q101" s="6">
        <f t="shared" si="30"/>
        <v>5.4304119999999997E-2</v>
      </c>
      <c r="R101" s="6">
        <f t="shared" si="30"/>
        <v>-1.3470650000000001E-2</v>
      </c>
      <c r="S101" s="6">
        <f t="shared" si="30"/>
        <v>-1.376486E-2</v>
      </c>
      <c r="T101" s="6">
        <f t="shared" si="30"/>
        <v>3.3493040000000002E-2</v>
      </c>
      <c r="U101" s="6">
        <f t="shared" si="30"/>
        <v>-1.488781E-2</v>
      </c>
      <c r="V101" s="6">
        <f t="shared" si="30"/>
        <v>-1.266193E-2</v>
      </c>
      <c r="W101" s="6">
        <f t="shared" si="30"/>
        <v>-1.0934350000000001E-2</v>
      </c>
      <c r="X101" s="6">
        <f>G55</f>
        <v>-1.122189E-2</v>
      </c>
      <c r="Y101" s="6">
        <f t="shared" ref="Y101:AM101" si="31">H55</f>
        <v>-1.0647770000000001E-2</v>
      </c>
      <c r="Z101" s="6">
        <f t="shared" si="31"/>
        <v>-1.426506E-2</v>
      </c>
      <c r="AA101" s="6">
        <f t="shared" si="31"/>
        <v>-2.0635130000000002E-2</v>
      </c>
      <c r="AB101" s="6">
        <f t="shared" si="31"/>
        <v>-2.725267E-2</v>
      </c>
      <c r="AC101" s="6">
        <f t="shared" si="31"/>
        <v>-3.7147050000000001E-2</v>
      </c>
      <c r="AD101" s="6">
        <f t="shared" si="31"/>
        <v>-6.6561700000000001E-2</v>
      </c>
      <c r="AE101" s="6">
        <f t="shared" si="31"/>
        <v>-7.8776840000000001E-2</v>
      </c>
      <c r="AF101" s="6">
        <f t="shared" si="31"/>
        <v>-8.8756559999999998E-2</v>
      </c>
      <c r="AG101" s="6">
        <f t="shared" si="31"/>
        <v>-9.8086359999999997E-2</v>
      </c>
      <c r="AH101" s="6">
        <f t="shared" si="31"/>
        <v>-0.1131201</v>
      </c>
      <c r="AI101" s="6">
        <f t="shared" si="31"/>
        <v>-0.127914</v>
      </c>
      <c r="AJ101" s="6">
        <f t="shared" si="31"/>
        <v>-0.12642239999999999</v>
      </c>
      <c r="AK101" s="6">
        <f t="shared" si="31"/>
        <v>-0.19951730000000001</v>
      </c>
      <c r="AL101" s="6">
        <f t="shared" si="31"/>
        <v>-0.2161083</v>
      </c>
      <c r="AM101" s="6">
        <f t="shared" si="31"/>
        <v>-0.25528190000000001</v>
      </c>
    </row>
    <row r="102" spans="7:39" x14ac:dyDescent="0.25">
      <c r="G102" s="5">
        <v>11</v>
      </c>
      <c r="H102" s="6">
        <f>G57</f>
        <v>-0.1438894</v>
      </c>
      <c r="I102" s="6">
        <f t="shared" ref="I102:W102" si="32">H57</f>
        <v>6.2954899999999994E-2</v>
      </c>
      <c r="J102" s="6">
        <f t="shared" si="32"/>
        <v>5.7154660000000003E-2</v>
      </c>
      <c r="K102" s="6">
        <f t="shared" si="32"/>
        <v>4.0133000000000002E-2</v>
      </c>
      <c r="L102" s="6">
        <f t="shared" si="32"/>
        <v>2.8408530000000001E-2</v>
      </c>
      <c r="M102" s="6">
        <f t="shared" si="32"/>
        <v>9.6559520000000004E-4</v>
      </c>
      <c r="N102" s="6">
        <f t="shared" si="32"/>
        <v>5.3801539999999998E-3</v>
      </c>
      <c r="O102" s="6">
        <f t="shared" si="32"/>
        <v>1.941681E-3</v>
      </c>
      <c r="P102" s="6">
        <f t="shared" si="32"/>
        <v>-2.5200840000000001E-3</v>
      </c>
      <c r="Q102" s="6">
        <f t="shared" si="32"/>
        <v>5.3091529999999998E-2</v>
      </c>
      <c r="R102" s="6">
        <f t="shared" si="32"/>
        <v>-1.0292050000000001E-2</v>
      </c>
      <c r="S102" s="6">
        <f t="shared" si="32"/>
        <v>-1.2038709999999999E-2</v>
      </c>
      <c r="T102" s="6">
        <f t="shared" si="32"/>
        <v>3.3669949999999997E-2</v>
      </c>
      <c r="U102" s="6">
        <f t="shared" si="32"/>
        <v>-1.3674739999999999E-2</v>
      </c>
      <c r="V102" s="6">
        <f t="shared" si="32"/>
        <v>-1.229763E-2</v>
      </c>
      <c r="W102" s="6">
        <f t="shared" si="32"/>
        <v>-1.1476989999999999E-2</v>
      </c>
      <c r="X102" s="6">
        <f>G58</f>
        <v>-1.267719E-2</v>
      </c>
      <c r="Y102" s="6">
        <f t="shared" ref="Y102:AM102" si="33">H58</f>
        <v>-1.2029649999999999E-2</v>
      </c>
      <c r="Z102" s="6">
        <f t="shared" si="33"/>
        <v>-1.48139E-2</v>
      </c>
      <c r="AA102" s="6">
        <f t="shared" si="33"/>
        <v>-2.0284650000000001E-2</v>
      </c>
      <c r="AB102" s="6">
        <f t="shared" si="33"/>
        <v>-2.6891229999999999E-2</v>
      </c>
      <c r="AC102" s="6">
        <f t="shared" si="33"/>
        <v>-3.7150860000000001E-2</v>
      </c>
      <c r="AD102" s="6">
        <f t="shared" si="33"/>
        <v>-6.8469520000000006E-2</v>
      </c>
      <c r="AE102" s="6">
        <f t="shared" si="33"/>
        <v>-8.1139559999999999E-2</v>
      </c>
      <c r="AF102" s="6">
        <f t="shared" si="33"/>
        <v>-9.2337130000000003E-2</v>
      </c>
      <c r="AG102" s="6">
        <f t="shared" si="33"/>
        <v>-0.1023149</v>
      </c>
      <c r="AH102" s="6">
        <f t="shared" si="33"/>
        <v>-0.11908249999999999</v>
      </c>
      <c r="AI102" s="6">
        <f t="shared" si="33"/>
        <v>-0.13801859999999999</v>
      </c>
      <c r="AJ102" s="6">
        <f t="shared" si="33"/>
        <v>-0.13705829999999999</v>
      </c>
      <c r="AK102" s="6">
        <f t="shared" si="33"/>
        <v>-0.23217109999999999</v>
      </c>
      <c r="AL102" s="6">
        <f t="shared" si="33"/>
        <v>-0.2400098</v>
      </c>
      <c r="AM102" s="6">
        <f t="shared" si="33"/>
        <v>-0.27025320000000003</v>
      </c>
    </row>
    <row r="103" spans="7:39" x14ac:dyDescent="0.25">
      <c r="G103" s="5">
        <v>12</v>
      </c>
      <c r="H103" s="6">
        <f>G60</f>
        <v>-0.1821885</v>
      </c>
      <c r="I103" s="6">
        <f t="shared" ref="I103:W103" si="34">H60</f>
        <v>5.980158E-2</v>
      </c>
      <c r="J103" s="6">
        <f t="shared" si="34"/>
        <v>5.9607029999999998E-2</v>
      </c>
      <c r="K103" s="6">
        <f t="shared" si="34"/>
        <v>4.4409280000000002E-2</v>
      </c>
      <c r="L103" s="6">
        <f t="shared" si="34"/>
        <v>3.3032890000000002E-2</v>
      </c>
      <c r="M103" s="6">
        <f t="shared" si="34"/>
        <v>1.13821E-3</v>
      </c>
      <c r="N103" s="6">
        <f t="shared" si="34"/>
        <v>9.9525450000000001E-3</v>
      </c>
      <c r="O103" s="6">
        <f t="shared" si="34"/>
        <v>5.4297449999999997E-3</v>
      </c>
      <c r="P103" s="6">
        <f t="shared" si="34"/>
        <v>9.4699859999999999E-4</v>
      </c>
      <c r="Q103" s="6">
        <f t="shared" si="34"/>
        <v>5.2571769999999997E-2</v>
      </c>
      <c r="R103" s="6">
        <f t="shared" si="34"/>
        <v>-8.2111360000000008E-3</v>
      </c>
      <c r="S103" s="6">
        <f t="shared" si="34"/>
        <v>-1.013756E-2</v>
      </c>
      <c r="T103" s="6">
        <f t="shared" si="34"/>
        <v>3.3137800000000002E-2</v>
      </c>
      <c r="U103" s="6">
        <f t="shared" si="34"/>
        <v>-1.332903E-2</v>
      </c>
      <c r="V103" s="6">
        <f t="shared" si="34"/>
        <v>-1.229763E-2</v>
      </c>
      <c r="W103" s="6">
        <f t="shared" si="34"/>
        <v>-1.219988E-2</v>
      </c>
      <c r="X103" s="6">
        <f>G61</f>
        <v>-1.3403419999999999E-2</v>
      </c>
      <c r="Y103" s="6">
        <f t="shared" ref="Y103:AM103" si="35">H61</f>
        <v>-1.4001370000000001E-2</v>
      </c>
      <c r="Z103" s="6">
        <f t="shared" si="35"/>
        <v>-1.51763E-2</v>
      </c>
      <c r="AA103" s="6">
        <f t="shared" si="35"/>
        <v>-1.9592760000000001E-2</v>
      </c>
      <c r="AB103" s="6">
        <f t="shared" si="35"/>
        <v>-2.5807380000000001E-2</v>
      </c>
      <c r="AC103" s="6">
        <f t="shared" si="35"/>
        <v>-3.5184859999999998E-2</v>
      </c>
      <c r="AD103" s="6">
        <f t="shared" si="35"/>
        <v>-6.8122859999999993E-2</v>
      </c>
      <c r="AE103" s="6">
        <f t="shared" si="35"/>
        <v>-8.1685069999999999E-2</v>
      </c>
      <c r="AF103" s="6">
        <f t="shared" si="35"/>
        <v>-9.3949320000000003E-2</v>
      </c>
      <c r="AG103" s="6">
        <f t="shared" si="35"/>
        <v>-0.10488649999999999</v>
      </c>
      <c r="AH103" s="6">
        <f t="shared" si="35"/>
        <v>-0.1230483</v>
      </c>
      <c r="AI103" s="6">
        <f t="shared" si="35"/>
        <v>-0.14378640000000001</v>
      </c>
      <c r="AJ103" s="6">
        <f t="shared" si="35"/>
        <v>-0.1468477</v>
      </c>
      <c r="AK103" s="6">
        <f t="shared" si="35"/>
        <v>-0.2490377</v>
      </c>
      <c r="AL103" s="6">
        <f t="shared" si="35"/>
        <v>-0.26298569999999999</v>
      </c>
      <c r="AM103" s="6">
        <f t="shared" si="35"/>
        <v>-0.28166099999999999</v>
      </c>
    </row>
    <row r="104" spans="7:39" x14ac:dyDescent="0.25">
      <c r="G104" s="5">
        <v>13</v>
      </c>
      <c r="H104" s="6">
        <f>G63</f>
        <v>-0.22419500000000001</v>
      </c>
      <c r="I104" s="6">
        <f t="shared" ref="I104:W104" si="36">H63</f>
        <v>5.64003E-2</v>
      </c>
      <c r="J104" s="6">
        <f t="shared" si="36"/>
        <v>6.0832980000000002E-2</v>
      </c>
      <c r="K104" s="6">
        <f t="shared" si="36"/>
        <v>4.8171520000000002E-2</v>
      </c>
      <c r="L104" s="6">
        <f t="shared" si="36"/>
        <v>3.7320140000000002E-2</v>
      </c>
      <c r="M104" s="6">
        <f t="shared" si="36"/>
        <v>1.3213159999999999E-3</v>
      </c>
      <c r="N104" s="6">
        <f t="shared" si="36"/>
        <v>1.351786E-2</v>
      </c>
      <c r="O104" s="6">
        <f t="shared" si="36"/>
        <v>9.0875629999999999E-3</v>
      </c>
      <c r="P104" s="6">
        <f t="shared" si="36"/>
        <v>3.9815900000000001E-3</v>
      </c>
      <c r="Q104" s="6">
        <f t="shared" si="36"/>
        <v>5.2591800000000001E-2</v>
      </c>
      <c r="R104" s="6">
        <f t="shared" si="36"/>
        <v>-5.3777690000000001E-3</v>
      </c>
      <c r="S104" s="6">
        <f t="shared" si="36"/>
        <v>-8.2373619999999998E-3</v>
      </c>
      <c r="T104" s="6">
        <f t="shared" si="36"/>
        <v>3.3851619999999999E-2</v>
      </c>
      <c r="U104" s="6">
        <f t="shared" si="36"/>
        <v>-1.298332E-2</v>
      </c>
      <c r="V104" s="6">
        <f t="shared" si="36"/>
        <v>-1.245975E-2</v>
      </c>
      <c r="W104" s="6">
        <f t="shared" si="36"/>
        <v>-1.346493E-2</v>
      </c>
      <c r="X104" s="6">
        <f>G64</f>
        <v>-1.5583039999999999E-2</v>
      </c>
      <c r="Y104" s="6">
        <f t="shared" ref="Y104:AM104" si="37">H64</f>
        <v>-1.686907E-2</v>
      </c>
      <c r="Z104" s="6">
        <f t="shared" si="37"/>
        <v>-1.716614E-2</v>
      </c>
      <c r="AA104" s="6">
        <f t="shared" si="37"/>
        <v>-2.06275E-2</v>
      </c>
      <c r="AB104" s="6">
        <f t="shared" si="37"/>
        <v>-2.562714E-2</v>
      </c>
      <c r="AC104" s="6">
        <f t="shared" si="37"/>
        <v>-3.4294610000000003E-2</v>
      </c>
      <c r="AD104" s="6">
        <f t="shared" si="37"/>
        <v>-6.8978310000000001E-2</v>
      </c>
      <c r="AE104" s="6">
        <f t="shared" si="37"/>
        <v>-8.4604260000000001E-2</v>
      </c>
      <c r="AF104" s="6">
        <f t="shared" si="37"/>
        <v>-9.7107410000000005E-2</v>
      </c>
      <c r="AG104" s="6">
        <f t="shared" si="37"/>
        <v>-0.10819769999999999</v>
      </c>
      <c r="AH104" s="6">
        <f t="shared" si="37"/>
        <v>-0.12791630000000001</v>
      </c>
      <c r="AI104" s="6">
        <f t="shared" si="37"/>
        <v>-0.15082599999999999</v>
      </c>
      <c r="AJ104" s="6">
        <f t="shared" si="37"/>
        <v>-0.1576834</v>
      </c>
      <c r="AK104" s="6">
        <f t="shared" si="37"/>
        <v>-0.25757459999999999</v>
      </c>
      <c r="AL104" s="6">
        <f t="shared" si="37"/>
        <v>-0.28868680000000002</v>
      </c>
      <c r="AM104" s="6">
        <f t="shared" si="37"/>
        <v>-0.3007321</v>
      </c>
    </row>
    <row r="105" spans="7:39" x14ac:dyDescent="0.25">
      <c r="G105" s="5">
        <v>14</v>
      </c>
      <c r="H105" s="6">
        <f>G66</f>
        <v>-0.25984239999999997</v>
      </c>
      <c r="I105" s="6">
        <f t="shared" ref="I105:W105" si="38">H66</f>
        <v>5.1670069999999999E-2</v>
      </c>
      <c r="J105" s="6">
        <f t="shared" si="38"/>
        <v>6.1007980000000003E-2</v>
      </c>
      <c r="K105" s="6">
        <f t="shared" si="38"/>
        <v>5.0907609999999999E-2</v>
      </c>
      <c r="L105" s="6">
        <f t="shared" si="38"/>
        <v>4.0403370000000001E-2</v>
      </c>
      <c r="M105" s="6">
        <f t="shared" si="38"/>
        <v>1.6670229999999999E-3</v>
      </c>
      <c r="N105" s="6">
        <f t="shared" si="38"/>
        <v>1.703501E-2</v>
      </c>
      <c r="O105" s="6">
        <f t="shared" si="38"/>
        <v>1.205254E-2</v>
      </c>
      <c r="P105" s="6">
        <f t="shared" si="38"/>
        <v>6.5822600000000004E-3</v>
      </c>
      <c r="Q105" s="6">
        <f t="shared" si="38"/>
        <v>5.241871E-2</v>
      </c>
      <c r="R105" s="6">
        <f t="shared" si="38"/>
        <v>-4.1632650000000002E-3</v>
      </c>
      <c r="S105" s="6">
        <f t="shared" si="38"/>
        <v>-7.5459480000000002E-3</v>
      </c>
      <c r="T105" s="6">
        <f t="shared" si="38"/>
        <v>3.3319950000000001E-2</v>
      </c>
      <c r="U105" s="6">
        <f t="shared" si="38"/>
        <v>-1.2291430000000001E-2</v>
      </c>
      <c r="V105" s="6">
        <f t="shared" si="38"/>
        <v>-1.300716E-2</v>
      </c>
      <c r="W105" s="6">
        <f t="shared" si="38"/>
        <v>-1.509285E-2</v>
      </c>
      <c r="X105" s="6">
        <f>G67</f>
        <v>-1.848841E-2</v>
      </c>
      <c r="Y105" s="6">
        <f t="shared" ref="Y105:AM105" si="39">H67</f>
        <v>-2.0990849999999998E-2</v>
      </c>
      <c r="Z105" s="6">
        <f t="shared" si="39"/>
        <v>-2.042532E-2</v>
      </c>
      <c r="AA105" s="6">
        <f t="shared" si="39"/>
        <v>-2.3395059999999999E-2</v>
      </c>
      <c r="AB105" s="6">
        <f t="shared" si="39"/>
        <v>-2.59881E-2</v>
      </c>
      <c r="AC105" s="6">
        <f t="shared" si="39"/>
        <v>-3.32222E-2</v>
      </c>
      <c r="AD105" s="6">
        <f t="shared" si="39"/>
        <v>-6.7937849999999994E-2</v>
      </c>
      <c r="AE105" s="6">
        <f t="shared" si="39"/>
        <v>-8.3877090000000001E-2</v>
      </c>
      <c r="AF105" s="6">
        <f t="shared" si="39"/>
        <v>-9.7107410000000005E-2</v>
      </c>
      <c r="AG105" s="6">
        <f t="shared" si="39"/>
        <v>-0.1092997</v>
      </c>
      <c r="AH105" s="6">
        <f t="shared" si="39"/>
        <v>-0.12935830000000001</v>
      </c>
      <c r="AI105" s="6">
        <f t="shared" si="39"/>
        <v>-0.1533494</v>
      </c>
      <c r="AJ105" s="6">
        <f t="shared" si="39"/>
        <v>-0.16467570000000001</v>
      </c>
      <c r="AK105" s="6">
        <f t="shared" si="39"/>
        <v>-0.26229000000000002</v>
      </c>
      <c r="AL105" s="6">
        <f t="shared" si="39"/>
        <v>-0.30892520000000001</v>
      </c>
      <c r="AM105" s="6">
        <f t="shared" si="39"/>
        <v>-0.31677440000000001</v>
      </c>
    </row>
    <row r="106" spans="7:39" x14ac:dyDescent="0.25">
      <c r="G106" s="5">
        <v>15</v>
      </c>
      <c r="H106" s="6">
        <f>G69</f>
        <v>-8.9355470000000006E-2</v>
      </c>
      <c r="I106" s="6">
        <f t="shared" ref="I106:W106" si="40">H69</f>
        <v>6.1811449999999997E-2</v>
      </c>
      <c r="J106" s="6">
        <f t="shared" si="40"/>
        <v>5.6452750000000003E-2</v>
      </c>
      <c r="K106" s="6">
        <f t="shared" si="40"/>
        <v>4.064512E-2</v>
      </c>
      <c r="L106" s="6">
        <f t="shared" si="40"/>
        <v>2.961254E-2</v>
      </c>
      <c r="M106" s="6">
        <f t="shared" si="40"/>
        <v>9.765625E-4</v>
      </c>
      <c r="N106" s="6">
        <f t="shared" si="40"/>
        <v>7.8868870000000004E-3</v>
      </c>
      <c r="O106" s="6">
        <f t="shared" si="40"/>
        <v>3.511906E-3</v>
      </c>
      <c r="P106" s="6">
        <f t="shared" si="40"/>
        <v>-1.4882090000000001E-3</v>
      </c>
      <c r="Q106" s="6">
        <f t="shared" si="40"/>
        <v>5.1686290000000003E-2</v>
      </c>
      <c r="R106" s="6">
        <f t="shared" si="40"/>
        <v>-1.1682990000000001E-2</v>
      </c>
      <c r="S106" s="6">
        <f t="shared" si="40"/>
        <v>-1.486349E-2</v>
      </c>
      <c r="T106" s="6">
        <f t="shared" si="40"/>
        <v>3.3669949999999997E-2</v>
      </c>
      <c r="U106" s="6">
        <f t="shared" si="40"/>
        <v>-2.1286010000000001E-2</v>
      </c>
      <c r="V106" s="6">
        <f t="shared" si="40"/>
        <v>-2.341938E-2</v>
      </c>
      <c r="W106" s="6">
        <f t="shared" si="40"/>
        <v>-2.8654579999999999E-2</v>
      </c>
      <c r="X106" s="5">
        <f>G70</f>
        <v>-3.6284450000000003E-2</v>
      </c>
      <c r="Y106" s="5">
        <f t="shared" ref="Y106:AM106" si="41">H70</f>
        <v>-4.0830140000000001E-2</v>
      </c>
      <c r="Z106" s="5">
        <f t="shared" si="41"/>
        <v>-4.505062E-2</v>
      </c>
      <c r="AA106" s="5">
        <f t="shared" si="41"/>
        <v>-5.0898550000000001E-2</v>
      </c>
      <c r="AB106" s="5">
        <f t="shared" si="41"/>
        <v>-5.7599539999999998E-2</v>
      </c>
      <c r="AC106" s="5">
        <f t="shared" si="41"/>
        <v>-6.7726140000000004E-2</v>
      </c>
      <c r="AD106" s="5">
        <f t="shared" si="41"/>
        <v>-8.387899E-2</v>
      </c>
      <c r="AE106" s="5">
        <f t="shared" si="41"/>
        <v>-8.5705760000000006E-2</v>
      </c>
      <c r="AF106" s="5">
        <f t="shared" si="41"/>
        <v>-8.6534979999999997E-2</v>
      </c>
      <c r="AG106" s="5">
        <f t="shared" si="41"/>
        <v>-8.5787299999999997E-2</v>
      </c>
      <c r="AH106" s="5">
        <f t="shared" si="41"/>
        <v>-8.8986399999999993E-2</v>
      </c>
      <c r="AI106" s="5">
        <f t="shared" si="41"/>
        <v>-9.4407560000000001E-2</v>
      </c>
      <c r="AJ106" s="5">
        <f t="shared" si="41"/>
        <v>-9.5793719999999999E-2</v>
      </c>
      <c r="AK106" s="5">
        <f t="shared" si="41"/>
        <v>-9.3411919999999996E-2</v>
      </c>
      <c r="AL106" s="5">
        <f t="shared" si="41"/>
        <v>-8.9004990000000006E-2</v>
      </c>
      <c r="AM106" s="5">
        <f t="shared" si="41"/>
        <v>-8.3035949999999997E-2</v>
      </c>
    </row>
    <row r="107" spans="7:39" x14ac:dyDescent="0.25">
      <c r="G107" s="5">
        <v>16</v>
      </c>
      <c r="H107" s="6">
        <f>G72</f>
        <v>-7.4701790000000004E-2</v>
      </c>
      <c r="I107" s="6">
        <f t="shared" ref="I107:W107" si="42">H72</f>
        <v>6.2429430000000001E-2</v>
      </c>
      <c r="J107" s="6">
        <f t="shared" si="42"/>
        <v>5.6981089999999998E-2</v>
      </c>
      <c r="K107" s="6">
        <f t="shared" si="42"/>
        <v>4.0987969999999999E-2</v>
      </c>
      <c r="L107" s="6">
        <f t="shared" si="42"/>
        <v>3.0469420000000001E-2</v>
      </c>
      <c r="M107" s="6">
        <f t="shared" si="42"/>
        <v>1.137257E-3</v>
      </c>
      <c r="N107" s="6">
        <f t="shared" si="42"/>
        <v>8.2426070000000008E-3</v>
      </c>
      <c r="O107" s="6">
        <f t="shared" si="42"/>
        <v>4.0345190000000003E-3</v>
      </c>
      <c r="P107" s="6">
        <f t="shared" si="42"/>
        <v>-1.307487E-3</v>
      </c>
      <c r="Q107" s="6">
        <f t="shared" si="42"/>
        <v>5.0840379999999998E-2</v>
      </c>
      <c r="R107" s="6">
        <f t="shared" si="42"/>
        <v>-1.2313370000000001E-2</v>
      </c>
      <c r="S107" s="6">
        <f t="shared" si="42"/>
        <v>-1.5722750000000001E-2</v>
      </c>
      <c r="T107" s="6">
        <f t="shared" si="42"/>
        <v>3.3664699999999999E-2</v>
      </c>
      <c r="U107" s="6">
        <f t="shared" si="42"/>
        <v>-2.3704050000000001E-2</v>
      </c>
      <c r="V107" s="6">
        <f t="shared" si="42"/>
        <v>-2.617216E-2</v>
      </c>
      <c r="W107" s="6">
        <f t="shared" si="42"/>
        <v>-3.2255649999999997E-2</v>
      </c>
      <c r="X107" s="6">
        <f>G73</f>
        <v>-4.1555880000000003E-2</v>
      </c>
      <c r="Y107" s="6">
        <f t="shared" ref="Y107:AM107" si="43">H73</f>
        <v>-4.996014E-2</v>
      </c>
      <c r="Z107" s="6">
        <f t="shared" si="43"/>
        <v>-5.4291249999999999E-2</v>
      </c>
      <c r="AA107" s="6">
        <f t="shared" si="43"/>
        <v>-5.9201719999999999E-2</v>
      </c>
      <c r="AB107" s="6">
        <f t="shared" si="43"/>
        <v>-6.4640050000000004E-2</v>
      </c>
      <c r="AC107" s="6">
        <f t="shared" si="43"/>
        <v>-7.0939539999999995E-2</v>
      </c>
      <c r="AD107" s="6">
        <f t="shared" si="43"/>
        <v>-8.1980230000000001E-2</v>
      </c>
      <c r="AE107" s="6">
        <f t="shared" si="43"/>
        <v>-8.1524849999999996E-2</v>
      </c>
      <c r="AF107" s="6">
        <f t="shared" si="43"/>
        <v>-8.2355020000000001E-2</v>
      </c>
      <c r="AG107" s="6">
        <f t="shared" si="43"/>
        <v>-8.1748959999999996E-2</v>
      </c>
      <c r="AH107" s="6">
        <f t="shared" si="43"/>
        <v>-8.3404060000000002E-2</v>
      </c>
      <c r="AI107" s="6">
        <f t="shared" si="43"/>
        <v>-8.7379929999999995E-2</v>
      </c>
      <c r="AJ107" s="6">
        <f t="shared" si="43"/>
        <v>-8.634377E-2</v>
      </c>
      <c r="AK107" s="6">
        <f t="shared" si="43"/>
        <v>-8.4887030000000002E-2</v>
      </c>
      <c r="AL107" s="6">
        <f t="shared" si="43"/>
        <v>-8.0614089999999999E-2</v>
      </c>
      <c r="AM107" s="6">
        <f t="shared" si="43"/>
        <v>-7.5724600000000003E-2</v>
      </c>
    </row>
    <row r="108" spans="7:39" x14ac:dyDescent="0.25">
      <c r="G108" s="5">
        <v>17</v>
      </c>
      <c r="H108" s="6">
        <f>G75</f>
        <v>-5.9697630000000002E-2</v>
      </c>
      <c r="I108" s="6">
        <f t="shared" ref="I108:W108" si="44">H75</f>
        <v>6.2429430000000001E-2</v>
      </c>
      <c r="J108" s="6">
        <f t="shared" si="44"/>
        <v>5.6105139999999998E-2</v>
      </c>
      <c r="K108" s="6">
        <f t="shared" si="44"/>
        <v>4.0646549999999997E-2</v>
      </c>
      <c r="L108" s="6">
        <f t="shared" si="44"/>
        <v>3.0641080000000001E-2</v>
      </c>
      <c r="M108" s="6">
        <f t="shared" si="44"/>
        <v>1.137257E-3</v>
      </c>
      <c r="N108" s="6">
        <f t="shared" si="44"/>
        <v>8.5945129999999998E-3</v>
      </c>
      <c r="O108" s="6">
        <f t="shared" si="44"/>
        <v>3.859997E-3</v>
      </c>
      <c r="P108" s="6">
        <f t="shared" si="44"/>
        <v>-1.654148E-3</v>
      </c>
      <c r="Q108" s="6">
        <f t="shared" si="44"/>
        <v>5.0493719999999999E-2</v>
      </c>
      <c r="R108" s="6">
        <f t="shared" si="44"/>
        <v>-1.2833600000000001E-2</v>
      </c>
      <c r="S108" s="6">
        <f t="shared" si="44"/>
        <v>-1.7105100000000002E-2</v>
      </c>
      <c r="T108" s="6">
        <f t="shared" si="44"/>
        <v>3.3310409999999999E-2</v>
      </c>
      <c r="U108" s="6">
        <f t="shared" si="44"/>
        <v>-2.595186E-2</v>
      </c>
      <c r="V108" s="6">
        <f t="shared" si="44"/>
        <v>-2.9453750000000001E-2</v>
      </c>
      <c r="W108" s="6">
        <f t="shared" si="44"/>
        <v>-3.6595820000000001E-2</v>
      </c>
      <c r="X108" s="6">
        <f>G76</f>
        <v>-4.5732500000000002E-2</v>
      </c>
      <c r="Y108" s="6">
        <f t="shared" ref="Y108:AM108" si="45">H76</f>
        <v>-5.6770319999999999E-2</v>
      </c>
      <c r="Z108" s="6">
        <f t="shared" si="45"/>
        <v>-6.1353209999999998E-2</v>
      </c>
      <c r="AA108" s="6">
        <f t="shared" si="45"/>
        <v>-6.7331310000000005E-2</v>
      </c>
      <c r="AB108" s="6">
        <f t="shared" si="45"/>
        <v>-7.1322440000000001E-2</v>
      </c>
      <c r="AC108" s="6">
        <f t="shared" si="45"/>
        <v>-7.6480870000000006E-2</v>
      </c>
      <c r="AD108" s="6">
        <f t="shared" si="45"/>
        <v>-7.7299119999999999E-2</v>
      </c>
      <c r="AE108" s="6">
        <f t="shared" si="45"/>
        <v>-7.4436660000000002E-2</v>
      </c>
      <c r="AF108" s="6">
        <f t="shared" si="45"/>
        <v>-7.4110980000000007E-2</v>
      </c>
      <c r="AG108" s="6">
        <f t="shared" si="45"/>
        <v>-7.2564600000000007E-2</v>
      </c>
      <c r="AH108" s="6">
        <f t="shared" si="45"/>
        <v>-7.456923E-2</v>
      </c>
      <c r="AI108" s="6">
        <f t="shared" si="45"/>
        <v>-7.7465530000000005E-2</v>
      </c>
      <c r="AJ108" s="6">
        <f t="shared" si="45"/>
        <v>-7.5678830000000002E-2</v>
      </c>
      <c r="AK108" s="6">
        <f t="shared" si="45"/>
        <v>-7.4545379999999994E-2</v>
      </c>
      <c r="AL108" s="6">
        <f t="shared" si="45"/>
        <v>-7.1676249999999997E-2</v>
      </c>
      <c r="AM108" s="6">
        <f t="shared" si="45"/>
        <v>-6.9126129999999994E-2</v>
      </c>
    </row>
    <row r="109" spans="7:39" x14ac:dyDescent="0.25">
      <c r="G109" s="5">
        <v>18</v>
      </c>
      <c r="H109" s="6">
        <f>G78</f>
        <v>-3.8504120000000003E-2</v>
      </c>
      <c r="I109" s="6">
        <f t="shared" ref="I109:W109" si="46">H78</f>
        <v>6.2530989999999995E-2</v>
      </c>
      <c r="J109" s="6">
        <f t="shared" si="46"/>
        <v>5.5055140000000002E-2</v>
      </c>
      <c r="K109" s="6">
        <f t="shared" si="46"/>
        <v>3.9809700000000003E-2</v>
      </c>
      <c r="L109" s="6">
        <f t="shared" si="46"/>
        <v>2.9441829999999999E-2</v>
      </c>
      <c r="M109" s="6">
        <f t="shared" si="46"/>
        <v>6.3180919999999995E-4</v>
      </c>
      <c r="N109" s="6">
        <f t="shared" si="46"/>
        <v>7.8921319999999996E-3</v>
      </c>
      <c r="O109" s="6">
        <f t="shared" si="46"/>
        <v>3.6807060000000002E-3</v>
      </c>
      <c r="P109" s="6">
        <f t="shared" si="46"/>
        <v>-1.8267629999999999E-3</v>
      </c>
      <c r="Q109" s="6">
        <f t="shared" si="46"/>
        <v>5.018711E-2</v>
      </c>
      <c r="R109" s="6">
        <f t="shared" si="46"/>
        <v>-1.370001E-2</v>
      </c>
      <c r="S109" s="6">
        <f t="shared" si="46"/>
        <v>-1.8141270000000001E-2</v>
      </c>
      <c r="T109" s="6">
        <f t="shared" si="46"/>
        <v>3.3319950000000001E-2</v>
      </c>
      <c r="U109" s="6">
        <f t="shared" si="46"/>
        <v>-2.7853969999999999E-2</v>
      </c>
      <c r="V109" s="6">
        <f t="shared" si="46"/>
        <v>-3.1439300000000003E-2</v>
      </c>
      <c r="W109" s="6">
        <f t="shared" si="46"/>
        <v>-3.8646699999999999E-2</v>
      </c>
      <c r="X109" s="5">
        <f>G79</f>
        <v>-4.8456190000000003E-2</v>
      </c>
      <c r="Y109" s="5">
        <f t="shared" ref="Y109:AM109" si="47">H79</f>
        <v>-5.8864590000000001E-2</v>
      </c>
      <c r="Z109" s="5">
        <f t="shared" si="47"/>
        <v>-6.1353209999999998E-2</v>
      </c>
      <c r="AA109" s="5">
        <f t="shared" si="47"/>
        <v>-6.4909930000000005E-2</v>
      </c>
      <c r="AB109" s="5">
        <f t="shared" si="47"/>
        <v>-6.4287659999999996E-2</v>
      </c>
      <c r="AC109" s="5">
        <f t="shared" si="47"/>
        <v>-6.4151760000000002E-2</v>
      </c>
      <c r="AD109" s="5">
        <f t="shared" si="47"/>
        <v>-6.099367E-2</v>
      </c>
      <c r="AE109" s="5">
        <f t="shared" si="47"/>
        <v>-5.95293E-2</v>
      </c>
      <c r="AF109" s="5">
        <f t="shared" si="47"/>
        <v>-6.032324E-2</v>
      </c>
      <c r="AG109" s="5">
        <f t="shared" si="47"/>
        <v>-5.952358E-2</v>
      </c>
      <c r="AH109" s="5">
        <f t="shared" si="47"/>
        <v>-5.9249400000000001E-2</v>
      </c>
      <c r="AI109" s="5">
        <f t="shared" si="47"/>
        <v>-6.0163969999999997E-2</v>
      </c>
      <c r="AJ109" s="5">
        <f t="shared" si="47"/>
        <v>-5.8868410000000003E-2</v>
      </c>
      <c r="AK109" s="5">
        <f t="shared" si="47"/>
        <v>-5.9486869999999997E-2</v>
      </c>
      <c r="AL109" s="5">
        <f t="shared" si="47"/>
        <v>-5.8728219999999998E-2</v>
      </c>
      <c r="AM109" s="5">
        <f t="shared" si="47"/>
        <v>-5.8596130000000003E-2</v>
      </c>
    </row>
    <row r="110" spans="7:39" x14ac:dyDescent="0.25"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109"/>
  <sheetViews>
    <sheetView topLeftCell="A52" workbookViewId="0">
      <selection activeCell="A110" sqref="A110:XFD232"/>
    </sheetView>
  </sheetViews>
  <sheetFormatPr defaultRowHeight="15" x14ac:dyDescent="0.25"/>
  <sheetData>
    <row r="1" spans="1:22" x14ac:dyDescent="0.25">
      <c r="B1">
        <v>9116</v>
      </c>
      <c r="C1">
        <v>6742</v>
      </c>
      <c r="D1">
        <v>1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</row>
    <row r="3" spans="1:22" x14ac:dyDescent="0.25">
      <c r="B3">
        <v>9116</v>
      </c>
      <c r="C3">
        <v>6744</v>
      </c>
      <c r="D3">
        <v>1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29</v>
      </c>
    </row>
    <row r="4" spans="1:22" x14ac:dyDescent="0.25">
      <c r="A4" t="s">
        <v>30</v>
      </c>
      <c r="B4" t="s">
        <v>31</v>
      </c>
      <c r="C4" t="s">
        <v>32</v>
      </c>
      <c r="D4" t="s">
        <v>33</v>
      </c>
      <c r="E4" t="s">
        <v>34</v>
      </c>
      <c r="F4" t="s">
        <v>35</v>
      </c>
    </row>
    <row r="5" spans="1:22" x14ac:dyDescent="0.25">
      <c r="A5" t="s">
        <v>36</v>
      </c>
    </row>
    <row r="6" spans="1:22" x14ac:dyDescent="0.25">
      <c r="A6" t="s">
        <v>36</v>
      </c>
    </row>
    <row r="7" spans="1:22" x14ac:dyDescent="0.25">
      <c r="A7" t="s">
        <v>125</v>
      </c>
    </row>
    <row r="8" spans="1:22" x14ac:dyDescent="0.25">
      <c r="A8" t="s">
        <v>98</v>
      </c>
    </row>
    <row r="9" spans="1:22" x14ac:dyDescent="0.25">
      <c r="A9">
        <v>11.244999999999999</v>
      </c>
      <c r="B9">
        <v>9116</v>
      </c>
      <c r="C9">
        <v>6742</v>
      </c>
      <c r="D9">
        <v>1</v>
      </c>
      <c r="E9">
        <v>1</v>
      </c>
      <c r="F9" t="s">
        <v>13</v>
      </c>
      <c r="G9" s="3">
        <v>-6.1464310000000004E-4</v>
      </c>
      <c r="H9" s="3">
        <v>-6.4849850000000002E-4</v>
      </c>
      <c r="I9" s="3">
        <v>-4.6157840000000001E-4</v>
      </c>
      <c r="J9" s="3">
        <v>3.9632319999999999E-2</v>
      </c>
      <c r="K9" s="3">
        <v>-2.5653839999999998E-4</v>
      </c>
      <c r="L9" s="3">
        <v>-6.1178209999999998E-4</v>
      </c>
      <c r="M9" s="3">
        <v>-1.2450219999999999E-3</v>
      </c>
      <c r="N9" s="3">
        <v>-1.192093E-4</v>
      </c>
      <c r="O9" s="3">
        <v>4.3630600000000002E-4</v>
      </c>
      <c r="P9" s="3">
        <v>4.3742179999999999E-2</v>
      </c>
      <c r="Q9" s="3">
        <v>7.2145460000000005E-4</v>
      </c>
      <c r="R9" s="3">
        <v>9.8705290000000004E-5</v>
      </c>
      <c r="S9" s="3">
        <v>1.8774030000000001E-2</v>
      </c>
      <c r="T9" s="3">
        <v>-3.0565259999999999E-4</v>
      </c>
      <c r="U9" s="3">
        <v>2.3031230000000001E-4</v>
      </c>
      <c r="V9" s="3">
        <v>-1.416206E-4</v>
      </c>
    </row>
    <row r="10" spans="1:22" x14ac:dyDescent="0.25">
      <c r="A10">
        <v>11.268000000000001</v>
      </c>
      <c r="B10">
        <v>9116</v>
      </c>
      <c r="C10">
        <v>6744</v>
      </c>
      <c r="D10">
        <v>1</v>
      </c>
      <c r="E10">
        <v>1</v>
      </c>
      <c r="F10" t="s">
        <v>13</v>
      </c>
      <c r="G10" s="3">
        <v>-6.5183639999999996E-4</v>
      </c>
      <c r="H10" s="3">
        <v>-1.280308E-3</v>
      </c>
      <c r="I10" s="3">
        <v>-8.8691710000000004E-5</v>
      </c>
      <c r="J10" s="3">
        <v>3.4039020000000003E-2</v>
      </c>
      <c r="K10" s="3">
        <v>-3.2901760000000001E-5</v>
      </c>
      <c r="L10" s="3">
        <v>-5.0067899999999997E-4</v>
      </c>
      <c r="M10" s="3">
        <v>-1.240253E-3</v>
      </c>
      <c r="N10" s="3">
        <v>9.9182129999999996E-5</v>
      </c>
      <c r="O10" s="3">
        <v>-9.5558169999999997E-4</v>
      </c>
      <c r="P10" s="3">
        <v>3.7574769999999997E-4</v>
      </c>
      <c r="Q10" s="3">
        <v>2.7942659999999998E-4</v>
      </c>
      <c r="R10" s="3">
        <v>-3.8957599999999998E-4</v>
      </c>
      <c r="S10" s="3">
        <v>-1.029968E-3</v>
      </c>
      <c r="T10" s="3">
        <v>3.9672850000000001E-4</v>
      </c>
      <c r="U10" s="3">
        <v>1.037121E-3</v>
      </c>
      <c r="V10" s="3">
        <v>2.0885470000000001E-4</v>
      </c>
    </row>
    <row r="11" spans="1:22" x14ac:dyDescent="0.25">
      <c r="A11" t="s">
        <v>173</v>
      </c>
    </row>
    <row r="12" spans="1:22" x14ac:dyDescent="0.25">
      <c r="A12">
        <v>2742.3739999999998</v>
      </c>
      <c r="B12">
        <v>9116</v>
      </c>
      <c r="C12">
        <v>6742</v>
      </c>
      <c r="D12">
        <v>1</v>
      </c>
      <c r="E12">
        <v>1</v>
      </c>
      <c r="F12" t="s">
        <v>13</v>
      </c>
      <c r="G12" s="3">
        <v>-3.7915230000000001E-2</v>
      </c>
      <c r="H12">
        <v>-0.28345490000000001</v>
      </c>
      <c r="I12">
        <v>-0.24544759999999999</v>
      </c>
      <c r="J12">
        <v>-0.20324800000000001</v>
      </c>
      <c r="K12">
        <v>-0.17555570000000001</v>
      </c>
      <c r="L12" s="3">
        <v>-1.199389E-2</v>
      </c>
      <c r="M12">
        <v>-0.14456269999999999</v>
      </c>
      <c r="N12">
        <v>-0.129662</v>
      </c>
      <c r="O12">
        <v>-0.1089625</v>
      </c>
      <c r="P12" s="3">
        <v>3.1343940000000001E-2</v>
      </c>
      <c r="Q12" s="3">
        <v>-8.8659290000000002E-2</v>
      </c>
      <c r="R12" s="3">
        <v>-7.3500629999999997E-2</v>
      </c>
      <c r="S12" s="3">
        <v>2.9291149999999998E-2</v>
      </c>
      <c r="T12" s="3">
        <v>-5.3087229999999999E-2</v>
      </c>
      <c r="U12" s="3">
        <v>-4.0305609999999999E-2</v>
      </c>
      <c r="V12" s="3">
        <v>-2.900076E-2</v>
      </c>
    </row>
    <row r="13" spans="1:22" x14ac:dyDescent="0.25">
      <c r="A13">
        <v>2742.3919999999998</v>
      </c>
      <c r="B13">
        <v>9116</v>
      </c>
      <c r="C13">
        <v>6744</v>
      </c>
      <c r="D13">
        <v>1</v>
      </c>
      <c r="E13">
        <v>1</v>
      </c>
      <c r="F13" t="s">
        <v>13</v>
      </c>
      <c r="G13">
        <v>-2.43454E-2</v>
      </c>
      <c r="H13" s="3">
        <v>-1.808214E-2</v>
      </c>
      <c r="I13">
        <v>-1.7395500000000001E-2</v>
      </c>
      <c r="J13" s="3">
        <v>-2.145147E-2</v>
      </c>
      <c r="K13">
        <v>-2.3314000000000001E-2</v>
      </c>
      <c r="L13" s="3">
        <v>-2.825832E-2</v>
      </c>
      <c r="M13" s="3">
        <v>-3.1888479999999997E-2</v>
      </c>
      <c r="N13" s="3">
        <v>-2.8741840000000001E-2</v>
      </c>
      <c r="O13" s="3">
        <v>-2.7931689999999999E-2</v>
      </c>
      <c r="P13" s="3">
        <v>-2.2428989999999999E-2</v>
      </c>
      <c r="Q13" s="3">
        <v>-1.752424E-2</v>
      </c>
      <c r="R13" s="3">
        <v>-4.8727989999999997E-3</v>
      </c>
      <c r="S13" s="3">
        <v>5.5232049999999998E-3</v>
      </c>
      <c r="T13" s="3">
        <v>2.1964549999999999E-2</v>
      </c>
      <c r="U13" s="3">
        <v>4.672337E-2</v>
      </c>
      <c r="V13" s="3">
        <v>7.1452139999999997E-2</v>
      </c>
    </row>
    <row r="14" spans="1:22" x14ac:dyDescent="0.25">
      <c r="A14" t="s">
        <v>174</v>
      </c>
    </row>
    <row r="15" spans="1:22" x14ac:dyDescent="0.25">
      <c r="A15">
        <v>2750.6439999999998</v>
      </c>
      <c r="B15">
        <v>9116</v>
      </c>
      <c r="C15">
        <v>6742</v>
      </c>
      <c r="D15">
        <v>1</v>
      </c>
      <c r="E15">
        <v>1</v>
      </c>
      <c r="F15" t="s">
        <v>13</v>
      </c>
      <c r="G15" s="3">
        <v>5.1803589999999998E-3</v>
      </c>
      <c r="H15">
        <v>-0.233016</v>
      </c>
      <c r="I15">
        <v>-0.21304699999999999</v>
      </c>
      <c r="J15">
        <v>-0.17878959999999999</v>
      </c>
      <c r="K15">
        <v>-0.1567144</v>
      </c>
      <c r="L15" s="3">
        <v>-1.061249E-2</v>
      </c>
      <c r="M15">
        <v>-0.1333046</v>
      </c>
      <c r="N15">
        <v>-0.11780019999999999</v>
      </c>
      <c r="O15">
        <v>-0.1075749</v>
      </c>
      <c r="P15" s="3">
        <v>3.082418E-2</v>
      </c>
      <c r="Q15" s="3">
        <v>-8.3106990000000006E-2</v>
      </c>
      <c r="R15">
        <v>-7.1253300000000006E-2</v>
      </c>
      <c r="S15" s="3">
        <v>2.9113770000000001E-2</v>
      </c>
      <c r="T15" s="3">
        <v>-5.1357269999999997E-2</v>
      </c>
      <c r="U15">
        <v>-3.9393900000000003E-2</v>
      </c>
      <c r="V15" s="3">
        <v>-2.8639319999999999E-2</v>
      </c>
    </row>
    <row r="16" spans="1:22" x14ac:dyDescent="0.25">
      <c r="A16">
        <v>2750.6669999999999</v>
      </c>
      <c r="B16">
        <v>9116</v>
      </c>
      <c r="C16">
        <v>6744</v>
      </c>
      <c r="D16">
        <v>1</v>
      </c>
      <c r="E16">
        <v>1</v>
      </c>
      <c r="F16" t="s">
        <v>13</v>
      </c>
      <c r="G16" s="3">
        <v>-2.4163250000000001E-2</v>
      </c>
      <c r="H16" s="3">
        <v>-2.0951270000000001E-2</v>
      </c>
      <c r="I16" s="3">
        <v>-1.9931790000000001E-2</v>
      </c>
      <c r="J16" s="3">
        <v>-2.3355009999999999E-2</v>
      </c>
      <c r="K16" s="3">
        <v>-2.6205059999999999E-2</v>
      </c>
      <c r="L16" s="3">
        <v>-3.1656740000000003E-2</v>
      </c>
      <c r="M16" s="3">
        <v>-3.7266250000000001E-2</v>
      </c>
      <c r="N16" s="3">
        <v>-3.528833E-2</v>
      </c>
      <c r="O16" s="3">
        <v>-3.5283090000000003E-2</v>
      </c>
      <c r="P16" s="3">
        <v>-3.106737E-2</v>
      </c>
      <c r="Q16" s="3">
        <v>-2.780724E-2</v>
      </c>
      <c r="R16" s="3">
        <v>-1.7318730000000001E-2</v>
      </c>
      <c r="S16" s="3">
        <v>-7.5974459999999999E-3</v>
      </c>
      <c r="T16" s="3">
        <v>7.622719E-3</v>
      </c>
      <c r="U16" s="3">
        <v>3.175592E-2</v>
      </c>
      <c r="V16" s="3">
        <v>5.7351590000000001E-2</v>
      </c>
    </row>
    <row r="17" spans="1:22" x14ac:dyDescent="0.25">
      <c r="A17" t="s">
        <v>175</v>
      </c>
    </row>
    <row r="18" spans="1:22" x14ac:dyDescent="0.25">
      <c r="A18">
        <v>2759.5079999999998</v>
      </c>
      <c r="B18">
        <v>9116</v>
      </c>
      <c r="C18">
        <v>6742</v>
      </c>
      <c r="D18">
        <v>1</v>
      </c>
      <c r="E18">
        <v>1</v>
      </c>
      <c r="F18" t="s">
        <v>13</v>
      </c>
      <c r="G18" s="3">
        <v>4.140663E-2</v>
      </c>
      <c r="H18">
        <v>-0.18865589999999999</v>
      </c>
      <c r="I18">
        <v>-0.1808295</v>
      </c>
      <c r="J18">
        <v>-0.1567278</v>
      </c>
      <c r="K18">
        <v>-0.13975670000000001</v>
      </c>
      <c r="L18" s="3">
        <v>-9.5782279999999994E-3</v>
      </c>
      <c r="M18">
        <v>-0.1228862</v>
      </c>
      <c r="N18">
        <v>-0.1082048</v>
      </c>
      <c r="O18" s="3">
        <v>-9.8821160000000005E-2</v>
      </c>
      <c r="P18" s="3">
        <v>3.1015870000000001E-2</v>
      </c>
      <c r="Q18" s="3">
        <v>-8.0798149999999999E-2</v>
      </c>
      <c r="R18" s="3">
        <v>-6.4858440000000003E-2</v>
      </c>
      <c r="S18" s="3">
        <v>2.9118060000000001E-2</v>
      </c>
      <c r="T18" s="3">
        <v>-4.9624920000000003E-2</v>
      </c>
      <c r="U18" s="3">
        <v>-3.7569520000000002E-2</v>
      </c>
      <c r="V18" s="3">
        <v>-2.6536939999999998E-2</v>
      </c>
    </row>
    <row r="19" spans="1:22" x14ac:dyDescent="0.25">
      <c r="A19">
        <v>2759.5279999999998</v>
      </c>
      <c r="B19">
        <v>9116</v>
      </c>
      <c r="C19">
        <v>6744</v>
      </c>
      <c r="D19">
        <v>1</v>
      </c>
      <c r="E19">
        <v>1</v>
      </c>
      <c r="F19" t="s">
        <v>13</v>
      </c>
      <c r="G19" s="3">
        <v>-2.1259779999999999E-2</v>
      </c>
      <c r="H19" s="3">
        <v>-1.508284E-2</v>
      </c>
      <c r="I19" s="3">
        <v>-2.319622E-2</v>
      </c>
      <c r="J19" s="3">
        <v>-2.699232E-2</v>
      </c>
      <c r="K19" s="3">
        <v>-2.9283050000000001E-2</v>
      </c>
      <c r="L19" s="3">
        <v>-3.4700870000000002E-2</v>
      </c>
      <c r="M19" s="3">
        <v>-4.315281E-2</v>
      </c>
      <c r="N19" s="3">
        <v>-4.2209629999999998E-2</v>
      </c>
      <c r="O19" s="3">
        <v>-4.3347360000000001E-2</v>
      </c>
      <c r="P19" s="3">
        <v>-3.9888859999999998E-2</v>
      </c>
      <c r="Q19" s="3">
        <v>-3.8453580000000001E-2</v>
      </c>
      <c r="R19" s="3">
        <v>-2.941036E-2</v>
      </c>
      <c r="S19" s="3">
        <v>-2.053785E-2</v>
      </c>
      <c r="T19" s="3">
        <v>-7.6265339999999999E-3</v>
      </c>
      <c r="U19" s="3">
        <v>1.441574E-2</v>
      </c>
      <c r="V19" s="3">
        <v>4.0206430000000001E-2</v>
      </c>
    </row>
    <row r="20" spans="1:22" x14ac:dyDescent="0.25">
      <c r="A20" t="s">
        <v>176</v>
      </c>
    </row>
    <row r="21" spans="1:22" x14ac:dyDescent="0.25">
      <c r="A21">
        <v>2768.5430000000001</v>
      </c>
      <c r="B21">
        <v>9116</v>
      </c>
      <c r="C21">
        <v>6742</v>
      </c>
      <c r="D21">
        <v>1</v>
      </c>
      <c r="E21">
        <v>1</v>
      </c>
      <c r="F21" t="s">
        <v>13</v>
      </c>
      <c r="G21" s="3">
        <v>6.7552570000000006E-2</v>
      </c>
      <c r="H21">
        <v>-0.1452136</v>
      </c>
      <c r="I21">
        <v>-0.1491256</v>
      </c>
      <c r="J21">
        <v>-0.13517570000000001</v>
      </c>
      <c r="K21">
        <v>-0.12331250000000001</v>
      </c>
      <c r="L21" s="3">
        <v>-8.3684919999999999E-3</v>
      </c>
      <c r="M21">
        <v>-0.11285829999999999</v>
      </c>
      <c r="N21" s="3">
        <v>-9.9308489999999999E-2</v>
      </c>
      <c r="O21" s="3">
        <v>-9.1711520000000005E-2</v>
      </c>
      <c r="P21" s="3">
        <v>3.0669689999999999E-2</v>
      </c>
      <c r="Q21" s="3">
        <v>-7.5245859999999998E-2</v>
      </c>
      <c r="R21" s="3">
        <v>-6.5722470000000005E-2</v>
      </c>
      <c r="S21" s="3">
        <v>2.9472829999999998E-2</v>
      </c>
      <c r="T21" s="3">
        <v>-4.7548769999999997E-2</v>
      </c>
      <c r="U21" s="3">
        <v>-3.6475180000000003E-2</v>
      </c>
      <c r="V21" s="3">
        <v>-2.545118E-2</v>
      </c>
    </row>
    <row r="22" spans="1:22" x14ac:dyDescent="0.25">
      <c r="A22">
        <v>2768.5680000000002</v>
      </c>
      <c r="B22">
        <v>9116</v>
      </c>
      <c r="C22">
        <v>6744</v>
      </c>
      <c r="D22">
        <v>1</v>
      </c>
      <c r="E22">
        <v>1</v>
      </c>
      <c r="F22" t="s">
        <v>13</v>
      </c>
      <c r="G22" s="3">
        <v>-1.9624229999999999E-2</v>
      </c>
      <c r="H22" s="3">
        <v>-1.095867E-2</v>
      </c>
      <c r="I22">
        <v>-2.53706E-2</v>
      </c>
      <c r="J22">
        <v>-3.0107499999999999E-2</v>
      </c>
      <c r="K22" s="3">
        <v>-3.2355309999999998E-2</v>
      </c>
      <c r="L22" s="3">
        <v>-3.8456440000000001E-2</v>
      </c>
      <c r="M22" s="3">
        <v>-4.9397950000000003E-2</v>
      </c>
      <c r="N22">
        <v>-5.0393100000000003E-2</v>
      </c>
      <c r="O22" s="3">
        <v>-5.2312369999999997E-2</v>
      </c>
      <c r="P22" s="3">
        <v>-4.9997809999999997E-2</v>
      </c>
      <c r="Q22" s="3">
        <v>-4.9638269999999998E-2</v>
      </c>
      <c r="R22" s="3">
        <v>-4.3118480000000001E-2</v>
      </c>
      <c r="S22" s="3">
        <v>-3.575706E-2</v>
      </c>
      <c r="T22">
        <v>-2.48723E-2</v>
      </c>
      <c r="U22" s="3">
        <v>-5.8441159999999999E-3</v>
      </c>
      <c r="V22" s="3">
        <v>1.8254759999999998E-2</v>
      </c>
    </row>
    <row r="23" spans="1:22" x14ac:dyDescent="0.25">
      <c r="A23" t="s">
        <v>177</v>
      </c>
    </row>
    <row r="24" spans="1:22" x14ac:dyDescent="0.25">
      <c r="A24">
        <v>2778.62</v>
      </c>
      <c r="B24">
        <v>9116</v>
      </c>
      <c r="C24">
        <v>6742</v>
      </c>
      <c r="D24">
        <v>1</v>
      </c>
      <c r="E24">
        <v>1</v>
      </c>
      <c r="F24" t="s">
        <v>13</v>
      </c>
      <c r="G24">
        <v>8.5748199999999997E-2</v>
      </c>
      <c r="H24">
        <v>-0.1037536</v>
      </c>
      <c r="I24">
        <v>-0.11793140000000001</v>
      </c>
      <c r="J24">
        <v>-0.1130857</v>
      </c>
      <c r="K24">
        <v>-0.10532469999999999</v>
      </c>
      <c r="L24" s="3">
        <v>-7.1444509999999996E-3</v>
      </c>
      <c r="M24">
        <v>-0.1010795</v>
      </c>
      <c r="N24" s="3">
        <v>-9.0069289999999996E-2</v>
      </c>
      <c r="O24">
        <v>-8.3919999999999995E-2</v>
      </c>
      <c r="P24" s="3">
        <v>3.0669689999999999E-2</v>
      </c>
      <c r="Q24" s="3">
        <v>-6.9813730000000004E-2</v>
      </c>
      <c r="R24">
        <v>-6.14028E-2</v>
      </c>
      <c r="S24" s="3">
        <v>2.9645919999999999E-2</v>
      </c>
      <c r="T24" s="3">
        <v>-4.3744089999999999E-2</v>
      </c>
      <c r="U24" s="3">
        <v>-3.5017010000000001E-2</v>
      </c>
      <c r="V24" s="3">
        <v>-2.4369720000000001E-2</v>
      </c>
    </row>
    <row r="25" spans="1:22" x14ac:dyDescent="0.25">
      <c r="A25">
        <v>2778.6390000000001</v>
      </c>
      <c r="B25">
        <v>9116</v>
      </c>
      <c r="C25">
        <v>6744</v>
      </c>
      <c r="D25">
        <v>1</v>
      </c>
      <c r="E25">
        <v>1</v>
      </c>
      <c r="F25" t="s">
        <v>13</v>
      </c>
      <c r="G25" s="3">
        <v>-1.8719670000000001E-2</v>
      </c>
      <c r="H25" s="3">
        <v>-7.501125E-3</v>
      </c>
      <c r="I25" s="3">
        <v>-2.4645810000000001E-2</v>
      </c>
      <c r="J25" s="3">
        <v>-3.1835080000000002E-2</v>
      </c>
      <c r="K25" s="3">
        <v>-3.4885880000000001E-2</v>
      </c>
      <c r="L25" s="3">
        <v>-4.0961270000000001E-2</v>
      </c>
      <c r="M25" s="3">
        <v>-5.4599759999999997E-2</v>
      </c>
      <c r="N25" s="3">
        <v>-5.6577210000000003E-2</v>
      </c>
      <c r="O25" s="3">
        <v>-6.0012339999999997E-2</v>
      </c>
      <c r="P25" s="3">
        <v>-5.9006210000000003E-2</v>
      </c>
      <c r="Q25" s="3">
        <v>-6.0112480000000003E-2</v>
      </c>
      <c r="R25" s="3">
        <v>-5.6467059999999999E-2</v>
      </c>
      <c r="S25" s="3">
        <v>-5.0061229999999998E-2</v>
      </c>
      <c r="T25" s="3">
        <v>-4.2119030000000002E-2</v>
      </c>
      <c r="U25" s="3">
        <v>-2.738142E-2</v>
      </c>
      <c r="V25" s="3">
        <v>-6.5474510000000001E-3</v>
      </c>
    </row>
    <row r="26" spans="1:22" x14ac:dyDescent="0.25">
      <c r="A26" t="s">
        <v>178</v>
      </c>
    </row>
    <row r="27" spans="1:22" x14ac:dyDescent="0.25">
      <c r="A27">
        <v>2788.0940000000001</v>
      </c>
      <c r="B27">
        <v>9116</v>
      </c>
      <c r="C27">
        <v>6742</v>
      </c>
      <c r="D27">
        <v>1</v>
      </c>
      <c r="E27">
        <v>1</v>
      </c>
      <c r="F27" t="s">
        <v>13</v>
      </c>
      <c r="G27">
        <v>9.54628E-2</v>
      </c>
      <c r="H27" s="3">
        <v>-6.7248820000000001E-2</v>
      </c>
      <c r="I27" s="3">
        <v>-8.9702610000000002E-2</v>
      </c>
      <c r="J27" s="3">
        <v>-9.3586440000000007E-2</v>
      </c>
      <c r="K27" s="3">
        <v>-9.0420719999999996E-2</v>
      </c>
      <c r="L27" s="3">
        <v>-6.6409110000000002E-3</v>
      </c>
      <c r="M27" s="3">
        <v>-9.1759679999999996E-2</v>
      </c>
      <c r="N27" s="3">
        <v>-8.1877229999999995E-2</v>
      </c>
      <c r="O27" s="3">
        <v>-7.7857019999999999E-2</v>
      </c>
      <c r="P27" s="3">
        <v>2.9976840000000001E-2</v>
      </c>
      <c r="Q27" s="3">
        <v>-6.6173079999999995E-2</v>
      </c>
      <c r="R27" s="3">
        <v>-5.7372569999999998E-2</v>
      </c>
      <c r="S27" s="3">
        <v>3.0009270000000001E-2</v>
      </c>
      <c r="T27" s="3">
        <v>-4.391432E-2</v>
      </c>
      <c r="U27" s="3">
        <v>-3.2443520000000003E-2</v>
      </c>
      <c r="V27" s="3">
        <v>-2.3465630000000001E-2</v>
      </c>
    </row>
    <row r="28" spans="1:22" x14ac:dyDescent="0.25">
      <c r="A28">
        <v>2788.1170000000002</v>
      </c>
      <c r="B28">
        <v>9116</v>
      </c>
      <c r="C28">
        <v>6744</v>
      </c>
      <c r="D28">
        <v>1</v>
      </c>
      <c r="E28">
        <v>1</v>
      </c>
      <c r="F28" t="s">
        <v>13</v>
      </c>
      <c r="G28" s="3">
        <v>-1.836252E-2</v>
      </c>
      <c r="H28" s="3">
        <v>-5.7129859999999998E-3</v>
      </c>
      <c r="I28">
        <v>-2.5008200000000001E-2</v>
      </c>
      <c r="J28" s="3">
        <v>-3.1832220000000001E-2</v>
      </c>
      <c r="K28" s="3">
        <v>-3.7780279999999999E-2</v>
      </c>
      <c r="L28" s="3">
        <v>-4.4183729999999997E-2</v>
      </c>
      <c r="M28" s="3">
        <v>-6.049728E-2</v>
      </c>
      <c r="N28" s="3">
        <v>-6.4033989999999999E-2</v>
      </c>
      <c r="O28" s="3">
        <v>-6.8254949999999995E-2</v>
      </c>
      <c r="P28" s="3">
        <v>-6.8928719999999999E-2</v>
      </c>
      <c r="Q28" s="3">
        <v>-7.2200780000000006E-2</v>
      </c>
      <c r="R28" s="3">
        <v>-7.0716860000000006E-2</v>
      </c>
      <c r="S28" s="3">
        <v>-6.6007609999999994E-2</v>
      </c>
      <c r="T28" s="3">
        <v>-6.0821060000000003E-2</v>
      </c>
      <c r="U28" s="3">
        <v>-5.0743580000000003E-2</v>
      </c>
      <c r="V28" s="3">
        <v>-3.456211E-2</v>
      </c>
    </row>
    <row r="29" spans="1:22" x14ac:dyDescent="0.25">
      <c r="A29" t="s">
        <v>179</v>
      </c>
    </row>
    <row r="30" spans="1:22" x14ac:dyDescent="0.25">
      <c r="A30">
        <v>2797.2310000000002</v>
      </c>
      <c r="B30">
        <v>9116</v>
      </c>
      <c r="C30">
        <v>6742</v>
      </c>
      <c r="D30">
        <v>1</v>
      </c>
      <c r="E30">
        <v>1</v>
      </c>
      <c r="F30" t="s">
        <v>13</v>
      </c>
      <c r="G30" s="3">
        <v>9.7582820000000001E-2</v>
      </c>
      <c r="H30" s="3">
        <v>-3.4306530000000002E-2</v>
      </c>
      <c r="I30" s="3">
        <v>-6.3248159999999998E-2</v>
      </c>
      <c r="J30" s="3">
        <v>-7.3740959999999994E-2</v>
      </c>
      <c r="K30" s="3">
        <v>-7.4659349999999999E-2</v>
      </c>
      <c r="L30" s="3">
        <v>-5.2590370000000003E-3</v>
      </c>
      <c r="M30" s="3">
        <v>-8.1907270000000004E-2</v>
      </c>
      <c r="N30" s="3">
        <v>-7.367754E-2</v>
      </c>
      <c r="O30">
        <v>-7.0746900000000001E-2</v>
      </c>
      <c r="P30" s="3">
        <v>2.962971E-2</v>
      </c>
      <c r="Q30" s="3">
        <v>-6.1661239999999999E-2</v>
      </c>
      <c r="R30" s="3">
        <v>-5.4087160000000002E-2</v>
      </c>
      <c r="S30" s="3">
        <v>2.983189E-2</v>
      </c>
      <c r="T30" s="3">
        <v>-4.391432E-2</v>
      </c>
      <c r="U30">
        <v>-3.08013E-2</v>
      </c>
      <c r="V30" s="3">
        <v>-2.2018429999999999E-2</v>
      </c>
    </row>
    <row r="31" spans="1:22" x14ac:dyDescent="0.25">
      <c r="A31">
        <v>2797.25</v>
      </c>
      <c r="B31">
        <v>9116</v>
      </c>
      <c r="C31">
        <v>6744</v>
      </c>
      <c r="D31">
        <v>1</v>
      </c>
      <c r="E31">
        <v>1</v>
      </c>
      <c r="F31" t="s">
        <v>13</v>
      </c>
      <c r="G31" s="3">
        <v>-1.836252E-2</v>
      </c>
      <c r="H31" s="3">
        <v>-4.6372410000000003E-3</v>
      </c>
      <c r="I31">
        <v>-2.55518E-2</v>
      </c>
      <c r="J31" s="3">
        <v>-3.1659130000000001E-2</v>
      </c>
      <c r="K31">
        <v>-3.8142200000000001E-2</v>
      </c>
      <c r="L31" s="3">
        <v>-4.6508309999999997E-2</v>
      </c>
      <c r="M31">
        <v>-6.5180299999999997E-2</v>
      </c>
      <c r="N31" s="3">
        <v>-7.0398810000000006E-2</v>
      </c>
      <c r="O31" s="3">
        <v>-7.5963970000000006E-2</v>
      </c>
      <c r="P31" s="3">
        <v>-7.7382560000000003E-2</v>
      </c>
      <c r="Q31" s="3">
        <v>-8.2663539999999994E-2</v>
      </c>
      <c r="R31" s="3">
        <v>-8.4064009999999995E-2</v>
      </c>
      <c r="S31" s="3">
        <v>-8.1575389999999998E-2</v>
      </c>
      <c r="T31">
        <v>-7.9518800000000001E-2</v>
      </c>
      <c r="U31" s="3">
        <v>-7.5198650000000006E-2</v>
      </c>
      <c r="V31" s="3">
        <v>-6.4362050000000004E-2</v>
      </c>
    </row>
    <row r="32" spans="1:22" x14ac:dyDescent="0.25">
      <c r="A32" t="s">
        <v>180</v>
      </c>
    </row>
    <row r="33" spans="1:22" x14ac:dyDescent="0.25">
      <c r="A33">
        <v>2806.933</v>
      </c>
      <c r="B33">
        <v>9116</v>
      </c>
      <c r="C33">
        <v>6742</v>
      </c>
      <c r="D33">
        <v>1</v>
      </c>
      <c r="E33">
        <v>1</v>
      </c>
      <c r="F33" t="s">
        <v>13</v>
      </c>
      <c r="G33" s="3">
        <v>9.4409469999999995E-2</v>
      </c>
      <c r="H33" s="3">
        <v>-4.6544079999999996E-3</v>
      </c>
      <c r="I33" s="3">
        <v>-3.8035390000000002E-2</v>
      </c>
      <c r="J33" s="3">
        <v>-5.474043E-2</v>
      </c>
      <c r="K33" s="3">
        <v>-5.8723930000000001E-2</v>
      </c>
      <c r="L33" s="3">
        <v>-4.3687819999999999E-3</v>
      </c>
      <c r="M33" s="3">
        <v>-7.0386409999999996E-2</v>
      </c>
      <c r="N33" s="3">
        <v>-6.4081189999999996E-2</v>
      </c>
      <c r="O33" s="3">
        <v>-6.2691209999999997E-2</v>
      </c>
      <c r="P33" s="3">
        <v>2.9475689999999999E-2</v>
      </c>
      <c r="Q33" s="3">
        <v>-5.6287289999999997E-2</v>
      </c>
      <c r="R33" s="3">
        <v>-4.942274E-2</v>
      </c>
      <c r="S33" s="3">
        <v>3.0186649999999999E-2</v>
      </c>
      <c r="T33" s="3">
        <v>-3.9590840000000002E-2</v>
      </c>
      <c r="U33" s="3">
        <v>-3.4086230000000002E-2</v>
      </c>
      <c r="V33" s="3">
        <v>-2.0099160000000001E-2</v>
      </c>
    </row>
    <row r="34" spans="1:22" x14ac:dyDescent="0.25">
      <c r="A34">
        <v>2806.9540000000002</v>
      </c>
      <c r="B34">
        <v>9116</v>
      </c>
      <c r="C34">
        <v>6744</v>
      </c>
      <c r="D34">
        <v>1</v>
      </c>
      <c r="E34">
        <v>1</v>
      </c>
      <c r="F34" t="s">
        <v>13</v>
      </c>
      <c r="G34" s="3">
        <v>-1.7999649999999999E-2</v>
      </c>
      <c r="H34" s="3">
        <v>-5.122662E-3</v>
      </c>
      <c r="I34">
        <v>-2.5008200000000001E-2</v>
      </c>
      <c r="J34" s="3">
        <v>-3.2524589999999999E-2</v>
      </c>
      <c r="K34" s="3">
        <v>-3.6519049999999997E-2</v>
      </c>
      <c r="L34" s="3">
        <v>-4.6866419999999999E-2</v>
      </c>
      <c r="M34">
        <v>-6.86388E-2</v>
      </c>
      <c r="N34" s="3">
        <v>-7.5309749999999995E-2</v>
      </c>
      <c r="O34" s="3">
        <v>-8.1808569999999997E-2</v>
      </c>
      <c r="P34" s="3">
        <v>-8.5108760000000006E-2</v>
      </c>
      <c r="Q34" s="3">
        <v>-9.2408180000000006E-2</v>
      </c>
      <c r="R34" s="3">
        <v>-9.6698759999999995E-2</v>
      </c>
      <c r="S34" s="3">
        <v>-9.6024040000000005E-2</v>
      </c>
      <c r="T34" s="3">
        <v>-9.8035810000000001E-2</v>
      </c>
      <c r="U34" s="3">
        <v>-9.9842550000000002E-2</v>
      </c>
      <c r="V34" s="3">
        <v>-9.6475119999999998E-2</v>
      </c>
    </row>
    <row r="35" spans="1:22" x14ac:dyDescent="0.25">
      <c r="A35" t="s">
        <v>181</v>
      </c>
    </row>
    <row r="36" spans="1:22" x14ac:dyDescent="0.25">
      <c r="A36">
        <v>2816.2820000000002</v>
      </c>
      <c r="B36">
        <v>9116</v>
      </c>
      <c r="C36">
        <v>6742</v>
      </c>
      <c r="D36">
        <v>1</v>
      </c>
      <c r="E36">
        <v>1</v>
      </c>
      <c r="F36" t="s">
        <v>13</v>
      </c>
      <c r="G36" s="3">
        <v>8.3101750000000002E-2</v>
      </c>
      <c r="H36" s="3">
        <v>2.170706E-2</v>
      </c>
      <c r="I36">
        <v>-1.41449E-2</v>
      </c>
      <c r="J36" s="3">
        <v>-3.5922049999999997E-2</v>
      </c>
      <c r="K36" s="3">
        <v>-4.2959690000000002E-2</v>
      </c>
      <c r="L36" s="3">
        <v>-3.1609540000000001E-3</v>
      </c>
      <c r="M36" s="3">
        <v>-5.9353830000000003E-2</v>
      </c>
      <c r="N36" s="3">
        <v>-5.5014609999999999E-2</v>
      </c>
      <c r="O36" s="3">
        <v>-5.4978369999999999E-2</v>
      </c>
      <c r="P36" s="3">
        <v>2.8974529999999998E-2</v>
      </c>
      <c r="Q36">
        <v>-5.1488399999999997E-2</v>
      </c>
      <c r="R36" s="3">
        <v>-4.5392040000000002E-2</v>
      </c>
      <c r="S36" s="3">
        <v>3.0007840000000001E-2</v>
      </c>
      <c r="T36" s="3">
        <v>-3.6820409999999998E-2</v>
      </c>
      <c r="U36" s="3">
        <v>-3.151226E-2</v>
      </c>
      <c r="V36" s="3">
        <v>-2.0712379999999999E-2</v>
      </c>
    </row>
    <row r="37" spans="1:22" x14ac:dyDescent="0.25">
      <c r="A37">
        <v>2816.3069999999998</v>
      </c>
      <c r="B37">
        <v>9116</v>
      </c>
      <c r="C37">
        <v>6744</v>
      </c>
      <c r="D37">
        <v>1</v>
      </c>
      <c r="E37">
        <v>1</v>
      </c>
      <c r="F37" t="s">
        <v>13</v>
      </c>
      <c r="G37" s="3">
        <v>-1.6179559999999999E-2</v>
      </c>
      <c r="H37" s="3">
        <v>-5.6114199999999998E-3</v>
      </c>
      <c r="I37">
        <v>-2.4831300000000001E-2</v>
      </c>
      <c r="J37">
        <v>-3.2697200000000003E-2</v>
      </c>
      <c r="K37" s="3">
        <v>-3.8683410000000001E-2</v>
      </c>
      <c r="L37" s="3">
        <v>-5.0447939999999997E-2</v>
      </c>
      <c r="M37" s="3">
        <v>-7.4016570000000004E-2</v>
      </c>
      <c r="N37" s="3">
        <v>-8.2050319999999996E-2</v>
      </c>
      <c r="O37" s="3">
        <v>-8.9090820000000001E-2</v>
      </c>
      <c r="P37" s="3">
        <v>-9.3563560000000004E-2</v>
      </c>
      <c r="Q37">
        <v>-0.1023293</v>
      </c>
      <c r="R37">
        <v>-0.1104069</v>
      </c>
      <c r="S37">
        <v>-0.111939</v>
      </c>
      <c r="T37">
        <v>-0.1181912</v>
      </c>
      <c r="U37">
        <v>-0.12739990000000001</v>
      </c>
      <c r="V37">
        <v>-0.1333995</v>
      </c>
    </row>
    <row r="38" spans="1:22" x14ac:dyDescent="0.25">
      <c r="A38" t="s">
        <v>182</v>
      </c>
    </row>
    <row r="39" spans="1:22" x14ac:dyDescent="0.25">
      <c r="A39">
        <v>2825.826</v>
      </c>
      <c r="B39">
        <v>9116</v>
      </c>
      <c r="C39">
        <v>6742</v>
      </c>
      <c r="D39">
        <v>1</v>
      </c>
      <c r="E39">
        <v>1</v>
      </c>
      <c r="F39" t="s">
        <v>13</v>
      </c>
      <c r="G39" s="3">
        <v>6.2607769999999993E-2</v>
      </c>
      <c r="H39" s="3">
        <v>4.5191759999999997E-2</v>
      </c>
      <c r="I39" s="3">
        <v>8.4595680000000006E-3</v>
      </c>
      <c r="J39">
        <v>-1.7271999999999999E-2</v>
      </c>
      <c r="K39" s="3">
        <v>-2.7538779999999999E-2</v>
      </c>
      <c r="L39" s="3">
        <v>-2.6431079999999999E-3</v>
      </c>
      <c r="M39" s="3">
        <v>-4.7565459999999997E-2</v>
      </c>
      <c r="N39" s="3">
        <v>-4.5243739999999998E-2</v>
      </c>
      <c r="O39">
        <v>-4.6479699999999999E-2</v>
      </c>
      <c r="P39" s="3">
        <v>2.8801440000000001E-2</v>
      </c>
      <c r="Q39" s="3">
        <v>-4.5241360000000001E-2</v>
      </c>
      <c r="R39" s="3">
        <v>-4.055023E-2</v>
      </c>
      <c r="S39" s="3">
        <v>3.0185219999999999E-2</v>
      </c>
      <c r="T39" s="3">
        <v>-3.3879279999999998E-2</v>
      </c>
      <c r="U39" s="3">
        <v>-2.768135E-2</v>
      </c>
      <c r="V39" s="3">
        <v>-2.378893E-2</v>
      </c>
    </row>
    <row r="40" spans="1:22" x14ac:dyDescent="0.25">
      <c r="A40">
        <v>2825.8449999999998</v>
      </c>
      <c r="B40">
        <v>9116</v>
      </c>
      <c r="C40">
        <v>6744</v>
      </c>
      <c r="D40">
        <v>1</v>
      </c>
      <c r="E40">
        <v>1</v>
      </c>
      <c r="F40" t="s">
        <v>13</v>
      </c>
      <c r="G40" s="3">
        <v>-1.7087939999999999E-2</v>
      </c>
      <c r="H40" s="3">
        <v>-6.5083500000000004E-3</v>
      </c>
      <c r="I40">
        <v>-2.39253E-2</v>
      </c>
      <c r="J40" s="3">
        <v>-3.2524589999999999E-2</v>
      </c>
      <c r="K40" s="3">
        <v>-3.9948459999999998E-2</v>
      </c>
      <c r="L40" s="3">
        <v>-5.2414889999999999E-2</v>
      </c>
      <c r="M40">
        <v>-7.9047199999999998E-2</v>
      </c>
      <c r="N40" s="3">
        <v>-8.8415149999999998E-2</v>
      </c>
      <c r="O40" s="3">
        <v>-9.6084119999999995E-2</v>
      </c>
      <c r="P40">
        <v>-0.102385</v>
      </c>
      <c r="Q40">
        <v>-0.113513</v>
      </c>
      <c r="R40">
        <v>-0.1237535</v>
      </c>
      <c r="S40">
        <v>-0.12890579999999999</v>
      </c>
      <c r="T40">
        <v>-0.13979150000000001</v>
      </c>
      <c r="U40">
        <v>-0.1569624</v>
      </c>
      <c r="V40">
        <v>-0.1735411</v>
      </c>
    </row>
    <row r="41" spans="1:22" x14ac:dyDescent="0.25">
      <c r="A41" t="s">
        <v>183</v>
      </c>
    </row>
    <row r="42" spans="1:22" x14ac:dyDescent="0.25">
      <c r="A42">
        <v>2835.3939999999998</v>
      </c>
      <c r="B42">
        <v>9116</v>
      </c>
      <c r="C42">
        <v>6742</v>
      </c>
      <c r="D42">
        <v>1</v>
      </c>
      <c r="E42">
        <v>1</v>
      </c>
      <c r="F42" t="s">
        <v>13</v>
      </c>
      <c r="G42" s="3">
        <v>2.9936310000000001E-2</v>
      </c>
      <c r="H42" s="3">
        <v>6.3550469999999998E-2</v>
      </c>
      <c r="I42" s="3">
        <v>2.8808589999999999E-2</v>
      </c>
      <c r="J42" s="3">
        <v>8.7833400000000004E-4</v>
      </c>
      <c r="K42" s="3">
        <v>-1.2285229999999999E-2</v>
      </c>
      <c r="L42" s="3">
        <v>-1.7805099999999999E-3</v>
      </c>
      <c r="M42" s="3">
        <v>-3.5913470000000003E-2</v>
      </c>
      <c r="N42" s="3">
        <v>-3.5645959999999997E-2</v>
      </c>
      <c r="O42" s="3">
        <v>-3.7300590000000002E-2</v>
      </c>
      <c r="P42" s="3">
        <v>2.8801440000000001E-2</v>
      </c>
      <c r="Q42">
        <v>-3.9231299999999997E-2</v>
      </c>
      <c r="R42">
        <v>-3.5713200000000001E-2</v>
      </c>
      <c r="S42" s="3">
        <v>2.983189E-2</v>
      </c>
      <c r="T42" s="3">
        <v>-3.041744E-2</v>
      </c>
      <c r="U42" s="3">
        <v>-2.4398329999999999E-2</v>
      </c>
      <c r="V42">
        <v>-2.1251200000000001E-2</v>
      </c>
    </row>
    <row r="43" spans="1:22" x14ac:dyDescent="0.25">
      <c r="A43">
        <v>2835.4160000000002</v>
      </c>
      <c r="B43">
        <v>9116</v>
      </c>
      <c r="C43">
        <v>6744</v>
      </c>
      <c r="D43">
        <v>1</v>
      </c>
      <c r="E43">
        <v>1</v>
      </c>
      <c r="F43" t="s">
        <v>13</v>
      </c>
      <c r="G43" s="3">
        <v>-1.927471E-2</v>
      </c>
      <c r="H43" s="3">
        <v>-8.5301400000000003E-3</v>
      </c>
      <c r="I43" s="3">
        <v>-2.4290559999999999E-2</v>
      </c>
      <c r="J43" s="3">
        <v>-3.286791E-2</v>
      </c>
      <c r="K43" s="3">
        <v>-4.0674689999999999E-2</v>
      </c>
      <c r="L43" s="3">
        <v>-5.4025169999999997E-2</v>
      </c>
      <c r="M43" s="3">
        <v>-8.1127640000000001E-2</v>
      </c>
      <c r="N43" s="3">
        <v>-9.5690250000000004E-2</v>
      </c>
      <c r="O43">
        <v>-0.10384989999999999</v>
      </c>
      <c r="P43">
        <v>-0.1112118</v>
      </c>
      <c r="Q43">
        <v>-0.12362960000000001</v>
      </c>
      <c r="R43">
        <v>-0.1380043</v>
      </c>
      <c r="S43">
        <v>-0.14519360000000001</v>
      </c>
      <c r="T43">
        <v>-0.16157579999999999</v>
      </c>
      <c r="U43">
        <v>-0.18762300000000001</v>
      </c>
      <c r="V43">
        <v>-0.2163572</v>
      </c>
    </row>
    <row r="44" spans="1:22" x14ac:dyDescent="0.25">
      <c r="A44" t="s">
        <v>184</v>
      </c>
    </row>
    <row r="45" spans="1:22" x14ac:dyDescent="0.25">
      <c r="A45">
        <v>2844.7370000000001</v>
      </c>
      <c r="B45">
        <v>9116</v>
      </c>
      <c r="C45">
        <v>6742</v>
      </c>
      <c r="D45">
        <v>1</v>
      </c>
      <c r="E45">
        <v>1</v>
      </c>
      <c r="F45" t="s">
        <v>13</v>
      </c>
      <c r="G45" s="3">
        <v>-1.1575220000000001E-2</v>
      </c>
      <c r="H45" s="3">
        <v>7.6674939999999997E-2</v>
      </c>
      <c r="I45" s="3">
        <v>4.5836450000000001E-2</v>
      </c>
      <c r="J45">
        <v>1.64814E-2</v>
      </c>
      <c r="K45" s="3">
        <v>2.1033290000000001E-3</v>
      </c>
      <c r="L45" s="3">
        <v>-1.2469289999999999E-3</v>
      </c>
      <c r="M45" s="3">
        <v>-2.4209979999999999E-2</v>
      </c>
      <c r="N45" s="3">
        <v>-2.5705809999999999E-2</v>
      </c>
      <c r="O45" s="3">
        <v>-2.872133E-2</v>
      </c>
      <c r="P45" s="3">
        <v>2.8281210000000001E-2</v>
      </c>
      <c r="Q45" s="3">
        <v>-3.2698150000000002E-2</v>
      </c>
      <c r="R45" s="3">
        <v>-3.0470850000000001E-2</v>
      </c>
      <c r="S45" s="3">
        <v>3.0367370000000001E-2</v>
      </c>
      <c r="T45" s="3">
        <v>-2.6437760000000001E-2</v>
      </c>
      <c r="U45" s="3">
        <v>-2.091312E-2</v>
      </c>
      <c r="V45" s="3">
        <v>-1.7453670000000001E-2</v>
      </c>
    </row>
    <row r="46" spans="1:22" x14ac:dyDescent="0.25">
      <c r="A46">
        <v>2844.759</v>
      </c>
      <c r="B46">
        <v>9116</v>
      </c>
      <c r="C46">
        <v>6744</v>
      </c>
      <c r="D46">
        <v>1</v>
      </c>
      <c r="E46">
        <v>1</v>
      </c>
      <c r="F46" t="s">
        <v>13</v>
      </c>
      <c r="G46" s="3">
        <v>-1.5276430000000001E-2</v>
      </c>
      <c r="H46" s="3">
        <v>-1.273203E-2</v>
      </c>
      <c r="I46" s="3">
        <v>-2.4476049999999999E-2</v>
      </c>
      <c r="J46" s="3">
        <v>-3.3385749999999999E-2</v>
      </c>
      <c r="K46" s="3">
        <v>-4.2305469999999998E-2</v>
      </c>
      <c r="L46" s="3">
        <v>-5.563879E-2</v>
      </c>
      <c r="M46" s="3">
        <v>-8.8237759999999998E-2</v>
      </c>
      <c r="N46" s="3">
        <v>-9.9339490000000003E-2</v>
      </c>
      <c r="O46">
        <v>-0.1084447</v>
      </c>
      <c r="P46">
        <v>-0.1220512</v>
      </c>
      <c r="Q46">
        <v>-0.1349959</v>
      </c>
      <c r="R46">
        <v>-0.15280340000000001</v>
      </c>
      <c r="S46">
        <v>-0.16247610000000001</v>
      </c>
      <c r="T46">
        <v>-0.18353990000000001</v>
      </c>
      <c r="U46">
        <v>-0.21900130000000001</v>
      </c>
      <c r="V46">
        <v>-0.26023390000000002</v>
      </c>
    </row>
    <row r="47" spans="1:22" x14ac:dyDescent="0.25">
      <c r="A47" t="s">
        <v>185</v>
      </c>
    </row>
    <row r="48" spans="1:22" x14ac:dyDescent="0.25">
      <c r="A48">
        <v>2854.076</v>
      </c>
      <c r="B48">
        <v>9116</v>
      </c>
      <c r="C48">
        <v>6742</v>
      </c>
      <c r="D48">
        <v>1</v>
      </c>
      <c r="E48">
        <v>1</v>
      </c>
      <c r="F48" t="s">
        <v>13</v>
      </c>
      <c r="G48" s="3">
        <v>-5.7149409999999998E-2</v>
      </c>
      <c r="H48" s="3">
        <v>8.5263249999999999E-2</v>
      </c>
      <c r="I48" s="3">
        <v>5.9331420000000003E-2</v>
      </c>
      <c r="J48" s="3">
        <v>3.000164E-2</v>
      </c>
      <c r="K48" s="3">
        <v>1.341343E-2</v>
      </c>
      <c r="L48" s="3">
        <v>-3.7193300000000002E-5</v>
      </c>
      <c r="M48" s="3">
        <v>-1.4707090000000001E-2</v>
      </c>
      <c r="N48" s="3">
        <v>-1.7504220000000001E-2</v>
      </c>
      <c r="O48" s="3">
        <v>-2.1610259999999999E-2</v>
      </c>
      <c r="P48" s="3">
        <v>2.793503E-2</v>
      </c>
      <c r="Q48" s="3">
        <v>-2.7665140000000001E-2</v>
      </c>
      <c r="R48" s="3">
        <v>-2.6493550000000001E-2</v>
      </c>
      <c r="S48">
        <v>3.1431199999999999E-2</v>
      </c>
      <c r="T48" s="3">
        <v>-2.4015430000000001E-2</v>
      </c>
      <c r="U48" s="3">
        <v>-1.9271369999999999E-2</v>
      </c>
      <c r="V48" s="3">
        <v>-1.564407E-2</v>
      </c>
    </row>
    <row r="49" spans="1:22" x14ac:dyDescent="0.25">
      <c r="A49">
        <v>2854.0970000000002</v>
      </c>
      <c r="B49">
        <v>9116</v>
      </c>
      <c r="C49">
        <v>6744</v>
      </c>
      <c r="D49">
        <v>1</v>
      </c>
      <c r="E49">
        <v>1</v>
      </c>
      <c r="F49" t="s">
        <v>13</v>
      </c>
      <c r="G49" s="3">
        <v>-1.364136E-2</v>
      </c>
      <c r="H49" s="3">
        <v>-1.201439E-2</v>
      </c>
      <c r="I49" s="3">
        <v>-2.357006E-2</v>
      </c>
      <c r="J49" s="3">
        <v>-3.2693390000000003E-2</v>
      </c>
      <c r="K49" s="3">
        <v>-4.212523E-2</v>
      </c>
      <c r="L49" s="3">
        <v>-5.5818079999999999E-2</v>
      </c>
      <c r="M49" s="3">
        <v>-9.1707230000000001E-2</v>
      </c>
      <c r="N49">
        <v>-0.10625030000000001</v>
      </c>
      <c r="O49">
        <v>-0.11848499999999999</v>
      </c>
      <c r="P49">
        <v>-0.12829969999999999</v>
      </c>
      <c r="Q49">
        <v>-0.14383460000000001</v>
      </c>
      <c r="R49">
        <v>-0.17011689999999999</v>
      </c>
      <c r="S49">
        <v>-0.18276500000000001</v>
      </c>
      <c r="T49">
        <v>-0.2085862</v>
      </c>
      <c r="U49">
        <v>-0.24746470000000001</v>
      </c>
      <c r="V49">
        <v>-0.30090090000000003</v>
      </c>
    </row>
    <row r="50" spans="1:22" x14ac:dyDescent="0.25">
      <c r="A50" t="s">
        <v>186</v>
      </c>
    </row>
    <row r="51" spans="1:22" x14ac:dyDescent="0.25">
      <c r="A51">
        <v>2863.65</v>
      </c>
      <c r="B51">
        <v>9116</v>
      </c>
      <c r="C51">
        <v>6742</v>
      </c>
      <c r="D51">
        <v>1</v>
      </c>
      <c r="E51">
        <v>1</v>
      </c>
      <c r="F51" t="s">
        <v>13</v>
      </c>
      <c r="G51">
        <v>-0.1039553</v>
      </c>
      <c r="H51">
        <v>8.8856699999999997E-2</v>
      </c>
      <c r="I51" s="3">
        <v>6.7948339999999996E-2</v>
      </c>
      <c r="J51" s="3">
        <v>4.0266509999999998E-2</v>
      </c>
      <c r="K51" s="3">
        <v>2.3356910000000002E-2</v>
      </c>
      <c r="L51" s="3">
        <v>1.4686580000000001E-4</v>
      </c>
      <c r="M51" s="3">
        <v>-7.1969030000000002E-3</v>
      </c>
      <c r="N51" s="3">
        <v>-1.0354520000000001E-2</v>
      </c>
      <c r="O51" s="3">
        <v>-1.5896319999999999E-2</v>
      </c>
      <c r="P51" s="3">
        <v>2.7761460000000002E-2</v>
      </c>
      <c r="Q51">
        <v>-2.3678299999999999E-2</v>
      </c>
      <c r="R51" s="3">
        <v>-2.3558619999999999E-2</v>
      </c>
      <c r="S51" s="3">
        <v>3.1259059999999998E-2</v>
      </c>
      <c r="T51" s="3">
        <v>-2.3321149999999999E-2</v>
      </c>
      <c r="U51" s="3">
        <v>-1.9272330000000001E-2</v>
      </c>
      <c r="V51" s="3">
        <v>-1.626205E-2</v>
      </c>
    </row>
    <row r="52" spans="1:22" x14ac:dyDescent="0.25">
      <c r="A52">
        <v>2863.6680000000001</v>
      </c>
      <c r="B52">
        <v>9116</v>
      </c>
      <c r="C52">
        <v>6744</v>
      </c>
      <c r="D52">
        <v>1</v>
      </c>
      <c r="E52">
        <v>1</v>
      </c>
      <c r="F52" t="s">
        <v>13</v>
      </c>
      <c r="G52" s="3">
        <v>-1.473522E-2</v>
      </c>
      <c r="H52">
        <v>-1.3086800000000001E-2</v>
      </c>
      <c r="I52" s="3">
        <v>-2.2301669999999999E-2</v>
      </c>
      <c r="J52" s="3">
        <v>-3.113747E-2</v>
      </c>
      <c r="K52" s="3">
        <v>-4.1401390000000003E-2</v>
      </c>
      <c r="L52" s="3">
        <v>-5.528069E-2</v>
      </c>
      <c r="M52" s="3">
        <v>-9.4289780000000004E-2</v>
      </c>
      <c r="N52">
        <v>-0.1102643</v>
      </c>
      <c r="O52">
        <v>-0.1236768</v>
      </c>
      <c r="P52">
        <v>-0.13510040000000001</v>
      </c>
      <c r="Q52">
        <v>-0.15592339999999999</v>
      </c>
      <c r="R52">
        <v>-0.17589089999999999</v>
      </c>
      <c r="S52">
        <v>-0.1859055</v>
      </c>
      <c r="T52">
        <v>-0.24308489999999999</v>
      </c>
      <c r="U52">
        <v>-0.27831460000000002</v>
      </c>
      <c r="V52">
        <v>-0.335144</v>
      </c>
    </row>
    <row r="53" spans="1:22" x14ac:dyDescent="0.25">
      <c r="A53" t="s">
        <v>187</v>
      </c>
    </row>
    <row r="54" spans="1:22" x14ac:dyDescent="0.25">
      <c r="A54">
        <v>2873.3870000000002</v>
      </c>
      <c r="B54">
        <v>9116</v>
      </c>
      <c r="C54">
        <v>6742</v>
      </c>
      <c r="D54">
        <v>1</v>
      </c>
      <c r="E54">
        <v>1</v>
      </c>
      <c r="F54" t="s">
        <v>13</v>
      </c>
      <c r="G54">
        <v>-0.15658659999999999</v>
      </c>
      <c r="H54" s="3">
        <v>8.9552880000000001E-2</v>
      </c>
      <c r="I54" s="3">
        <v>7.600498E-2</v>
      </c>
      <c r="J54" s="3">
        <v>4.916239E-2</v>
      </c>
      <c r="K54" s="3">
        <v>3.1929489999999998E-2</v>
      </c>
      <c r="L54" s="3">
        <v>1.4877320000000001E-4</v>
      </c>
      <c r="M54" s="3">
        <v>5.8841709999999997E-4</v>
      </c>
      <c r="N54" s="3">
        <v>-4.2462350000000001E-3</v>
      </c>
      <c r="O54" s="3">
        <v>-1.052809E-2</v>
      </c>
      <c r="P54" s="3">
        <v>2.7433869999999999E-2</v>
      </c>
      <c r="Q54" s="3">
        <v>-1.9864079999999999E-2</v>
      </c>
      <c r="R54" s="3">
        <v>-2.0737169999999999E-2</v>
      </c>
      <c r="S54" s="3">
        <v>3.1613349999999998E-2</v>
      </c>
      <c r="T54" s="3">
        <v>-2.1939279999999999E-2</v>
      </c>
      <c r="U54" s="3">
        <v>-1.9070150000000001E-2</v>
      </c>
      <c r="V54" s="3">
        <v>-1.709747E-2</v>
      </c>
    </row>
    <row r="55" spans="1:22" x14ac:dyDescent="0.25">
      <c r="A55">
        <v>2873.4070000000002</v>
      </c>
      <c r="B55">
        <v>9116</v>
      </c>
      <c r="C55">
        <v>6744</v>
      </c>
      <c r="D55">
        <v>1</v>
      </c>
      <c r="E55">
        <v>1</v>
      </c>
      <c r="F55" t="s">
        <v>13</v>
      </c>
      <c r="G55" s="3">
        <v>-1.5825269999999999E-2</v>
      </c>
      <c r="H55" s="3">
        <v>-1.4701840000000001E-2</v>
      </c>
      <c r="I55" s="3">
        <v>-2.157688E-2</v>
      </c>
      <c r="J55" s="3">
        <v>-3.0097479999999999E-2</v>
      </c>
      <c r="K55" s="3">
        <v>-4.0136810000000002E-2</v>
      </c>
      <c r="L55">
        <v>-5.4570199999999999E-2</v>
      </c>
      <c r="M55" s="3">
        <v>-9.6536159999999996E-2</v>
      </c>
      <c r="N55">
        <v>-0.1142654</v>
      </c>
      <c r="O55">
        <v>-0.12869069999999999</v>
      </c>
      <c r="P55">
        <v>-0.14246320000000001</v>
      </c>
      <c r="Q55">
        <v>-0.16459750000000001</v>
      </c>
      <c r="R55">
        <v>-0.18923809999999999</v>
      </c>
      <c r="S55">
        <v>-0.1921997</v>
      </c>
      <c r="T55">
        <v>-0.28952840000000002</v>
      </c>
      <c r="U55">
        <v>-0.31443260000000001</v>
      </c>
      <c r="V55">
        <v>-0.37598419999999999</v>
      </c>
    </row>
    <row r="56" spans="1:22" x14ac:dyDescent="0.25">
      <c r="A56" t="s">
        <v>188</v>
      </c>
    </row>
    <row r="57" spans="1:22" x14ac:dyDescent="0.25">
      <c r="A57">
        <v>2883.0920000000001</v>
      </c>
      <c r="B57">
        <v>9116</v>
      </c>
      <c r="C57">
        <v>6742</v>
      </c>
      <c r="D57">
        <v>1</v>
      </c>
      <c r="E57">
        <v>1</v>
      </c>
      <c r="F57" t="s">
        <v>13</v>
      </c>
      <c r="G57">
        <v>-0.21398020000000001</v>
      </c>
      <c r="H57" s="3">
        <v>8.8325979999999998E-2</v>
      </c>
      <c r="I57" s="3">
        <v>8.1789020000000004E-2</v>
      </c>
      <c r="J57" s="3">
        <v>5.7034969999999997E-2</v>
      </c>
      <c r="K57" s="3">
        <v>4.0155410000000002E-2</v>
      </c>
      <c r="L57" s="3">
        <v>1.185417E-3</v>
      </c>
      <c r="M57" s="3">
        <v>7.4515340000000001E-3</v>
      </c>
      <c r="N57" s="3">
        <v>1.8610949999999999E-3</v>
      </c>
      <c r="O57" s="3">
        <v>-5.1512720000000001E-3</v>
      </c>
      <c r="P57" s="3">
        <v>2.6567460000000001E-2</v>
      </c>
      <c r="Q57" s="3">
        <v>-1.6566750000000002E-2</v>
      </c>
      <c r="R57" s="3">
        <v>-1.8315789999999998E-2</v>
      </c>
      <c r="S57" s="3">
        <v>3.1435970000000001E-2</v>
      </c>
      <c r="T57">
        <v>-2.0901200000000002E-2</v>
      </c>
      <c r="U57" s="3">
        <v>-1.9070150000000001E-2</v>
      </c>
      <c r="V57" s="3">
        <v>-1.7640590000000001E-2</v>
      </c>
    </row>
    <row r="58" spans="1:22" x14ac:dyDescent="0.25">
      <c r="A58">
        <v>2883.1149999999998</v>
      </c>
      <c r="B58">
        <v>9116</v>
      </c>
      <c r="C58">
        <v>6744</v>
      </c>
      <c r="D58">
        <v>1</v>
      </c>
      <c r="E58">
        <v>1</v>
      </c>
      <c r="F58" t="s">
        <v>13</v>
      </c>
      <c r="G58" s="3">
        <v>-1.800585E-2</v>
      </c>
      <c r="H58" s="3">
        <v>-1.739168E-2</v>
      </c>
      <c r="I58" s="3">
        <v>-2.139568E-2</v>
      </c>
      <c r="J58" s="3">
        <v>-2.905893E-2</v>
      </c>
      <c r="K58" s="3">
        <v>-3.9594650000000002E-2</v>
      </c>
      <c r="L58" s="3">
        <v>-5.403376E-2</v>
      </c>
      <c r="M58">
        <v>-9.8791599999999993E-2</v>
      </c>
      <c r="N58">
        <v>-0.1184487</v>
      </c>
      <c r="O58">
        <v>-0.13406940000000001</v>
      </c>
      <c r="P58">
        <v>-0.14871219999999999</v>
      </c>
      <c r="Q58">
        <v>-0.17361689999999999</v>
      </c>
      <c r="R58">
        <v>-0.20348550000000001</v>
      </c>
      <c r="S58">
        <v>-0.21563579999999999</v>
      </c>
      <c r="T58">
        <v>-0.25958490000000001</v>
      </c>
      <c r="U58">
        <v>-0.35529709999999998</v>
      </c>
      <c r="V58">
        <v>-0.4155722</v>
      </c>
    </row>
    <row r="59" spans="1:22" x14ac:dyDescent="0.25">
      <c r="A59" t="s">
        <v>189</v>
      </c>
    </row>
    <row r="60" spans="1:22" x14ac:dyDescent="0.25">
      <c r="A60">
        <v>2891.8139999999999</v>
      </c>
      <c r="B60">
        <v>9116</v>
      </c>
      <c r="C60">
        <v>6742</v>
      </c>
      <c r="D60">
        <v>1</v>
      </c>
      <c r="E60">
        <v>1</v>
      </c>
      <c r="F60" t="s">
        <v>13</v>
      </c>
      <c r="G60">
        <v>-0.27154450000000002</v>
      </c>
      <c r="H60" s="3">
        <v>8.3975320000000006E-2</v>
      </c>
      <c r="I60" s="3">
        <v>8.4416870000000005E-2</v>
      </c>
      <c r="J60" s="3">
        <v>6.3539509999999993E-2</v>
      </c>
      <c r="K60" s="3">
        <v>4.7359470000000001E-2</v>
      </c>
      <c r="L60" s="3">
        <v>1.7037389999999999E-3</v>
      </c>
      <c r="M60" s="3">
        <v>1.4185430000000001E-2</v>
      </c>
      <c r="N60" s="3">
        <v>7.6203349999999998E-3</v>
      </c>
      <c r="O60" s="3">
        <v>2.293587E-4</v>
      </c>
      <c r="P60" s="3">
        <v>2.6741029999999999E-2</v>
      </c>
      <c r="Q60" s="3">
        <v>-1.251793E-2</v>
      </c>
      <c r="R60" s="3">
        <v>-1.503229E-2</v>
      </c>
      <c r="S60" s="3">
        <v>3.1621459999999997E-2</v>
      </c>
      <c r="T60" s="3">
        <v>-1.951408E-2</v>
      </c>
      <c r="U60" s="3">
        <v>-1.834011E-2</v>
      </c>
      <c r="V60" s="3">
        <v>-1.8251420000000001E-2</v>
      </c>
    </row>
    <row r="61" spans="1:22" x14ac:dyDescent="0.25">
      <c r="A61">
        <v>2891.835</v>
      </c>
      <c r="B61">
        <v>9116</v>
      </c>
      <c r="C61">
        <v>6744</v>
      </c>
      <c r="D61">
        <v>1</v>
      </c>
      <c r="E61">
        <v>1</v>
      </c>
      <c r="F61" t="s">
        <v>13</v>
      </c>
      <c r="G61" s="3">
        <v>-2.036905E-2</v>
      </c>
      <c r="H61" s="3">
        <v>-2.0081040000000001E-2</v>
      </c>
      <c r="I61" s="3">
        <v>-2.2664070000000001E-2</v>
      </c>
      <c r="J61" s="3">
        <v>-2.9057980000000001E-2</v>
      </c>
      <c r="K61" s="3">
        <v>-3.8148880000000003E-2</v>
      </c>
      <c r="L61" s="3">
        <v>-5.2244659999999998E-2</v>
      </c>
      <c r="M61" s="3">
        <v>-9.9484920000000004E-2</v>
      </c>
      <c r="N61">
        <v>-0.1202674</v>
      </c>
      <c r="O61">
        <v>-0.13633439999999999</v>
      </c>
      <c r="P61">
        <v>-0.15256600000000001</v>
      </c>
      <c r="Q61">
        <v>-0.17902850000000001</v>
      </c>
      <c r="R61">
        <v>-0.2119627</v>
      </c>
      <c r="S61">
        <v>-0.22819610000000001</v>
      </c>
      <c r="T61">
        <v>-0.25651980000000002</v>
      </c>
      <c r="U61">
        <v>-0.39089010000000002</v>
      </c>
      <c r="V61">
        <v>-0.43340440000000002</v>
      </c>
    </row>
    <row r="62" spans="1:22" x14ac:dyDescent="0.25">
      <c r="A62" t="s">
        <v>190</v>
      </c>
    </row>
    <row r="63" spans="1:22" x14ac:dyDescent="0.25">
      <c r="A63">
        <v>2901.3739999999998</v>
      </c>
      <c r="B63">
        <v>9116</v>
      </c>
      <c r="C63">
        <v>6742</v>
      </c>
      <c r="D63">
        <v>1</v>
      </c>
      <c r="E63">
        <v>1</v>
      </c>
      <c r="F63" t="s">
        <v>13</v>
      </c>
      <c r="G63">
        <v>-0.33369349999999998</v>
      </c>
      <c r="H63" s="3">
        <v>7.8541280000000005E-2</v>
      </c>
      <c r="I63">
        <v>8.6520200000000005E-2</v>
      </c>
      <c r="J63" s="3">
        <v>6.884527E-2</v>
      </c>
      <c r="K63" s="3">
        <v>5.2843569999999999E-2</v>
      </c>
      <c r="L63" s="3">
        <v>2.0494459999999999E-3</v>
      </c>
      <c r="M63" s="3">
        <v>1.999331E-2</v>
      </c>
      <c r="N63" s="3">
        <v>1.285553E-2</v>
      </c>
      <c r="O63" s="3">
        <v>4.912853E-3</v>
      </c>
      <c r="P63">
        <v>2.6220799999999999E-2</v>
      </c>
      <c r="Q63" s="3">
        <v>-9.7413059999999999E-3</v>
      </c>
      <c r="R63" s="3">
        <v>-1.2784480000000001E-2</v>
      </c>
      <c r="S63" s="3">
        <v>3.1799319999999999E-2</v>
      </c>
      <c r="T63" s="3">
        <v>-1.830292E-2</v>
      </c>
      <c r="U63" s="3">
        <v>-1.834011E-2</v>
      </c>
      <c r="V63" s="3">
        <v>-1.915598E-2</v>
      </c>
    </row>
    <row r="64" spans="1:22" x14ac:dyDescent="0.25">
      <c r="A64">
        <v>2901.3989999999999</v>
      </c>
      <c r="B64">
        <v>9116</v>
      </c>
      <c r="C64">
        <v>6744</v>
      </c>
      <c r="D64">
        <v>1</v>
      </c>
      <c r="E64">
        <v>1</v>
      </c>
      <c r="F64" t="s">
        <v>13</v>
      </c>
      <c r="G64" s="3">
        <v>-2.273083E-2</v>
      </c>
      <c r="H64" s="3">
        <v>-2.420568E-2</v>
      </c>
      <c r="I64" s="3">
        <v>-2.5019650000000001E-2</v>
      </c>
      <c r="J64" s="3">
        <v>-2.9923439999999999E-2</v>
      </c>
      <c r="K64" s="3">
        <v>-3.7787439999999999E-2</v>
      </c>
      <c r="L64" s="3">
        <v>-5.0814150000000002E-2</v>
      </c>
      <c r="M64">
        <v>-0.1005259</v>
      </c>
      <c r="N64">
        <v>-0.12226770000000001</v>
      </c>
      <c r="O64">
        <v>-0.13974049999999999</v>
      </c>
      <c r="P64">
        <v>-0.15752740000000001</v>
      </c>
      <c r="Q64">
        <v>-0.18606329999999999</v>
      </c>
      <c r="R64">
        <v>-0.2220616</v>
      </c>
      <c r="S64">
        <v>-0.24166299999999999</v>
      </c>
      <c r="T64">
        <v>-0.27013160000000003</v>
      </c>
      <c r="U64">
        <v>-0.43010949999999998</v>
      </c>
      <c r="V64">
        <v>-0.45016529999999999</v>
      </c>
    </row>
    <row r="65" spans="1:22" x14ac:dyDescent="0.25">
      <c r="A65" t="s">
        <v>191</v>
      </c>
    </row>
    <row r="66" spans="1:22" x14ac:dyDescent="0.25">
      <c r="A66">
        <v>2910.864</v>
      </c>
      <c r="B66">
        <v>9116</v>
      </c>
      <c r="C66">
        <v>6742</v>
      </c>
      <c r="D66">
        <v>1</v>
      </c>
      <c r="E66">
        <v>1</v>
      </c>
      <c r="F66" t="s">
        <v>13</v>
      </c>
      <c r="G66">
        <v>-0.3956575</v>
      </c>
      <c r="H66" s="3">
        <v>7.1262359999999997E-2</v>
      </c>
      <c r="I66" s="3">
        <v>8.7219720000000001E-2</v>
      </c>
      <c r="J66" s="3">
        <v>7.3844430000000003E-2</v>
      </c>
      <c r="K66" s="3">
        <v>5.8328150000000002E-2</v>
      </c>
      <c r="L66" s="3">
        <v>2.7508739999999999E-3</v>
      </c>
      <c r="M66" s="3">
        <v>2.5091169999999999E-2</v>
      </c>
      <c r="N66">
        <v>1.73893E-2</v>
      </c>
      <c r="O66" s="3">
        <v>8.9836120000000002E-3</v>
      </c>
      <c r="P66" s="3">
        <v>2.571917E-2</v>
      </c>
      <c r="Q66" s="3">
        <v>-6.7358019999999999E-3</v>
      </c>
      <c r="R66" s="3">
        <v>-1.1230469999999999E-2</v>
      </c>
      <c r="S66" s="3">
        <v>3.214931E-2</v>
      </c>
      <c r="T66" s="3">
        <v>-1.8127919999999999E-2</v>
      </c>
      <c r="U66" s="3">
        <v>-1.9070630000000002E-2</v>
      </c>
      <c r="V66" s="3">
        <v>-2.175713E-2</v>
      </c>
    </row>
    <row r="67" spans="1:22" x14ac:dyDescent="0.25">
      <c r="A67">
        <v>2910.8850000000002</v>
      </c>
      <c r="B67">
        <v>9116</v>
      </c>
      <c r="C67">
        <v>6744</v>
      </c>
      <c r="D67">
        <v>1</v>
      </c>
      <c r="E67">
        <v>1</v>
      </c>
      <c r="F67" t="s">
        <v>13</v>
      </c>
      <c r="G67" s="3">
        <v>-2.6549819999999998E-2</v>
      </c>
      <c r="H67" s="3">
        <v>-2.935457E-2</v>
      </c>
      <c r="I67" s="3">
        <v>-2.9194830000000001E-2</v>
      </c>
      <c r="J67" s="3">
        <v>-3.3211230000000001E-2</v>
      </c>
      <c r="K67" s="3">
        <v>-3.8331509999999999E-2</v>
      </c>
      <c r="L67" s="3">
        <v>-4.9025060000000002E-2</v>
      </c>
      <c r="M67" s="3">
        <v>-9.9831580000000003E-2</v>
      </c>
      <c r="N67">
        <v>-0.1235414</v>
      </c>
      <c r="O67">
        <v>-0.14218710000000001</v>
      </c>
      <c r="P67">
        <v>-0.161027</v>
      </c>
      <c r="Q67">
        <v>-0.19167229999999999</v>
      </c>
      <c r="R67">
        <v>-0.2312737</v>
      </c>
      <c r="S67">
        <v>-0.2533994</v>
      </c>
      <c r="T67">
        <v>-0.2844701</v>
      </c>
      <c r="U67">
        <v>-0.4704332</v>
      </c>
      <c r="V67">
        <v>-0.48386570000000001</v>
      </c>
    </row>
    <row r="68" spans="1:22" x14ac:dyDescent="0.25">
      <c r="A68" t="s">
        <v>192</v>
      </c>
    </row>
    <row r="69" spans="1:22" x14ac:dyDescent="0.25">
      <c r="A69">
        <v>2920.346</v>
      </c>
      <c r="B69">
        <v>9116</v>
      </c>
      <c r="C69">
        <v>6742</v>
      </c>
      <c r="D69">
        <v>1</v>
      </c>
      <c r="E69">
        <v>1</v>
      </c>
      <c r="F69" t="s">
        <v>13</v>
      </c>
      <c r="G69">
        <v>-0.44085259999999998</v>
      </c>
      <c r="H69" s="3">
        <v>6.3657279999999997E-2</v>
      </c>
      <c r="I69">
        <v>8.6555000000000007E-2</v>
      </c>
      <c r="J69" s="3">
        <v>7.6051240000000006E-2</v>
      </c>
      <c r="K69" s="3">
        <v>6.227589E-2</v>
      </c>
      <c r="L69" s="3">
        <v>2.765656E-3</v>
      </c>
      <c r="M69">
        <v>2.91872E-2</v>
      </c>
      <c r="N69" s="3">
        <v>2.1228790000000001E-2</v>
      </c>
      <c r="O69" s="3">
        <v>1.210308E-2</v>
      </c>
      <c r="P69" s="3">
        <v>2.5565149999999998E-2</v>
      </c>
      <c r="Q69" s="3">
        <v>-4.4794079999999998E-3</v>
      </c>
      <c r="R69" s="3">
        <v>-9.6173290000000008E-3</v>
      </c>
      <c r="S69">
        <v>3.23267E-2</v>
      </c>
      <c r="T69" s="3">
        <v>-1.830101E-2</v>
      </c>
      <c r="U69" s="3">
        <v>-2.0145420000000001E-2</v>
      </c>
      <c r="V69" s="3">
        <v>-2.4469850000000001E-2</v>
      </c>
    </row>
    <row r="70" spans="1:22" x14ac:dyDescent="0.25">
      <c r="A70">
        <v>2920.364</v>
      </c>
      <c r="B70">
        <v>9116</v>
      </c>
      <c r="C70">
        <v>6744</v>
      </c>
      <c r="D70">
        <v>1</v>
      </c>
      <c r="E70">
        <v>1</v>
      </c>
      <c r="F70" t="s">
        <v>13</v>
      </c>
      <c r="G70" s="3">
        <v>-3.1824110000000003E-2</v>
      </c>
      <c r="H70" s="3">
        <v>-3.7191870000000002E-2</v>
      </c>
      <c r="I70" s="3">
        <v>-3.6805150000000002E-2</v>
      </c>
      <c r="J70" s="3">
        <v>-3.8921829999999998E-2</v>
      </c>
      <c r="K70" s="3">
        <v>-4.0503980000000002E-2</v>
      </c>
      <c r="L70" s="3">
        <v>-4.7241209999999999E-2</v>
      </c>
      <c r="M70" s="3">
        <v>-9.3933580000000003E-2</v>
      </c>
      <c r="N70">
        <v>-0.11972240000000001</v>
      </c>
      <c r="O70">
        <v>-0.13877729999999999</v>
      </c>
      <c r="P70">
        <v>-0.15900520000000001</v>
      </c>
      <c r="Q70">
        <v>-0.19040969999999999</v>
      </c>
      <c r="R70">
        <v>-0.23217679999999999</v>
      </c>
      <c r="S70">
        <v>-0.2563472</v>
      </c>
      <c r="T70">
        <v>-0.29499769999999997</v>
      </c>
      <c r="U70">
        <v>-0.49632019999999999</v>
      </c>
      <c r="V70">
        <v>-0.50455570000000005</v>
      </c>
    </row>
    <row r="71" spans="1:22" x14ac:dyDescent="0.25">
      <c r="A71" t="s">
        <v>193</v>
      </c>
    </row>
    <row r="72" spans="1:22" x14ac:dyDescent="0.25">
      <c r="A72">
        <v>2929.279</v>
      </c>
      <c r="B72">
        <v>9116</v>
      </c>
      <c r="C72">
        <v>6742</v>
      </c>
      <c r="D72">
        <v>1</v>
      </c>
      <c r="E72">
        <v>1</v>
      </c>
      <c r="F72" t="s">
        <v>13</v>
      </c>
      <c r="G72" s="3">
        <v>-8.6817740000000004E-2</v>
      </c>
      <c r="H72" s="3">
        <v>8.7321759999999998E-2</v>
      </c>
      <c r="I72" s="3">
        <v>7.7440259999999997E-2</v>
      </c>
      <c r="J72" s="3">
        <v>5.4656980000000001E-2</v>
      </c>
      <c r="K72" s="3">
        <v>3.999424E-2</v>
      </c>
      <c r="L72" s="3">
        <v>1.037598E-3</v>
      </c>
      <c r="M72" s="3">
        <v>8.2430839999999995E-3</v>
      </c>
      <c r="N72" s="3">
        <v>2.7298930000000002E-3</v>
      </c>
      <c r="O72" s="3">
        <v>-4.8975939999999999E-3</v>
      </c>
      <c r="P72" s="3">
        <v>2.4525169999999999E-2</v>
      </c>
      <c r="Q72" s="3">
        <v>-2.0620820000000002E-2</v>
      </c>
      <c r="R72" s="3">
        <v>-2.5527480000000002E-2</v>
      </c>
      <c r="S72" s="3">
        <v>3.2858369999999998E-2</v>
      </c>
      <c r="T72" s="3">
        <v>-3.6469939999999999E-2</v>
      </c>
      <c r="U72" s="3">
        <v>-4.021454E-2</v>
      </c>
      <c r="V72" s="3">
        <v>-4.9804689999999999E-2</v>
      </c>
    </row>
    <row r="73" spans="1:22" x14ac:dyDescent="0.25">
      <c r="A73">
        <v>2929.2979999999998</v>
      </c>
      <c r="B73">
        <v>9116</v>
      </c>
      <c r="C73">
        <v>6744</v>
      </c>
      <c r="D73">
        <v>1</v>
      </c>
      <c r="E73">
        <v>1</v>
      </c>
      <c r="F73" t="s">
        <v>13</v>
      </c>
      <c r="G73" s="3">
        <v>-6.3443659999999999E-2</v>
      </c>
      <c r="H73" s="3">
        <v>-7.5390819999999997E-2</v>
      </c>
      <c r="I73" s="3">
        <v>-8.4639069999999997E-2</v>
      </c>
      <c r="J73" s="3">
        <v>-9.1883660000000006E-2</v>
      </c>
      <c r="K73" s="3">
        <v>-9.5991129999999994E-2</v>
      </c>
      <c r="L73">
        <v>-0.1034045</v>
      </c>
      <c r="M73">
        <v>-0.1112814</v>
      </c>
      <c r="N73">
        <v>-0.1095376</v>
      </c>
      <c r="O73">
        <v>-0.1095505</v>
      </c>
      <c r="P73">
        <v>-0.10772660000000001</v>
      </c>
      <c r="Q73">
        <v>-0.10959049999999999</v>
      </c>
      <c r="R73">
        <v>-0.1140428</v>
      </c>
      <c r="S73">
        <v>-0.1109943</v>
      </c>
      <c r="T73">
        <v>-0.1102214</v>
      </c>
      <c r="U73">
        <v>-0.1067896</v>
      </c>
      <c r="V73">
        <v>-0.1010804</v>
      </c>
    </row>
    <row r="74" spans="1:22" x14ac:dyDescent="0.25">
      <c r="A74" t="s">
        <v>194</v>
      </c>
    </row>
    <row r="75" spans="1:22" x14ac:dyDescent="0.25">
      <c r="A75">
        <v>2938.77</v>
      </c>
      <c r="B75">
        <v>9116</v>
      </c>
      <c r="C75">
        <v>6742</v>
      </c>
      <c r="D75">
        <v>1</v>
      </c>
      <c r="E75">
        <v>1</v>
      </c>
      <c r="F75" t="s">
        <v>13</v>
      </c>
      <c r="G75" s="3">
        <v>-7.2156429999999994E-2</v>
      </c>
      <c r="H75" s="3">
        <v>8.9056969999999999E-2</v>
      </c>
      <c r="I75" s="3">
        <v>7.7795030000000001E-2</v>
      </c>
      <c r="J75" s="3">
        <v>5.5876729999999999E-2</v>
      </c>
      <c r="K75" s="3">
        <v>4.136658E-2</v>
      </c>
      <c r="L75" s="3">
        <v>1.9016269999999999E-3</v>
      </c>
      <c r="M75" s="3">
        <v>1.001024E-2</v>
      </c>
      <c r="N75" s="3">
        <v>3.247738E-3</v>
      </c>
      <c r="O75" s="3">
        <v>-4.8866270000000002E-3</v>
      </c>
      <c r="P75">
        <v>2.4178499999999999E-2</v>
      </c>
      <c r="Q75" s="3">
        <v>-2.0903109999999999E-2</v>
      </c>
      <c r="R75" s="3">
        <v>-2.6731009999999999E-2</v>
      </c>
      <c r="S75" s="3">
        <v>3.2509330000000003E-2</v>
      </c>
      <c r="T75" s="3">
        <v>-3.9411069999999999E-2</v>
      </c>
      <c r="U75" s="3">
        <v>-4.4041629999999998E-2</v>
      </c>
      <c r="V75" s="3">
        <v>-5.448008E-2</v>
      </c>
    </row>
    <row r="76" spans="1:22" x14ac:dyDescent="0.25">
      <c r="A76">
        <v>2938.788</v>
      </c>
      <c r="B76">
        <v>9116</v>
      </c>
      <c r="C76">
        <v>6744</v>
      </c>
      <c r="D76">
        <v>1</v>
      </c>
      <c r="E76">
        <v>1</v>
      </c>
      <c r="F76" t="s">
        <v>13</v>
      </c>
      <c r="G76" s="3">
        <v>-6.7805770000000001E-2</v>
      </c>
      <c r="H76" s="3">
        <v>-8.4745879999999996E-2</v>
      </c>
      <c r="I76" s="3">
        <v>-9.1701980000000002E-2</v>
      </c>
      <c r="J76" s="3">
        <v>-9.949827E-2</v>
      </c>
      <c r="K76">
        <v>-0.1012301</v>
      </c>
      <c r="L76">
        <v>-0.1051955</v>
      </c>
      <c r="M76">
        <v>-0.1001687</v>
      </c>
      <c r="N76" s="3">
        <v>-9.6090320000000007E-2</v>
      </c>
      <c r="O76" s="3">
        <v>-9.5874310000000004E-2</v>
      </c>
      <c r="P76" s="3">
        <v>-9.3944070000000005E-2</v>
      </c>
      <c r="Q76" s="3">
        <v>-9.3537330000000002E-2</v>
      </c>
      <c r="R76" s="3">
        <v>-9.5471379999999995E-2</v>
      </c>
      <c r="S76" s="3">
        <v>-9.1901780000000002E-2</v>
      </c>
      <c r="T76" s="3">
        <v>-9.3339439999999996E-2</v>
      </c>
      <c r="U76">
        <v>-9.2010499999999995E-2</v>
      </c>
      <c r="V76" s="3">
        <v>-9.0196609999999997E-2</v>
      </c>
    </row>
    <row r="77" spans="1:22" x14ac:dyDescent="0.25">
      <c r="A77" t="s">
        <v>195</v>
      </c>
    </row>
    <row r="78" spans="1:22" x14ac:dyDescent="0.25">
      <c r="A78">
        <v>2948.1060000000002</v>
      </c>
      <c r="B78">
        <v>9116</v>
      </c>
      <c r="C78">
        <v>6742</v>
      </c>
      <c r="D78">
        <v>1</v>
      </c>
      <c r="E78">
        <v>1</v>
      </c>
      <c r="F78" t="s">
        <v>13</v>
      </c>
      <c r="G78" s="3">
        <v>-6.9676879999999997E-2</v>
      </c>
      <c r="H78" s="3">
        <v>8.9862819999999996E-2</v>
      </c>
      <c r="I78" s="3">
        <v>8.0108170000000006E-2</v>
      </c>
      <c r="J78" s="3">
        <v>5.8460709999999999E-2</v>
      </c>
      <c r="K78" s="3">
        <v>4.2737480000000001E-2</v>
      </c>
      <c r="L78" s="3">
        <v>1.9025800000000001E-3</v>
      </c>
      <c r="M78" s="3">
        <v>1.1690620000000001E-2</v>
      </c>
      <c r="N78" s="3">
        <v>5.168438E-3</v>
      </c>
      <c r="O78" s="3">
        <v>-3.237724E-3</v>
      </c>
      <c r="P78" s="3">
        <v>2.3658749999999999E-2</v>
      </c>
      <c r="Q78" s="3">
        <v>-2.049685E-2</v>
      </c>
      <c r="R78" s="3">
        <v>-2.6846890000000002E-2</v>
      </c>
      <c r="S78" s="3">
        <v>3.2509330000000003E-2</v>
      </c>
      <c r="T78" s="3">
        <v>-4.1140080000000002E-2</v>
      </c>
      <c r="U78" s="3">
        <v>-4.6394820000000003E-2</v>
      </c>
      <c r="V78" s="3">
        <v>-5.7263849999999998E-2</v>
      </c>
    </row>
    <row r="79" spans="1:22" x14ac:dyDescent="0.25">
      <c r="A79">
        <v>2948.1260000000002</v>
      </c>
      <c r="B79">
        <v>9116</v>
      </c>
      <c r="C79">
        <v>6744</v>
      </c>
      <c r="D79">
        <v>1</v>
      </c>
      <c r="E79">
        <v>1</v>
      </c>
      <c r="F79" t="s">
        <v>13</v>
      </c>
      <c r="G79" s="3">
        <v>-7.1440219999999999E-2</v>
      </c>
      <c r="H79" s="3">
        <v>-8.9586730000000003E-2</v>
      </c>
      <c r="I79" s="3">
        <v>-9.4969269999999995E-2</v>
      </c>
      <c r="J79" s="3">
        <v>-9.9844929999999998E-2</v>
      </c>
      <c r="K79" s="3">
        <v>-9.9970340000000005E-2</v>
      </c>
      <c r="L79">
        <v>-0.1023331</v>
      </c>
      <c r="M79" s="3">
        <v>-9.7566130000000001E-2</v>
      </c>
      <c r="N79" s="3">
        <v>-9.3181130000000001E-2</v>
      </c>
      <c r="O79" s="3">
        <v>-9.2287060000000004E-2</v>
      </c>
      <c r="P79">
        <v>-9.0635300000000002E-2</v>
      </c>
      <c r="Q79" s="3">
        <v>-9.1203690000000004E-2</v>
      </c>
      <c r="R79" s="3">
        <v>-9.1495989999999999E-2</v>
      </c>
      <c r="S79">
        <v>-8.9622499999999994E-2</v>
      </c>
      <c r="T79">
        <v>-8.9896199999999996E-2</v>
      </c>
      <c r="U79" s="3">
        <v>-8.8543419999999998E-2</v>
      </c>
      <c r="V79" s="3">
        <v>-8.7518689999999996E-2</v>
      </c>
    </row>
    <row r="84" spans="7:39" x14ac:dyDescent="0.25">
      <c r="G84" s="5"/>
      <c r="H84" s="5" t="s">
        <v>44</v>
      </c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</row>
    <row r="85" spans="7:39" x14ac:dyDescent="0.25">
      <c r="G85" s="5" t="s">
        <v>45</v>
      </c>
      <c r="H85" s="5" t="s">
        <v>14</v>
      </c>
      <c r="I85" s="5" t="s">
        <v>15</v>
      </c>
      <c r="J85" s="5" t="s">
        <v>16</v>
      </c>
      <c r="K85" s="5" t="s">
        <v>17</v>
      </c>
      <c r="L85" s="5" t="s">
        <v>18</v>
      </c>
      <c r="M85" s="5" t="s">
        <v>19</v>
      </c>
      <c r="N85" s="5" t="s">
        <v>20</v>
      </c>
      <c r="O85" s="5" t="s">
        <v>21</v>
      </c>
      <c r="P85" s="5" t="s">
        <v>22</v>
      </c>
      <c r="Q85" s="5" t="s">
        <v>23</v>
      </c>
      <c r="R85" s="5" t="s">
        <v>24</v>
      </c>
      <c r="S85" s="5" t="s">
        <v>25</v>
      </c>
      <c r="T85" s="5" t="s">
        <v>26</v>
      </c>
      <c r="U85" s="5" t="s">
        <v>27</v>
      </c>
      <c r="V85" s="5" t="s">
        <v>28</v>
      </c>
      <c r="W85" s="5" t="s">
        <v>29</v>
      </c>
      <c r="X85" s="5" t="s">
        <v>46</v>
      </c>
      <c r="Y85" s="5" t="s">
        <v>47</v>
      </c>
      <c r="Z85" s="5" t="s">
        <v>48</v>
      </c>
      <c r="AA85" s="5" t="s">
        <v>49</v>
      </c>
      <c r="AB85" s="5" t="s">
        <v>50</v>
      </c>
      <c r="AC85" s="5" t="s">
        <v>51</v>
      </c>
      <c r="AD85" s="5" t="s">
        <v>52</v>
      </c>
      <c r="AE85" s="5" t="s">
        <v>53</v>
      </c>
      <c r="AF85" s="5" t="s">
        <v>54</v>
      </c>
      <c r="AG85" s="5" t="s">
        <v>55</v>
      </c>
      <c r="AH85" s="5" t="s">
        <v>56</v>
      </c>
      <c r="AI85" s="5" t="s">
        <v>57</v>
      </c>
      <c r="AJ85" s="5" t="s">
        <v>58</v>
      </c>
      <c r="AK85" s="5" t="s">
        <v>59</v>
      </c>
      <c r="AL85" s="5" t="s">
        <v>60</v>
      </c>
      <c r="AM85" s="5" t="s">
        <v>61</v>
      </c>
    </row>
    <row r="86" spans="7:39" x14ac:dyDescent="0.25">
      <c r="G86" s="5" t="s">
        <v>62</v>
      </c>
      <c r="H86" s="6">
        <f>G9</f>
        <v>-6.1464310000000004E-4</v>
      </c>
      <c r="I86" s="6">
        <f t="shared" ref="I86:W86" si="0">H9</f>
        <v>-6.4849850000000002E-4</v>
      </c>
      <c r="J86" s="6">
        <f t="shared" si="0"/>
        <v>-4.6157840000000001E-4</v>
      </c>
      <c r="K86" s="6">
        <f t="shared" si="0"/>
        <v>3.9632319999999999E-2</v>
      </c>
      <c r="L86" s="6">
        <f t="shared" si="0"/>
        <v>-2.5653839999999998E-4</v>
      </c>
      <c r="M86" s="6">
        <f t="shared" si="0"/>
        <v>-6.1178209999999998E-4</v>
      </c>
      <c r="N86" s="6">
        <f t="shared" si="0"/>
        <v>-1.2450219999999999E-3</v>
      </c>
      <c r="O86" s="6">
        <f t="shared" si="0"/>
        <v>-1.192093E-4</v>
      </c>
      <c r="P86" s="6">
        <f t="shared" si="0"/>
        <v>4.3630600000000002E-4</v>
      </c>
      <c r="Q86" s="6">
        <f t="shared" si="0"/>
        <v>4.3742179999999999E-2</v>
      </c>
      <c r="R86" s="6">
        <f t="shared" si="0"/>
        <v>7.2145460000000005E-4</v>
      </c>
      <c r="S86" s="6">
        <f t="shared" si="0"/>
        <v>9.8705290000000004E-5</v>
      </c>
      <c r="T86" s="6">
        <f t="shared" si="0"/>
        <v>1.8774030000000001E-2</v>
      </c>
      <c r="U86" s="6">
        <f t="shared" si="0"/>
        <v>-3.0565259999999999E-4</v>
      </c>
      <c r="V86" s="6">
        <f t="shared" si="0"/>
        <v>2.3031230000000001E-4</v>
      </c>
      <c r="W86" s="6">
        <f t="shared" si="0"/>
        <v>-1.416206E-4</v>
      </c>
      <c r="X86" s="6">
        <f>G10</f>
        <v>-6.5183639999999996E-4</v>
      </c>
      <c r="Y86" s="6">
        <f t="shared" ref="Y86:AM86" si="1">H10</f>
        <v>-1.280308E-3</v>
      </c>
      <c r="Z86" s="6">
        <f t="shared" si="1"/>
        <v>-8.8691710000000004E-5</v>
      </c>
      <c r="AA86" s="6">
        <f t="shared" si="1"/>
        <v>3.4039020000000003E-2</v>
      </c>
      <c r="AB86" s="6">
        <f t="shared" si="1"/>
        <v>-3.2901760000000001E-5</v>
      </c>
      <c r="AC86" s="6">
        <f t="shared" si="1"/>
        <v>-5.0067899999999997E-4</v>
      </c>
      <c r="AD86" s="6">
        <f t="shared" si="1"/>
        <v>-1.240253E-3</v>
      </c>
      <c r="AE86" s="6">
        <f t="shared" si="1"/>
        <v>9.9182129999999996E-5</v>
      </c>
      <c r="AF86" s="6">
        <f t="shared" si="1"/>
        <v>-9.5558169999999997E-4</v>
      </c>
      <c r="AG86" s="6">
        <f t="shared" si="1"/>
        <v>3.7574769999999997E-4</v>
      </c>
      <c r="AH86" s="6">
        <f t="shared" si="1"/>
        <v>2.7942659999999998E-4</v>
      </c>
      <c r="AI86" s="6">
        <f t="shared" si="1"/>
        <v>-3.8957599999999998E-4</v>
      </c>
      <c r="AJ86" s="6">
        <f t="shared" si="1"/>
        <v>-1.029968E-3</v>
      </c>
      <c r="AK86" s="6">
        <f t="shared" si="1"/>
        <v>3.9672850000000001E-4</v>
      </c>
      <c r="AL86" s="6">
        <f t="shared" si="1"/>
        <v>1.037121E-3</v>
      </c>
      <c r="AM86" s="6">
        <f t="shared" si="1"/>
        <v>2.0885470000000001E-4</v>
      </c>
    </row>
    <row r="87" spans="7:39" x14ac:dyDescent="0.25">
      <c r="G87" s="5">
        <v>-4</v>
      </c>
      <c r="H87" s="6">
        <f>G12</f>
        <v>-3.7915230000000001E-2</v>
      </c>
      <c r="I87" s="6">
        <f t="shared" ref="I87:W87" si="2">H12</f>
        <v>-0.28345490000000001</v>
      </c>
      <c r="J87" s="6">
        <f t="shared" si="2"/>
        <v>-0.24544759999999999</v>
      </c>
      <c r="K87" s="6">
        <f t="shared" si="2"/>
        <v>-0.20324800000000001</v>
      </c>
      <c r="L87" s="6">
        <f t="shared" si="2"/>
        <v>-0.17555570000000001</v>
      </c>
      <c r="M87" s="6">
        <f t="shared" si="2"/>
        <v>-1.199389E-2</v>
      </c>
      <c r="N87" s="6">
        <f t="shared" si="2"/>
        <v>-0.14456269999999999</v>
      </c>
      <c r="O87" s="6">
        <f t="shared" si="2"/>
        <v>-0.129662</v>
      </c>
      <c r="P87" s="6">
        <f t="shared" si="2"/>
        <v>-0.1089625</v>
      </c>
      <c r="Q87" s="6">
        <f t="shared" si="2"/>
        <v>3.1343940000000001E-2</v>
      </c>
      <c r="R87" s="6">
        <f t="shared" si="2"/>
        <v>-8.8659290000000002E-2</v>
      </c>
      <c r="S87" s="6">
        <f t="shared" si="2"/>
        <v>-7.3500629999999997E-2</v>
      </c>
      <c r="T87" s="6">
        <f t="shared" si="2"/>
        <v>2.9291149999999998E-2</v>
      </c>
      <c r="U87" s="6">
        <f t="shared" si="2"/>
        <v>-5.3087229999999999E-2</v>
      </c>
      <c r="V87" s="6">
        <f t="shared" si="2"/>
        <v>-4.0305609999999999E-2</v>
      </c>
      <c r="W87" s="6">
        <f t="shared" si="2"/>
        <v>-2.900076E-2</v>
      </c>
      <c r="X87" s="6">
        <f>G13</f>
        <v>-2.43454E-2</v>
      </c>
      <c r="Y87" s="6">
        <f t="shared" ref="Y87:AM87" si="3">H13</f>
        <v>-1.808214E-2</v>
      </c>
      <c r="Z87" s="6">
        <f t="shared" si="3"/>
        <v>-1.7395500000000001E-2</v>
      </c>
      <c r="AA87" s="6">
        <f t="shared" si="3"/>
        <v>-2.145147E-2</v>
      </c>
      <c r="AB87" s="6">
        <f t="shared" si="3"/>
        <v>-2.3314000000000001E-2</v>
      </c>
      <c r="AC87" s="6">
        <f t="shared" si="3"/>
        <v>-2.825832E-2</v>
      </c>
      <c r="AD87" s="6">
        <f t="shared" si="3"/>
        <v>-3.1888479999999997E-2</v>
      </c>
      <c r="AE87" s="6">
        <f t="shared" si="3"/>
        <v>-2.8741840000000001E-2</v>
      </c>
      <c r="AF87" s="6">
        <f t="shared" si="3"/>
        <v>-2.7931689999999999E-2</v>
      </c>
      <c r="AG87" s="6">
        <f t="shared" si="3"/>
        <v>-2.2428989999999999E-2</v>
      </c>
      <c r="AH87" s="6">
        <f t="shared" si="3"/>
        <v>-1.752424E-2</v>
      </c>
      <c r="AI87" s="6">
        <f t="shared" si="3"/>
        <v>-4.8727989999999997E-3</v>
      </c>
      <c r="AJ87" s="6">
        <f t="shared" si="3"/>
        <v>5.5232049999999998E-3</v>
      </c>
      <c r="AK87" s="6">
        <f t="shared" si="3"/>
        <v>2.1964549999999999E-2</v>
      </c>
      <c r="AL87" s="6">
        <f t="shared" si="3"/>
        <v>4.672337E-2</v>
      </c>
      <c r="AM87" s="6">
        <f t="shared" si="3"/>
        <v>7.1452139999999997E-2</v>
      </c>
    </row>
    <row r="88" spans="7:39" x14ac:dyDescent="0.25">
      <c r="G88" s="5">
        <v>-3</v>
      </c>
      <c r="H88" s="6">
        <f>G15</f>
        <v>5.1803589999999998E-3</v>
      </c>
      <c r="I88" s="6">
        <f t="shared" ref="I88:W88" si="4">H15</f>
        <v>-0.233016</v>
      </c>
      <c r="J88" s="6">
        <f t="shared" si="4"/>
        <v>-0.21304699999999999</v>
      </c>
      <c r="K88" s="6">
        <f t="shared" si="4"/>
        <v>-0.17878959999999999</v>
      </c>
      <c r="L88" s="6">
        <f t="shared" si="4"/>
        <v>-0.1567144</v>
      </c>
      <c r="M88" s="6">
        <f t="shared" si="4"/>
        <v>-1.061249E-2</v>
      </c>
      <c r="N88" s="6">
        <f t="shared" si="4"/>
        <v>-0.1333046</v>
      </c>
      <c r="O88" s="6">
        <f t="shared" si="4"/>
        <v>-0.11780019999999999</v>
      </c>
      <c r="P88" s="6">
        <f t="shared" si="4"/>
        <v>-0.1075749</v>
      </c>
      <c r="Q88" s="6">
        <f t="shared" si="4"/>
        <v>3.082418E-2</v>
      </c>
      <c r="R88" s="6">
        <f t="shared" si="4"/>
        <v>-8.3106990000000006E-2</v>
      </c>
      <c r="S88" s="6">
        <f t="shared" si="4"/>
        <v>-7.1253300000000006E-2</v>
      </c>
      <c r="T88" s="6">
        <f t="shared" si="4"/>
        <v>2.9113770000000001E-2</v>
      </c>
      <c r="U88" s="6">
        <f t="shared" si="4"/>
        <v>-5.1357269999999997E-2</v>
      </c>
      <c r="V88" s="6">
        <f t="shared" si="4"/>
        <v>-3.9393900000000003E-2</v>
      </c>
      <c r="W88" s="6">
        <f t="shared" si="4"/>
        <v>-2.8639319999999999E-2</v>
      </c>
      <c r="X88" s="6">
        <f>G16</f>
        <v>-2.4163250000000001E-2</v>
      </c>
      <c r="Y88" s="6">
        <f t="shared" ref="Y88:AM88" si="5">H16</f>
        <v>-2.0951270000000001E-2</v>
      </c>
      <c r="Z88" s="6">
        <f t="shared" si="5"/>
        <v>-1.9931790000000001E-2</v>
      </c>
      <c r="AA88" s="6">
        <f t="shared" si="5"/>
        <v>-2.3355009999999999E-2</v>
      </c>
      <c r="AB88" s="6">
        <f t="shared" si="5"/>
        <v>-2.6205059999999999E-2</v>
      </c>
      <c r="AC88" s="6">
        <f t="shared" si="5"/>
        <v>-3.1656740000000003E-2</v>
      </c>
      <c r="AD88" s="6">
        <f t="shared" si="5"/>
        <v>-3.7266250000000001E-2</v>
      </c>
      <c r="AE88" s="6">
        <f t="shared" si="5"/>
        <v>-3.528833E-2</v>
      </c>
      <c r="AF88" s="6">
        <f t="shared" si="5"/>
        <v>-3.5283090000000003E-2</v>
      </c>
      <c r="AG88" s="6">
        <f t="shared" si="5"/>
        <v>-3.106737E-2</v>
      </c>
      <c r="AH88" s="6">
        <f t="shared" si="5"/>
        <v>-2.780724E-2</v>
      </c>
      <c r="AI88" s="6">
        <f t="shared" si="5"/>
        <v>-1.7318730000000001E-2</v>
      </c>
      <c r="AJ88" s="6">
        <f t="shared" si="5"/>
        <v>-7.5974459999999999E-3</v>
      </c>
      <c r="AK88" s="6">
        <f t="shared" si="5"/>
        <v>7.622719E-3</v>
      </c>
      <c r="AL88" s="6">
        <f t="shared" si="5"/>
        <v>3.175592E-2</v>
      </c>
      <c r="AM88" s="6">
        <f t="shared" si="5"/>
        <v>5.7351590000000001E-2</v>
      </c>
    </row>
    <row r="89" spans="7:39" x14ac:dyDescent="0.25">
      <c r="G89" s="5">
        <v>-2</v>
      </c>
      <c r="H89" s="6">
        <f>G18</f>
        <v>4.140663E-2</v>
      </c>
      <c r="I89" s="6">
        <f t="shared" ref="I89:W89" si="6">H18</f>
        <v>-0.18865589999999999</v>
      </c>
      <c r="J89" s="6">
        <f t="shared" si="6"/>
        <v>-0.1808295</v>
      </c>
      <c r="K89" s="6">
        <f t="shared" si="6"/>
        <v>-0.1567278</v>
      </c>
      <c r="L89" s="6">
        <f t="shared" si="6"/>
        <v>-0.13975670000000001</v>
      </c>
      <c r="M89" s="6">
        <f t="shared" si="6"/>
        <v>-9.5782279999999994E-3</v>
      </c>
      <c r="N89" s="6">
        <f t="shared" si="6"/>
        <v>-0.1228862</v>
      </c>
      <c r="O89" s="6">
        <f t="shared" si="6"/>
        <v>-0.1082048</v>
      </c>
      <c r="P89" s="6">
        <f t="shared" si="6"/>
        <v>-9.8821160000000005E-2</v>
      </c>
      <c r="Q89" s="6">
        <f t="shared" si="6"/>
        <v>3.1015870000000001E-2</v>
      </c>
      <c r="R89" s="6">
        <f t="shared" si="6"/>
        <v>-8.0798149999999999E-2</v>
      </c>
      <c r="S89" s="6">
        <f t="shared" si="6"/>
        <v>-6.4858440000000003E-2</v>
      </c>
      <c r="T89" s="6">
        <f t="shared" si="6"/>
        <v>2.9118060000000001E-2</v>
      </c>
      <c r="U89" s="6">
        <f t="shared" si="6"/>
        <v>-4.9624920000000003E-2</v>
      </c>
      <c r="V89" s="6">
        <f t="shared" si="6"/>
        <v>-3.7569520000000002E-2</v>
      </c>
      <c r="W89" s="6">
        <f t="shared" si="6"/>
        <v>-2.6536939999999998E-2</v>
      </c>
      <c r="X89" s="6">
        <f>G19</f>
        <v>-2.1259779999999999E-2</v>
      </c>
      <c r="Y89" s="6">
        <f t="shared" ref="Y89:AM89" si="7">H19</f>
        <v>-1.508284E-2</v>
      </c>
      <c r="Z89" s="6">
        <f t="shared" si="7"/>
        <v>-2.319622E-2</v>
      </c>
      <c r="AA89" s="6">
        <f t="shared" si="7"/>
        <v>-2.699232E-2</v>
      </c>
      <c r="AB89" s="6">
        <f t="shared" si="7"/>
        <v>-2.9283050000000001E-2</v>
      </c>
      <c r="AC89" s="6">
        <f t="shared" si="7"/>
        <v>-3.4700870000000002E-2</v>
      </c>
      <c r="AD89" s="6">
        <f t="shared" si="7"/>
        <v>-4.315281E-2</v>
      </c>
      <c r="AE89" s="6">
        <f t="shared" si="7"/>
        <v>-4.2209629999999998E-2</v>
      </c>
      <c r="AF89" s="6">
        <f t="shared" si="7"/>
        <v>-4.3347360000000001E-2</v>
      </c>
      <c r="AG89" s="6">
        <f t="shared" si="7"/>
        <v>-3.9888859999999998E-2</v>
      </c>
      <c r="AH89" s="6">
        <f t="shared" si="7"/>
        <v>-3.8453580000000001E-2</v>
      </c>
      <c r="AI89" s="6">
        <f t="shared" si="7"/>
        <v>-2.941036E-2</v>
      </c>
      <c r="AJ89" s="6">
        <f t="shared" si="7"/>
        <v>-2.053785E-2</v>
      </c>
      <c r="AK89" s="6">
        <f t="shared" si="7"/>
        <v>-7.6265339999999999E-3</v>
      </c>
      <c r="AL89" s="6">
        <f t="shared" si="7"/>
        <v>1.441574E-2</v>
      </c>
      <c r="AM89" s="6">
        <f t="shared" si="7"/>
        <v>4.0206430000000001E-2</v>
      </c>
    </row>
    <row r="90" spans="7:39" x14ac:dyDescent="0.25">
      <c r="G90" s="5">
        <v>-1</v>
      </c>
      <c r="H90" s="6">
        <f>G21</f>
        <v>6.7552570000000006E-2</v>
      </c>
      <c r="I90" s="6">
        <f t="shared" ref="I90:W90" si="8">H21</f>
        <v>-0.1452136</v>
      </c>
      <c r="J90" s="6">
        <f t="shared" si="8"/>
        <v>-0.1491256</v>
      </c>
      <c r="K90" s="6">
        <f t="shared" si="8"/>
        <v>-0.13517570000000001</v>
      </c>
      <c r="L90" s="6">
        <f t="shared" si="8"/>
        <v>-0.12331250000000001</v>
      </c>
      <c r="M90" s="6">
        <f t="shared" si="8"/>
        <v>-8.3684919999999999E-3</v>
      </c>
      <c r="N90" s="6">
        <f t="shared" si="8"/>
        <v>-0.11285829999999999</v>
      </c>
      <c r="O90" s="6">
        <f t="shared" si="8"/>
        <v>-9.9308489999999999E-2</v>
      </c>
      <c r="P90" s="6">
        <f t="shared" si="8"/>
        <v>-9.1711520000000005E-2</v>
      </c>
      <c r="Q90" s="6">
        <f t="shared" si="8"/>
        <v>3.0669689999999999E-2</v>
      </c>
      <c r="R90" s="6">
        <f t="shared" si="8"/>
        <v>-7.5245859999999998E-2</v>
      </c>
      <c r="S90" s="6">
        <f t="shared" si="8"/>
        <v>-6.5722470000000005E-2</v>
      </c>
      <c r="T90" s="6">
        <f t="shared" si="8"/>
        <v>2.9472829999999998E-2</v>
      </c>
      <c r="U90" s="6">
        <f t="shared" si="8"/>
        <v>-4.7548769999999997E-2</v>
      </c>
      <c r="V90" s="6">
        <f t="shared" si="8"/>
        <v>-3.6475180000000003E-2</v>
      </c>
      <c r="W90" s="6">
        <f t="shared" si="8"/>
        <v>-2.545118E-2</v>
      </c>
      <c r="X90" s="6">
        <f>G22</f>
        <v>-1.9624229999999999E-2</v>
      </c>
      <c r="Y90" s="6">
        <f t="shared" ref="Y90:AM90" si="9">H22</f>
        <v>-1.095867E-2</v>
      </c>
      <c r="Z90" s="6">
        <f t="shared" si="9"/>
        <v>-2.53706E-2</v>
      </c>
      <c r="AA90" s="6">
        <f t="shared" si="9"/>
        <v>-3.0107499999999999E-2</v>
      </c>
      <c r="AB90" s="6">
        <f t="shared" si="9"/>
        <v>-3.2355309999999998E-2</v>
      </c>
      <c r="AC90" s="6">
        <f t="shared" si="9"/>
        <v>-3.8456440000000001E-2</v>
      </c>
      <c r="AD90" s="6">
        <f t="shared" si="9"/>
        <v>-4.9397950000000003E-2</v>
      </c>
      <c r="AE90" s="6">
        <f t="shared" si="9"/>
        <v>-5.0393100000000003E-2</v>
      </c>
      <c r="AF90" s="6">
        <f t="shared" si="9"/>
        <v>-5.2312369999999997E-2</v>
      </c>
      <c r="AG90" s="6">
        <f t="shared" si="9"/>
        <v>-4.9997809999999997E-2</v>
      </c>
      <c r="AH90" s="6">
        <f t="shared" si="9"/>
        <v>-4.9638269999999998E-2</v>
      </c>
      <c r="AI90" s="6">
        <f t="shared" si="9"/>
        <v>-4.3118480000000001E-2</v>
      </c>
      <c r="AJ90" s="6">
        <f t="shared" si="9"/>
        <v>-3.575706E-2</v>
      </c>
      <c r="AK90" s="6">
        <f t="shared" si="9"/>
        <v>-2.48723E-2</v>
      </c>
      <c r="AL90" s="6">
        <f t="shared" si="9"/>
        <v>-5.8441159999999999E-3</v>
      </c>
      <c r="AM90" s="6">
        <f t="shared" si="9"/>
        <v>1.8254759999999998E-2</v>
      </c>
    </row>
    <row r="91" spans="7:39" x14ac:dyDescent="0.25">
      <c r="G91" s="5">
        <v>0</v>
      </c>
      <c r="H91" s="6">
        <f>G24</f>
        <v>8.5748199999999997E-2</v>
      </c>
      <c r="I91" s="6">
        <f t="shared" ref="I91:W91" si="10">H24</f>
        <v>-0.1037536</v>
      </c>
      <c r="J91" s="6">
        <f t="shared" si="10"/>
        <v>-0.11793140000000001</v>
      </c>
      <c r="K91" s="6">
        <f t="shared" si="10"/>
        <v>-0.1130857</v>
      </c>
      <c r="L91" s="6">
        <f t="shared" si="10"/>
        <v>-0.10532469999999999</v>
      </c>
      <c r="M91" s="6">
        <f t="shared" si="10"/>
        <v>-7.1444509999999996E-3</v>
      </c>
      <c r="N91" s="6">
        <f t="shared" si="10"/>
        <v>-0.1010795</v>
      </c>
      <c r="O91" s="6">
        <f t="shared" si="10"/>
        <v>-9.0069289999999996E-2</v>
      </c>
      <c r="P91" s="6">
        <f t="shared" si="10"/>
        <v>-8.3919999999999995E-2</v>
      </c>
      <c r="Q91" s="6">
        <f t="shared" si="10"/>
        <v>3.0669689999999999E-2</v>
      </c>
      <c r="R91" s="6">
        <f t="shared" si="10"/>
        <v>-6.9813730000000004E-2</v>
      </c>
      <c r="S91" s="6">
        <f t="shared" si="10"/>
        <v>-6.14028E-2</v>
      </c>
      <c r="T91" s="6">
        <f t="shared" si="10"/>
        <v>2.9645919999999999E-2</v>
      </c>
      <c r="U91" s="6">
        <f t="shared" si="10"/>
        <v>-4.3744089999999999E-2</v>
      </c>
      <c r="V91" s="6">
        <f t="shared" si="10"/>
        <v>-3.5017010000000001E-2</v>
      </c>
      <c r="W91" s="6">
        <f t="shared" si="10"/>
        <v>-2.4369720000000001E-2</v>
      </c>
      <c r="X91" s="6">
        <f>G25</f>
        <v>-1.8719670000000001E-2</v>
      </c>
      <c r="Y91" s="6">
        <f t="shared" ref="Y91:AM91" si="11">H25</f>
        <v>-7.501125E-3</v>
      </c>
      <c r="Z91" s="6">
        <f t="shared" si="11"/>
        <v>-2.4645810000000001E-2</v>
      </c>
      <c r="AA91" s="6">
        <f t="shared" si="11"/>
        <v>-3.1835080000000002E-2</v>
      </c>
      <c r="AB91" s="6">
        <f t="shared" si="11"/>
        <v>-3.4885880000000001E-2</v>
      </c>
      <c r="AC91" s="6">
        <f t="shared" si="11"/>
        <v>-4.0961270000000001E-2</v>
      </c>
      <c r="AD91" s="6">
        <f t="shared" si="11"/>
        <v>-5.4599759999999997E-2</v>
      </c>
      <c r="AE91" s="6">
        <f t="shared" si="11"/>
        <v>-5.6577210000000003E-2</v>
      </c>
      <c r="AF91" s="6">
        <f t="shared" si="11"/>
        <v>-6.0012339999999997E-2</v>
      </c>
      <c r="AG91" s="6">
        <f t="shared" si="11"/>
        <v>-5.9006210000000003E-2</v>
      </c>
      <c r="AH91" s="6">
        <f t="shared" si="11"/>
        <v>-6.0112480000000003E-2</v>
      </c>
      <c r="AI91" s="6">
        <f t="shared" si="11"/>
        <v>-5.6467059999999999E-2</v>
      </c>
      <c r="AJ91" s="6">
        <f t="shared" si="11"/>
        <v>-5.0061229999999998E-2</v>
      </c>
      <c r="AK91" s="6">
        <f t="shared" si="11"/>
        <v>-4.2119030000000002E-2</v>
      </c>
      <c r="AL91" s="6">
        <f t="shared" si="11"/>
        <v>-2.738142E-2</v>
      </c>
      <c r="AM91" s="6">
        <f t="shared" si="11"/>
        <v>-6.5474510000000001E-3</v>
      </c>
    </row>
    <row r="92" spans="7:39" x14ac:dyDescent="0.25">
      <c r="G92" s="5">
        <v>1</v>
      </c>
      <c r="H92" s="6">
        <f>G27</f>
        <v>9.54628E-2</v>
      </c>
      <c r="I92" s="6">
        <f t="shared" ref="I92:W92" si="12">H27</f>
        <v>-6.7248820000000001E-2</v>
      </c>
      <c r="J92" s="6">
        <f t="shared" si="12"/>
        <v>-8.9702610000000002E-2</v>
      </c>
      <c r="K92" s="6">
        <f t="shared" si="12"/>
        <v>-9.3586440000000007E-2</v>
      </c>
      <c r="L92" s="6">
        <f t="shared" si="12"/>
        <v>-9.0420719999999996E-2</v>
      </c>
      <c r="M92" s="6">
        <f t="shared" si="12"/>
        <v>-6.6409110000000002E-3</v>
      </c>
      <c r="N92" s="6">
        <f t="shared" si="12"/>
        <v>-9.1759679999999996E-2</v>
      </c>
      <c r="O92" s="6">
        <f t="shared" si="12"/>
        <v>-8.1877229999999995E-2</v>
      </c>
      <c r="P92" s="6">
        <f t="shared" si="12"/>
        <v>-7.7857019999999999E-2</v>
      </c>
      <c r="Q92" s="6">
        <f t="shared" si="12"/>
        <v>2.9976840000000001E-2</v>
      </c>
      <c r="R92" s="6">
        <f t="shared" si="12"/>
        <v>-6.6173079999999995E-2</v>
      </c>
      <c r="S92" s="6">
        <f t="shared" si="12"/>
        <v>-5.7372569999999998E-2</v>
      </c>
      <c r="T92" s="6">
        <f t="shared" si="12"/>
        <v>3.0009270000000001E-2</v>
      </c>
      <c r="U92" s="6">
        <f t="shared" si="12"/>
        <v>-4.391432E-2</v>
      </c>
      <c r="V92" s="6">
        <f t="shared" si="12"/>
        <v>-3.2443520000000003E-2</v>
      </c>
      <c r="W92" s="6">
        <f t="shared" si="12"/>
        <v>-2.3465630000000001E-2</v>
      </c>
      <c r="X92" s="6">
        <f>G28</f>
        <v>-1.836252E-2</v>
      </c>
      <c r="Y92" s="6">
        <f t="shared" ref="Y92:AM92" si="13">H28</f>
        <v>-5.7129859999999998E-3</v>
      </c>
      <c r="Z92" s="6">
        <f t="shared" si="13"/>
        <v>-2.5008200000000001E-2</v>
      </c>
      <c r="AA92" s="6">
        <f t="shared" si="13"/>
        <v>-3.1832220000000001E-2</v>
      </c>
      <c r="AB92" s="6">
        <f t="shared" si="13"/>
        <v>-3.7780279999999999E-2</v>
      </c>
      <c r="AC92" s="6">
        <f t="shared" si="13"/>
        <v>-4.4183729999999997E-2</v>
      </c>
      <c r="AD92" s="6">
        <f t="shared" si="13"/>
        <v>-6.049728E-2</v>
      </c>
      <c r="AE92" s="6">
        <f t="shared" si="13"/>
        <v>-6.4033989999999999E-2</v>
      </c>
      <c r="AF92" s="6">
        <f t="shared" si="13"/>
        <v>-6.8254949999999995E-2</v>
      </c>
      <c r="AG92" s="6">
        <f t="shared" si="13"/>
        <v>-6.8928719999999999E-2</v>
      </c>
      <c r="AH92" s="6">
        <f t="shared" si="13"/>
        <v>-7.2200780000000006E-2</v>
      </c>
      <c r="AI92" s="6">
        <f t="shared" si="13"/>
        <v>-7.0716860000000006E-2</v>
      </c>
      <c r="AJ92" s="6">
        <f t="shared" si="13"/>
        <v>-6.6007609999999994E-2</v>
      </c>
      <c r="AK92" s="6">
        <f t="shared" si="13"/>
        <v>-6.0821060000000003E-2</v>
      </c>
      <c r="AL92" s="6">
        <f t="shared" si="13"/>
        <v>-5.0743580000000003E-2</v>
      </c>
      <c r="AM92" s="6">
        <f t="shared" si="13"/>
        <v>-3.456211E-2</v>
      </c>
    </row>
    <row r="93" spans="7:39" x14ac:dyDescent="0.25">
      <c r="G93" s="5">
        <v>2</v>
      </c>
      <c r="H93" s="6">
        <f>G30</f>
        <v>9.7582820000000001E-2</v>
      </c>
      <c r="I93" s="6">
        <f t="shared" ref="I93:W93" si="14">H30</f>
        <v>-3.4306530000000002E-2</v>
      </c>
      <c r="J93" s="6">
        <f t="shared" si="14"/>
        <v>-6.3248159999999998E-2</v>
      </c>
      <c r="K93" s="6">
        <f t="shared" si="14"/>
        <v>-7.3740959999999994E-2</v>
      </c>
      <c r="L93" s="6">
        <f t="shared" si="14"/>
        <v>-7.4659349999999999E-2</v>
      </c>
      <c r="M93" s="6">
        <f t="shared" si="14"/>
        <v>-5.2590370000000003E-3</v>
      </c>
      <c r="N93" s="6">
        <f t="shared" si="14"/>
        <v>-8.1907270000000004E-2</v>
      </c>
      <c r="O93" s="6">
        <f t="shared" si="14"/>
        <v>-7.367754E-2</v>
      </c>
      <c r="P93" s="6">
        <f t="shared" si="14"/>
        <v>-7.0746900000000001E-2</v>
      </c>
      <c r="Q93" s="6">
        <f t="shared" si="14"/>
        <v>2.962971E-2</v>
      </c>
      <c r="R93" s="6">
        <f t="shared" si="14"/>
        <v>-6.1661239999999999E-2</v>
      </c>
      <c r="S93" s="6">
        <f t="shared" si="14"/>
        <v>-5.4087160000000002E-2</v>
      </c>
      <c r="T93" s="6">
        <f t="shared" si="14"/>
        <v>2.983189E-2</v>
      </c>
      <c r="U93" s="6">
        <f t="shared" si="14"/>
        <v>-4.391432E-2</v>
      </c>
      <c r="V93" s="6">
        <f t="shared" si="14"/>
        <v>-3.08013E-2</v>
      </c>
      <c r="W93" s="6">
        <f t="shared" si="14"/>
        <v>-2.2018429999999999E-2</v>
      </c>
      <c r="X93" s="6">
        <f>G31</f>
        <v>-1.836252E-2</v>
      </c>
      <c r="Y93" s="6">
        <f t="shared" ref="Y93:AM93" si="15">H31</f>
        <v>-4.6372410000000003E-3</v>
      </c>
      <c r="Z93" s="6">
        <f t="shared" si="15"/>
        <v>-2.55518E-2</v>
      </c>
      <c r="AA93" s="6">
        <f t="shared" si="15"/>
        <v>-3.1659130000000001E-2</v>
      </c>
      <c r="AB93" s="6">
        <f t="shared" si="15"/>
        <v>-3.8142200000000001E-2</v>
      </c>
      <c r="AC93" s="6">
        <f t="shared" si="15"/>
        <v>-4.6508309999999997E-2</v>
      </c>
      <c r="AD93" s="6">
        <f t="shared" si="15"/>
        <v>-6.5180299999999997E-2</v>
      </c>
      <c r="AE93" s="6">
        <f t="shared" si="15"/>
        <v>-7.0398810000000006E-2</v>
      </c>
      <c r="AF93" s="6">
        <f t="shared" si="15"/>
        <v>-7.5963970000000006E-2</v>
      </c>
      <c r="AG93" s="6">
        <f t="shared" si="15"/>
        <v>-7.7382560000000003E-2</v>
      </c>
      <c r="AH93" s="6">
        <f t="shared" si="15"/>
        <v>-8.2663539999999994E-2</v>
      </c>
      <c r="AI93" s="6">
        <f t="shared" si="15"/>
        <v>-8.4064009999999995E-2</v>
      </c>
      <c r="AJ93" s="6">
        <f t="shared" si="15"/>
        <v>-8.1575389999999998E-2</v>
      </c>
      <c r="AK93" s="6">
        <f t="shared" si="15"/>
        <v>-7.9518800000000001E-2</v>
      </c>
      <c r="AL93" s="6">
        <f t="shared" si="15"/>
        <v>-7.5198650000000006E-2</v>
      </c>
      <c r="AM93" s="6">
        <f t="shared" si="15"/>
        <v>-6.4362050000000004E-2</v>
      </c>
    </row>
    <row r="94" spans="7:39" x14ac:dyDescent="0.25">
      <c r="G94" s="5">
        <v>3</v>
      </c>
      <c r="H94" s="6">
        <f>G33</f>
        <v>9.4409469999999995E-2</v>
      </c>
      <c r="I94" s="6">
        <f t="shared" ref="I94:W94" si="16">H33</f>
        <v>-4.6544079999999996E-3</v>
      </c>
      <c r="J94" s="6">
        <f t="shared" si="16"/>
        <v>-3.8035390000000002E-2</v>
      </c>
      <c r="K94" s="6">
        <f t="shared" si="16"/>
        <v>-5.474043E-2</v>
      </c>
      <c r="L94" s="6">
        <f t="shared" si="16"/>
        <v>-5.8723930000000001E-2</v>
      </c>
      <c r="M94" s="6">
        <f t="shared" si="16"/>
        <v>-4.3687819999999999E-3</v>
      </c>
      <c r="N94" s="6">
        <f t="shared" si="16"/>
        <v>-7.0386409999999996E-2</v>
      </c>
      <c r="O94" s="6">
        <f t="shared" si="16"/>
        <v>-6.4081189999999996E-2</v>
      </c>
      <c r="P94" s="6">
        <f t="shared" si="16"/>
        <v>-6.2691209999999997E-2</v>
      </c>
      <c r="Q94" s="6">
        <f t="shared" si="16"/>
        <v>2.9475689999999999E-2</v>
      </c>
      <c r="R94" s="6">
        <f t="shared" si="16"/>
        <v>-5.6287289999999997E-2</v>
      </c>
      <c r="S94" s="6">
        <f t="shared" si="16"/>
        <v>-4.942274E-2</v>
      </c>
      <c r="T94" s="6">
        <f t="shared" si="16"/>
        <v>3.0186649999999999E-2</v>
      </c>
      <c r="U94" s="6">
        <f t="shared" si="16"/>
        <v>-3.9590840000000002E-2</v>
      </c>
      <c r="V94" s="6">
        <f t="shared" si="16"/>
        <v>-3.4086230000000002E-2</v>
      </c>
      <c r="W94" s="6">
        <f t="shared" si="16"/>
        <v>-2.0099160000000001E-2</v>
      </c>
      <c r="X94" s="6">
        <f>G34</f>
        <v>-1.7999649999999999E-2</v>
      </c>
      <c r="Y94" s="6">
        <f t="shared" ref="Y94:AM94" si="17">H34</f>
        <v>-5.122662E-3</v>
      </c>
      <c r="Z94" s="6">
        <f t="shared" si="17"/>
        <v>-2.5008200000000001E-2</v>
      </c>
      <c r="AA94" s="6">
        <f t="shared" si="17"/>
        <v>-3.2524589999999999E-2</v>
      </c>
      <c r="AB94" s="6">
        <f t="shared" si="17"/>
        <v>-3.6519049999999997E-2</v>
      </c>
      <c r="AC94" s="6">
        <f t="shared" si="17"/>
        <v>-4.6866419999999999E-2</v>
      </c>
      <c r="AD94" s="6">
        <f t="shared" si="17"/>
        <v>-6.86388E-2</v>
      </c>
      <c r="AE94" s="6">
        <f t="shared" si="17"/>
        <v>-7.5309749999999995E-2</v>
      </c>
      <c r="AF94" s="6">
        <f t="shared" si="17"/>
        <v>-8.1808569999999997E-2</v>
      </c>
      <c r="AG94" s="6">
        <f t="shared" si="17"/>
        <v>-8.5108760000000006E-2</v>
      </c>
      <c r="AH94" s="6">
        <f t="shared" si="17"/>
        <v>-9.2408180000000006E-2</v>
      </c>
      <c r="AI94" s="6">
        <f t="shared" si="17"/>
        <v>-9.6698759999999995E-2</v>
      </c>
      <c r="AJ94" s="6">
        <f t="shared" si="17"/>
        <v>-9.6024040000000005E-2</v>
      </c>
      <c r="AK94" s="6">
        <f t="shared" si="17"/>
        <v>-9.8035810000000001E-2</v>
      </c>
      <c r="AL94" s="6">
        <f t="shared" si="17"/>
        <v>-9.9842550000000002E-2</v>
      </c>
      <c r="AM94" s="6">
        <f t="shared" si="17"/>
        <v>-9.6475119999999998E-2</v>
      </c>
    </row>
    <row r="95" spans="7:39" x14ac:dyDescent="0.25">
      <c r="G95" s="5">
        <v>4</v>
      </c>
      <c r="H95" s="6">
        <f>G36</f>
        <v>8.3101750000000002E-2</v>
      </c>
      <c r="I95" s="6">
        <f t="shared" ref="I95:W95" si="18">H36</f>
        <v>2.170706E-2</v>
      </c>
      <c r="J95" s="6">
        <f t="shared" si="18"/>
        <v>-1.41449E-2</v>
      </c>
      <c r="K95" s="6">
        <f t="shared" si="18"/>
        <v>-3.5922049999999997E-2</v>
      </c>
      <c r="L95" s="6">
        <f t="shared" si="18"/>
        <v>-4.2959690000000002E-2</v>
      </c>
      <c r="M95" s="6">
        <f t="shared" si="18"/>
        <v>-3.1609540000000001E-3</v>
      </c>
      <c r="N95" s="6">
        <f t="shared" si="18"/>
        <v>-5.9353830000000003E-2</v>
      </c>
      <c r="O95" s="6">
        <f t="shared" si="18"/>
        <v>-5.5014609999999999E-2</v>
      </c>
      <c r="P95" s="6">
        <f t="shared" si="18"/>
        <v>-5.4978369999999999E-2</v>
      </c>
      <c r="Q95" s="6">
        <f t="shared" si="18"/>
        <v>2.8974529999999998E-2</v>
      </c>
      <c r="R95" s="6">
        <f t="shared" si="18"/>
        <v>-5.1488399999999997E-2</v>
      </c>
      <c r="S95" s="6">
        <f t="shared" si="18"/>
        <v>-4.5392040000000002E-2</v>
      </c>
      <c r="T95" s="6">
        <f t="shared" si="18"/>
        <v>3.0007840000000001E-2</v>
      </c>
      <c r="U95" s="6">
        <f t="shared" si="18"/>
        <v>-3.6820409999999998E-2</v>
      </c>
      <c r="V95" s="6">
        <f t="shared" si="18"/>
        <v>-3.151226E-2</v>
      </c>
      <c r="W95" s="6">
        <f t="shared" si="18"/>
        <v>-2.0712379999999999E-2</v>
      </c>
      <c r="X95" s="6">
        <f>G37</f>
        <v>-1.6179559999999999E-2</v>
      </c>
      <c r="Y95" s="6">
        <f t="shared" ref="Y95:AM95" si="19">H37</f>
        <v>-5.6114199999999998E-3</v>
      </c>
      <c r="Z95" s="6">
        <f t="shared" si="19"/>
        <v>-2.4831300000000001E-2</v>
      </c>
      <c r="AA95" s="6">
        <f t="shared" si="19"/>
        <v>-3.2697200000000003E-2</v>
      </c>
      <c r="AB95" s="6">
        <f t="shared" si="19"/>
        <v>-3.8683410000000001E-2</v>
      </c>
      <c r="AC95" s="6">
        <f t="shared" si="19"/>
        <v>-5.0447939999999997E-2</v>
      </c>
      <c r="AD95" s="6">
        <f t="shared" si="19"/>
        <v>-7.4016570000000004E-2</v>
      </c>
      <c r="AE95" s="6">
        <f t="shared" si="19"/>
        <v>-8.2050319999999996E-2</v>
      </c>
      <c r="AF95" s="6">
        <f t="shared" si="19"/>
        <v>-8.9090820000000001E-2</v>
      </c>
      <c r="AG95" s="6">
        <f t="shared" si="19"/>
        <v>-9.3563560000000004E-2</v>
      </c>
      <c r="AH95" s="6">
        <f t="shared" si="19"/>
        <v>-0.1023293</v>
      </c>
      <c r="AI95" s="6">
        <f t="shared" si="19"/>
        <v>-0.1104069</v>
      </c>
      <c r="AJ95" s="6">
        <f t="shared" si="19"/>
        <v>-0.111939</v>
      </c>
      <c r="AK95" s="6">
        <f t="shared" si="19"/>
        <v>-0.1181912</v>
      </c>
      <c r="AL95" s="6">
        <f t="shared" si="19"/>
        <v>-0.12739990000000001</v>
      </c>
      <c r="AM95" s="6">
        <f t="shared" si="19"/>
        <v>-0.1333995</v>
      </c>
    </row>
    <row r="96" spans="7:39" x14ac:dyDescent="0.25">
      <c r="G96" s="5">
        <v>5</v>
      </c>
      <c r="H96" s="6">
        <f>G39</f>
        <v>6.2607769999999993E-2</v>
      </c>
      <c r="I96" s="6">
        <f t="shared" ref="I96:W96" si="20">H39</f>
        <v>4.5191759999999997E-2</v>
      </c>
      <c r="J96" s="6">
        <f t="shared" si="20"/>
        <v>8.4595680000000006E-3</v>
      </c>
      <c r="K96" s="6">
        <f t="shared" si="20"/>
        <v>-1.7271999999999999E-2</v>
      </c>
      <c r="L96" s="6">
        <f t="shared" si="20"/>
        <v>-2.7538779999999999E-2</v>
      </c>
      <c r="M96" s="6">
        <f t="shared" si="20"/>
        <v>-2.6431079999999999E-3</v>
      </c>
      <c r="N96" s="6">
        <f t="shared" si="20"/>
        <v>-4.7565459999999997E-2</v>
      </c>
      <c r="O96" s="6">
        <f t="shared" si="20"/>
        <v>-4.5243739999999998E-2</v>
      </c>
      <c r="P96" s="6">
        <f t="shared" si="20"/>
        <v>-4.6479699999999999E-2</v>
      </c>
      <c r="Q96" s="6">
        <f t="shared" si="20"/>
        <v>2.8801440000000001E-2</v>
      </c>
      <c r="R96" s="6">
        <f t="shared" si="20"/>
        <v>-4.5241360000000001E-2</v>
      </c>
      <c r="S96" s="6">
        <f t="shared" si="20"/>
        <v>-4.055023E-2</v>
      </c>
      <c r="T96" s="6">
        <f t="shared" si="20"/>
        <v>3.0185219999999999E-2</v>
      </c>
      <c r="U96" s="6">
        <f t="shared" si="20"/>
        <v>-3.3879279999999998E-2</v>
      </c>
      <c r="V96" s="6">
        <f t="shared" si="20"/>
        <v>-2.768135E-2</v>
      </c>
      <c r="W96" s="6">
        <f t="shared" si="20"/>
        <v>-2.378893E-2</v>
      </c>
      <c r="X96" s="6">
        <f>G40</f>
        <v>-1.7087939999999999E-2</v>
      </c>
      <c r="Y96" s="6">
        <f t="shared" ref="Y96:AM96" si="21">H40</f>
        <v>-6.5083500000000004E-3</v>
      </c>
      <c r="Z96" s="6">
        <f t="shared" si="21"/>
        <v>-2.39253E-2</v>
      </c>
      <c r="AA96" s="6">
        <f t="shared" si="21"/>
        <v>-3.2524589999999999E-2</v>
      </c>
      <c r="AB96" s="6">
        <f t="shared" si="21"/>
        <v>-3.9948459999999998E-2</v>
      </c>
      <c r="AC96" s="6">
        <f t="shared" si="21"/>
        <v>-5.2414889999999999E-2</v>
      </c>
      <c r="AD96" s="6">
        <f t="shared" si="21"/>
        <v>-7.9047199999999998E-2</v>
      </c>
      <c r="AE96" s="6">
        <f t="shared" si="21"/>
        <v>-8.8415149999999998E-2</v>
      </c>
      <c r="AF96" s="6">
        <f t="shared" si="21"/>
        <v>-9.6084119999999995E-2</v>
      </c>
      <c r="AG96" s="6">
        <f t="shared" si="21"/>
        <v>-0.102385</v>
      </c>
      <c r="AH96" s="6">
        <f t="shared" si="21"/>
        <v>-0.113513</v>
      </c>
      <c r="AI96" s="6">
        <f t="shared" si="21"/>
        <v>-0.1237535</v>
      </c>
      <c r="AJ96" s="6">
        <f t="shared" si="21"/>
        <v>-0.12890579999999999</v>
      </c>
      <c r="AK96" s="6">
        <f t="shared" si="21"/>
        <v>-0.13979150000000001</v>
      </c>
      <c r="AL96" s="6">
        <f t="shared" si="21"/>
        <v>-0.1569624</v>
      </c>
      <c r="AM96" s="6">
        <f t="shared" si="21"/>
        <v>-0.1735411</v>
      </c>
    </row>
    <row r="97" spans="7:39" x14ac:dyDescent="0.25">
      <c r="G97" s="5">
        <v>6</v>
      </c>
      <c r="H97" s="6">
        <f>G42</f>
        <v>2.9936310000000001E-2</v>
      </c>
      <c r="I97" s="6">
        <f t="shared" ref="I97:W97" si="22">H42</f>
        <v>6.3550469999999998E-2</v>
      </c>
      <c r="J97" s="6">
        <f t="shared" si="22"/>
        <v>2.8808589999999999E-2</v>
      </c>
      <c r="K97" s="6">
        <f t="shared" si="22"/>
        <v>8.7833400000000004E-4</v>
      </c>
      <c r="L97" s="6">
        <f t="shared" si="22"/>
        <v>-1.2285229999999999E-2</v>
      </c>
      <c r="M97" s="6">
        <f t="shared" si="22"/>
        <v>-1.7805099999999999E-3</v>
      </c>
      <c r="N97" s="6">
        <f t="shared" si="22"/>
        <v>-3.5913470000000003E-2</v>
      </c>
      <c r="O97" s="6">
        <f t="shared" si="22"/>
        <v>-3.5645959999999997E-2</v>
      </c>
      <c r="P97" s="6">
        <f t="shared" si="22"/>
        <v>-3.7300590000000002E-2</v>
      </c>
      <c r="Q97" s="6">
        <f t="shared" si="22"/>
        <v>2.8801440000000001E-2</v>
      </c>
      <c r="R97" s="6">
        <f t="shared" si="22"/>
        <v>-3.9231299999999997E-2</v>
      </c>
      <c r="S97" s="6">
        <f t="shared" si="22"/>
        <v>-3.5713200000000001E-2</v>
      </c>
      <c r="T97" s="6">
        <f t="shared" si="22"/>
        <v>2.983189E-2</v>
      </c>
      <c r="U97" s="6">
        <f t="shared" si="22"/>
        <v>-3.041744E-2</v>
      </c>
      <c r="V97" s="6">
        <f t="shared" si="22"/>
        <v>-2.4398329999999999E-2</v>
      </c>
      <c r="W97" s="6">
        <f t="shared" si="22"/>
        <v>-2.1251200000000001E-2</v>
      </c>
      <c r="X97" s="6">
        <f>G43</f>
        <v>-1.927471E-2</v>
      </c>
      <c r="Y97" s="6">
        <f t="shared" ref="Y97:AM97" si="23">H43</f>
        <v>-8.5301400000000003E-3</v>
      </c>
      <c r="Z97" s="6">
        <f t="shared" si="23"/>
        <v>-2.4290559999999999E-2</v>
      </c>
      <c r="AA97" s="6">
        <f t="shared" si="23"/>
        <v>-3.286791E-2</v>
      </c>
      <c r="AB97" s="6">
        <f t="shared" si="23"/>
        <v>-4.0674689999999999E-2</v>
      </c>
      <c r="AC97" s="6">
        <f t="shared" si="23"/>
        <v>-5.4025169999999997E-2</v>
      </c>
      <c r="AD97" s="6">
        <f t="shared" si="23"/>
        <v>-8.1127640000000001E-2</v>
      </c>
      <c r="AE97" s="6">
        <f t="shared" si="23"/>
        <v>-9.5690250000000004E-2</v>
      </c>
      <c r="AF97" s="6">
        <f t="shared" si="23"/>
        <v>-0.10384989999999999</v>
      </c>
      <c r="AG97" s="6">
        <f t="shared" si="23"/>
        <v>-0.1112118</v>
      </c>
      <c r="AH97" s="6">
        <f t="shared" si="23"/>
        <v>-0.12362960000000001</v>
      </c>
      <c r="AI97" s="6">
        <f t="shared" si="23"/>
        <v>-0.1380043</v>
      </c>
      <c r="AJ97" s="6">
        <f t="shared" si="23"/>
        <v>-0.14519360000000001</v>
      </c>
      <c r="AK97" s="6">
        <f t="shared" si="23"/>
        <v>-0.16157579999999999</v>
      </c>
      <c r="AL97" s="6">
        <f t="shared" si="23"/>
        <v>-0.18762300000000001</v>
      </c>
      <c r="AM97" s="6">
        <f t="shared" si="23"/>
        <v>-0.2163572</v>
      </c>
    </row>
    <row r="98" spans="7:39" x14ac:dyDescent="0.25">
      <c r="G98" s="5">
        <v>7</v>
      </c>
      <c r="H98" s="6">
        <f>G45</f>
        <v>-1.1575220000000001E-2</v>
      </c>
      <c r="I98" s="6">
        <f t="shared" ref="I98:W98" si="24">H45</f>
        <v>7.6674939999999997E-2</v>
      </c>
      <c r="J98" s="6">
        <f t="shared" si="24"/>
        <v>4.5836450000000001E-2</v>
      </c>
      <c r="K98" s="6">
        <f t="shared" si="24"/>
        <v>1.64814E-2</v>
      </c>
      <c r="L98" s="6">
        <f t="shared" si="24"/>
        <v>2.1033290000000001E-3</v>
      </c>
      <c r="M98" s="6">
        <f t="shared" si="24"/>
        <v>-1.2469289999999999E-3</v>
      </c>
      <c r="N98" s="6">
        <f t="shared" si="24"/>
        <v>-2.4209979999999999E-2</v>
      </c>
      <c r="O98" s="6">
        <f t="shared" si="24"/>
        <v>-2.5705809999999999E-2</v>
      </c>
      <c r="P98" s="6">
        <f t="shared" si="24"/>
        <v>-2.872133E-2</v>
      </c>
      <c r="Q98" s="6">
        <f t="shared" si="24"/>
        <v>2.8281210000000001E-2</v>
      </c>
      <c r="R98" s="6">
        <f t="shared" si="24"/>
        <v>-3.2698150000000002E-2</v>
      </c>
      <c r="S98" s="6">
        <f t="shared" si="24"/>
        <v>-3.0470850000000001E-2</v>
      </c>
      <c r="T98" s="6">
        <f t="shared" si="24"/>
        <v>3.0367370000000001E-2</v>
      </c>
      <c r="U98" s="6">
        <f t="shared" si="24"/>
        <v>-2.6437760000000001E-2</v>
      </c>
      <c r="V98" s="6">
        <f t="shared" si="24"/>
        <v>-2.091312E-2</v>
      </c>
      <c r="W98" s="6">
        <f t="shared" si="24"/>
        <v>-1.7453670000000001E-2</v>
      </c>
      <c r="X98" s="6">
        <f>G46</f>
        <v>-1.5276430000000001E-2</v>
      </c>
      <c r="Y98" s="6">
        <f t="shared" ref="Y98:AM98" si="25">H46</f>
        <v>-1.273203E-2</v>
      </c>
      <c r="Z98" s="6">
        <f t="shared" si="25"/>
        <v>-2.4476049999999999E-2</v>
      </c>
      <c r="AA98" s="6">
        <f t="shared" si="25"/>
        <v>-3.3385749999999999E-2</v>
      </c>
      <c r="AB98" s="6">
        <f t="shared" si="25"/>
        <v>-4.2305469999999998E-2</v>
      </c>
      <c r="AC98" s="6">
        <f t="shared" si="25"/>
        <v>-5.563879E-2</v>
      </c>
      <c r="AD98" s="6">
        <f t="shared" si="25"/>
        <v>-8.8237759999999998E-2</v>
      </c>
      <c r="AE98" s="6">
        <f t="shared" si="25"/>
        <v>-9.9339490000000003E-2</v>
      </c>
      <c r="AF98" s="6">
        <f t="shared" si="25"/>
        <v>-0.1084447</v>
      </c>
      <c r="AG98" s="6">
        <f t="shared" si="25"/>
        <v>-0.1220512</v>
      </c>
      <c r="AH98" s="6">
        <f t="shared" si="25"/>
        <v>-0.1349959</v>
      </c>
      <c r="AI98" s="6">
        <f t="shared" si="25"/>
        <v>-0.15280340000000001</v>
      </c>
      <c r="AJ98" s="6">
        <f t="shared" si="25"/>
        <v>-0.16247610000000001</v>
      </c>
      <c r="AK98" s="6">
        <f t="shared" si="25"/>
        <v>-0.18353990000000001</v>
      </c>
      <c r="AL98" s="6">
        <f t="shared" si="25"/>
        <v>-0.21900130000000001</v>
      </c>
      <c r="AM98" s="6">
        <f t="shared" si="25"/>
        <v>-0.26023390000000002</v>
      </c>
    </row>
    <row r="99" spans="7:39" x14ac:dyDescent="0.25">
      <c r="G99" s="5">
        <v>8</v>
      </c>
      <c r="H99" s="6">
        <f>G48</f>
        <v>-5.7149409999999998E-2</v>
      </c>
      <c r="I99" s="6">
        <f t="shared" ref="I99:W99" si="26">H48</f>
        <v>8.5263249999999999E-2</v>
      </c>
      <c r="J99" s="6">
        <f t="shared" si="26"/>
        <v>5.9331420000000003E-2</v>
      </c>
      <c r="K99" s="6">
        <f t="shared" si="26"/>
        <v>3.000164E-2</v>
      </c>
      <c r="L99" s="6">
        <f t="shared" si="26"/>
        <v>1.341343E-2</v>
      </c>
      <c r="M99" s="6">
        <f t="shared" si="26"/>
        <v>-3.7193300000000002E-5</v>
      </c>
      <c r="N99" s="6">
        <f t="shared" si="26"/>
        <v>-1.4707090000000001E-2</v>
      </c>
      <c r="O99" s="6">
        <f t="shared" si="26"/>
        <v>-1.7504220000000001E-2</v>
      </c>
      <c r="P99" s="6">
        <f t="shared" si="26"/>
        <v>-2.1610259999999999E-2</v>
      </c>
      <c r="Q99" s="6">
        <f t="shared" si="26"/>
        <v>2.793503E-2</v>
      </c>
      <c r="R99" s="6">
        <f t="shared" si="26"/>
        <v>-2.7665140000000001E-2</v>
      </c>
      <c r="S99" s="6">
        <f t="shared" si="26"/>
        <v>-2.6493550000000001E-2</v>
      </c>
      <c r="T99" s="6">
        <f t="shared" si="26"/>
        <v>3.1431199999999999E-2</v>
      </c>
      <c r="U99" s="6">
        <f t="shared" si="26"/>
        <v>-2.4015430000000001E-2</v>
      </c>
      <c r="V99" s="6">
        <f t="shared" si="26"/>
        <v>-1.9271369999999999E-2</v>
      </c>
      <c r="W99" s="6">
        <f t="shared" si="26"/>
        <v>-1.564407E-2</v>
      </c>
      <c r="X99" s="6">
        <f>G49</f>
        <v>-1.364136E-2</v>
      </c>
      <c r="Y99" s="6">
        <f t="shared" ref="Y99:AM99" si="27">H49</f>
        <v>-1.201439E-2</v>
      </c>
      <c r="Z99" s="6">
        <f t="shared" si="27"/>
        <v>-2.357006E-2</v>
      </c>
      <c r="AA99" s="6">
        <f t="shared" si="27"/>
        <v>-3.2693390000000003E-2</v>
      </c>
      <c r="AB99" s="6">
        <f t="shared" si="27"/>
        <v>-4.212523E-2</v>
      </c>
      <c r="AC99" s="6">
        <f t="shared" si="27"/>
        <v>-5.5818079999999999E-2</v>
      </c>
      <c r="AD99" s="6">
        <f t="shared" si="27"/>
        <v>-9.1707230000000001E-2</v>
      </c>
      <c r="AE99" s="6">
        <f t="shared" si="27"/>
        <v>-0.10625030000000001</v>
      </c>
      <c r="AF99" s="6">
        <f t="shared" si="27"/>
        <v>-0.11848499999999999</v>
      </c>
      <c r="AG99" s="6">
        <f t="shared" si="27"/>
        <v>-0.12829969999999999</v>
      </c>
      <c r="AH99" s="6">
        <f t="shared" si="27"/>
        <v>-0.14383460000000001</v>
      </c>
      <c r="AI99" s="6">
        <f t="shared" si="27"/>
        <v>-0.17011689999999999</v>
      </c>
      <c r="AJ99" s="6">
        <f t="shared" si="27"/>
        <v>-0.18276500000000001</v>
      </c>
      <c r="AK99" s="6">
        <f t="shared" si="27"/>
        <v>-0.2085862</v>
      </c>
      <c r="AL99" s="6">
        <f t="shared" si="27"/>
        <v>-0.24746470000000001</v>
      </c>
      <c r="AM99" s="6">
        <f t="shared" si="27"/>
        <v>-0.30090090000000003</v>
      </c>
    </row>
    <row r="100" spans="7:39" x14ac:dyDescent="0.25">
      <c r="G100" s="5">
        <v>9</v>
      </c>
      <c r="H100" s="6">
        <f>G51</f>
        <v>-0.1039553</v>
      </c>
      <c r="I100" s="6">
        <f t="shared" ref="I100:W100" si="28">H51</f>
        <v>8.8856699999999997E-2</v>
      </c>
      <c r="J100" s="6">
        <f t="shared" si="28"/>
        <v>6.7948339999999996E-2</v>
      </c>
      <c r="K100" s="6">
        <f t="shared" si="28"/>
        <v>4.0266509999999998E-2</v>
      </c>
      <c r="L100" s="6">
        <f t="shared" si="28"/>
        <v>2.3356910000000002E-2</v>
      </c>
      <c r="M100" s="6">
        <f t="shared" si="28"/>
        <v>1.4686580000000001E-4</v>
      </c>
      <c r="N100" s="6">
        <f t="shared" si="28"/>
        <v>-7.1969030000000002E-3</v>
      </c>
      <c r="O100" s="6">
        <f t="shared" si="28"/>
        <v>-1.0354520000000001E-2</v>
      </c>
      <c r="P100" s="6">
        <f t="shared" si="28"/>
        <v>-1.5896319999999999E-2</v>
      </c>
      <c r="Q100" s="6">
        <f t="shared" si="28"/>
        <v>2.7761460000000002E-2</v>
      </c>
      <c r="R100" s="6">
        <f t="shared" si="28"/>
        <v>-2.3678299999999999E-2</v>
      </c>
      <c r="S100" s="6">
        <f t="shared" si="28"/>
        <v>-2.3558619999999999E-2</v>
      </c>
      <c r="T100" s="6">
        <f t="shared" si="28"/>
        <v>3.1259059999999998E-2</v>
      </c>
      <c r="U100" s="6">
        <f t="shared" si="28"/>
        <v>-2.3321149999999999E-2</v>
      </c>
      <c r="V100" s="6">
        <f t="shared" si="28"/>
        <v>-1.9272330000000001E-2</v>
      </c>
      <c r="W100" s="6">
        <f t="shared" si="28"/>
        <v>-1.626205E-2</v>
      </c>
      <c r="X100" s="6">
        <f>G52</f>
        <v>-1.473522E-2</v>
      </c>
      <c r="Y100" s="6">
        <f t="shared" ref="Y100:AM100" si="29">H52</f>
        <v>-1.3086800000000001E-2</v>
      </c>
      <c r="Z100" s="6">
        <f t="shared" si="29"/>
        <v>-2.2301669999999999E-2</v>
      </c>
      <c r="AA100" s="6">
        <f t="shared" si="29"/>
        <v>-3.113747E-2</v>
      </c>
      <c r="AB100" s="6">
        <f t="shared" si="29"/>
        <v>-4.1401390000000003E-2</v>
      </c>
      <c r="AC100" s="6">
        <f t="shared" si="29"/>
        <v>-5.528069E-2</v>
      </c>
      <c r="AD100" s="6">
        <f t="shared" si="29"/>
        <v>-9.4289780000000004E-2</v>
      </c>
      <c r="AE100" s="6">
        <f t="shared" si="29"/>
        <v>-0.1102643</v>
      </c>
      <c r="AF100" s="6">
        <f t="shared" si="29"/>
        <v>-0.1236768</v>
      </c>
      <c r="AG100" s="6">
        <f t="shared" si="29"/>
        <v>-0.13510040000000001</v>
      </c>
      <c r="AH100" s="6">
        <f t="shared" si="29"/>
        <v>-0.15592339999999999</v>
      </c>
      <c r="AI100" s="6">
        <f t="shared" si="29"/>
        <v>-0.17589089999999999</v>
      </c>
      <c r="AJ100" s="6">
        <f t="shared" si="29"/>
        <v>-0.1859055</v>
      </c>
      <c r="AK100" s="6">
        <f t="shared" si="29"/>
        <v>-0.24308489999999999</v>
      </c>
      <c r="AL100" s="6">
        <f t="shared" si="29"/>
        <v>-0.27831460000000002</v>
      </c>
      <c r="AM100" s="6">
        <f t="shared" si="29"/>
        <v>-0.335144</v>
      </c>
    </row>
    <row r="101" spans="7:39" x14ac:dyDescent="0.25">
      <c r="G101" s="5">
        <v>10</v>
      </c>
      <c r="H101" s="6">
        <f>G54</f>
        <v>-0.15658659999999999</v>
      </c>
      <c r="I101" s="6">
        <f t="shared" ref="I101:W101" si="30">H54</f>
        <v>8.9552880000000001E-2</v>
      </c>
      <c r="J101" s="6">
        <f t="shared" si="30"/>
        <v>7.600498E-2</v>
      </c>
      <c r="K101" s="6">
        <f t="shared" si="30"/>
        <v>4.916239E-2</v>
      </c>
      <c r="L101" s="6">
        <f t="shared" si="30"/>
        <v>3.1929489999999998E-2</v>
      </c>
      <c r="M101" s="6">
        <f t="shared" si="30"/>
        <v>1.4877320000000001E-4</v>
      </c>
      <c r="N101" s="6">
        <f t="shared" si="30"/>
        <v>5.8841709999999997E-4</v>
      </c>
      <c r="O101" s="6">
        <f t="shared" si="30"/>
        <v>-4.2462350000000001E-3</v>
      </c>
      <c r="P101" s="6">
        <f t="shared" si="30"/>
        <v>-1.052809E-2</v>
      </c>
      <c r="Q101" s="6">
        <f t="shared" si="30"/>
        <v>2.7433869999999999E-2</v>
      </c>
      <c r="R101" s="6">
        <f t="shared" si="30"/>
        <v>-1.9864079999999999E-2</v>
      </c>
      <c r="S101" s="6">
        <f t="shared" si="30"/>
        <v>-2.0737169999999999E-2</v>
      </c>
      <c r="T101" s="6">
        <f t="shared" si="30"/>
        <v>3.1613349999999998E-2</v>
      </c>
      <c r="U101" s="6">
        <f t="shared" si="30"/>
        <v>-2.1939279999999999E-2</v>
      </c>
      <c r="V101" s="6">
        <f t="shared" si="30"/>
        <v>-1.9070150000000001E-2</v>
      </c>
      <c r="W101" s="6">
        <f t="shared" si="30"/>
        <v>-1.709747E-2</v>
      </c>
      <c r="X101" s="6">
        <f>G55</f>
        <v>-1.5825269999999999E-2</v>
      </c>
      <c r="Y101" s="6">
        <f t="shared" ref="Y101:AM101" si="31">H55</f>
        <v>-1.4701840000000001E-2</v>
      </c>
      <c r="Z101" s="6">
        <f t="shared" si="31"/>
        <v>-2.157688E-2</v>
      </c>
      <c r="AA101" s="6">
        <f t="shared" si="31"/>
        <v>-3.0097479999999999E-2</v>
      </c>
      <c r="AB101" s="6">
        <f t="shared" si="31"/>
        <v>-4.0136810000000002E-2</v>
      </c>
      <c r="AC101" s="6">
        <f t="shared" si="31"/>
        <v>-5.4570199999999999E-2</v>
      </c>
      <c r="AD101" s="6">
        <f t="shared" si="31"/>
        <v>-9.6536159999999996E-2</v>
      </c>
      <c r="AE101" s="6">
        <f t="shared" si="31"/>
        <v>-0.1142654</v>
      </c>
      <c r="AF101" s="6">
        <f t="shared" si="31"/>
        <v>-0.12869069999999999</v>
      </c>
      <c r="AG101" s="6">
        <f t="shared" si="31"/>
        <v>-0.14246320000000001</v>
      </c>
      <c r="AH101" s="6">
        <f t="shared" si="31"/>
        <v>-0.16459750000000001</v>
      </c>
      <c r="AI101" s="6">
        <f t="shared" si="31"/>
        <v>-0.18923809999999999</v>
      </c>
      <c r="AJ101" s="6">
        <f t="shared" si="31"/>
        <v>-0.1921997</v>
      </c>
      <c r="AK101" s="6">
        <f t="shared" si="31"/>
        <v>-0.28952840000000002</v>
      </c>
      <c r="AL101" s="6">
        <f t="shared" si="31"/>
        <v>-0.31443260000000001</v>
      </c>
      <c r="AM101" s="6">
        <f t="shared" si="31"/>
        <v>-0.37598419999999999</v>
      </c>
    </row>
    <row r="102" spans="7:39" x14ac:dyDescent="0.25">
      <c r="G102" s="5">
        <v>11</v>
      </c>
      <c r="H102" s="6">
        <f>G57</f>
        <v>-0.21398020000000001</v>
      </c>
      <c r="I102" s="6">
        <f t="shared" ref="I102:W102" si="32">H57</f>
        <v>8.8325979999999998E-2</v>
      </c>
      <c r="J102" s="6">
        <f t="shared" si="32"/>
        <v>8.1789020000000004E-2</v>
      </c>
      <c r="K102" s="6">
        <f t="shared" si="32"/>
        <v>5.7034969999999997E-2</v>
      </c>
      <c r="L102" s="6">
        <f t="shared" si="32"/>
        <v>4.0155410000000002E-2</v>
      </c>
      <c r="M102" s="6">
        <f t="shared" si="32"/>
        <v>1.185417E-3</v>
      </c>
      <c r="N102" s="6">
        <f t="shared" si="32"/>
        <v>7.4515340000000001E-3</v>
      </c>
      <c r="O102" s="6">
        <f t="shared" si="32"/>
        <v>1.8610949999999999E-3</v>
      </c>
      <c r="P102" s="6">
        <f t="shared" si="32"/>
        <v>-5.1512720000000001E-3</v>
      </c>
      <c r="Q102" s="6">
        <f t="shared" si="32"/>
        <v>2.6567460000000001E-2</v>
      </c>
      <c r="R102" s="6">
        <f t="shared" si="32"/>
        <v>-1.6566750000000002E-2</v>
      </c>
      <c r="S102" s="6">
        <f t="shared" si="32"/>
        <v>-1.8315789999999998E-2</v>
      </c>
      <c r="T102" s="6">
        <f t="shared" si="32"/>
        <v>3.1435970000000001E-2</v>
      </c>
      <c r="U102" s="6">
        <f t="shared" si="32"/>
        <v>-2.0901200000000002E-2</v>
      </c>
      <c r="V102" s="6">
        <f t="shared" si="32"/>
        <v>-1.9070150000000001E-2</v>
      </c>
      <c r="W102" s="6">
        <f t="shared" si="32"/>
        <v>-1.7640590000000001E-2</v>
      </c>
      <c r="X102" s="6">
        <f>G58</f>
        <v>-1.800585E-2</v>
      </c>
      <c r="Y102" s="6">
        <f t="shared" ref="Y102:AM102" si="33">H58</f>
        <v>-1.739168E-2</v>
      </c>
      <c r="Z102" s="6">
        <f t="shared" si="33"/>
        <v>-2.139568E-2</v>
      </c>
      <c r="AA102" s="6">
        <f t="shared" si="33"/>
        <v>-2.905893E-2</v>
      </c>
      <c r="AB102" s="6">
        <f t="shared" si="33"/>
        <v>-3.9594650000000002E-2</v>
      </c>
      <c r="AC102" s="6">
        <f t="shared" si="33"/>
        <v>-5.403376E-2</v>
      </c>
      <c r="AD102" s="6">
        <f t="shared" si="33"/>
        <v>-9.8791599999999993E-2</v>
      </c>
      <c r="AE102" s="6">
        <f t="shared" si="33"/>
        <v>-0.1184487</v>
      </c>
      <c r="AF102" s="6">
        <f t="shared" si="33"/>
        <v>-0.13406940000000001</v>
      </c>
      <c r="AG102" s="6">
        <f t="shared" si="33"/>
        <v>-0.14871219999999999</v>
      </c>
      <c r="AH102" s="6">
        <f t="shared" si="33"/>
        <v>-0.17361689999999999</v>
      </c>
      <c r="AI102" s="6">
        <f t="shared" si="33"/>
        <v>-0.20348550000000001</v>
      </c>
      <c r="AJ102" s="6">
        <f t="shared" si="33"/>
        <v>-0.21563579999999999</v>
      </c>
      <c r="AK102" s="6">
        <f t="shared" si="33"/>
        <v>-0.25958490000000001</v>
      </c>
      <c r="AL102" s="6">
        <f t="shared" si="33"/>
        <v>-0.35529709999999998</v>
      </c>
      <c r="AM102" s="6">
        <f t="shared" si="33"/>
        <v>-0.4155722</v>
      </c>
    </row>
    <row r="103" spans="7:39" x14ac:dyDescent="0.25">
      <c r="G103" s="5">
        <v>12</v>
      </c>
      <c r="H103" s="6">
        <f>G60</f>
        <v>-0.27154450000000002</v>
      </c>
      <c r="I103" s="6">
        <f t="shared" ref="I103:W103" si="34">H60</f>
        <v>8.3975320000000006E-2</v>
      </c>
      <c r="J103" s="6">
        <f t="shared" si="34"/>
        <v>8.4416870000000005E-2</v>
      </c>
      <c r="K103" s="6">
        <f t="shared" si="34"/>
        <v>6.3539509999999993E-2</v>
      </c>
      <c r="L103" s="6">
        <f t="shared" si="34"/>
        <v>4.7359470000000001E-2</v>
      </c>
      <c r="M103" s="6">
        <f t="shared" si="34"/>
        <v>1.7037389999999999E-3</v>
      </c>
      <c r="N103" s="6">
        <f t="shared" si="34"/>
        <v>1.4185430000000001E-2</v>
      </c>
      <c r="O103" s="6">
        <f t="shared" si="34"/>
        <v>7.6203349999999998E-3</v>
      </c>
      <c r="P103" s="6">
        <f t="shared" si="34"/>
        <v>2.293587E-4</v>
      </c>
      <c r="Q103" s="6">
        <f t="shared" si="34"/>
        <v>2.6741029999999999E-2</v>
      </c>
      <c r="R103" s="6">
        <f t="shared" si="34"/>
        <v>-1.251793E-2</v>
      </c>
      <c r="S103" s="6">
        <f t="shared" si="34"/>
        <v>-1.503229E-2</v>
      </c>
      <c r="T103" s="6">
        <f t="shared" si="34"/>
        <v>3.1621459999999997E-2</v>
      </c>
      <c r="U103" s="6">
        <f t="shared" si="34"/>
        <v>-1.951408E-2</v>
      </c>
      <c r="V103" s="6">
        <f t="shared" si="34"/>
        <v>-1.834011E-2</v>
      </c>
      <c r="W103" s="6">
        <f t="shared" si="34"/>
        <v>-1.8251420000000001E-2</v>
      </c>
      <c r="X103" s="6">
        <f>G61</f>
        <v>-2.036905E-2</v>
      </c>
      <c r="Y103" s="6">
        <f t="shared" ref="Y103:AM103" si="35">H61</f>
        <v>-2.0081040000000001E-2</v>
      </c>
      <c r="Z103" s="6">
        <f t="shared" si="35"/>
        <v>-2.2664070000000001E-2</v>
      </c>
      <c r="AA103" s="6">
        <f t="shared" si="35"/>
        <v>-2.9057980000000001E-2</v>
      </c>
      <c r="AB103" s="6">
        <f t="shared" si="35"/>
        <v>-3.8148880000000003E-2</v>
      </c>
      <c r="AC103" s="6">
        <f t="shared" si="35"/>
        <v>-5.2244659999999998E-2</v>
      </c>
      <c r="AD103" s="6">
        <f t="shared" si="35"/>
        <v>-9.9484920000000004E-2</v>
      </c>
      <c r="AE103" s="6">
        <f t="shared" si="35"/>
        <v>-0.1202674</v>
      </c>
      <c r="AF103" s="6">
        <f t="shared" si="35"/>
        <v>-0.13633439999999999</v>
      </c>
      <c r="AG103" s="6">
        <f t="shared" si="35"/>
        <v>-0.15256600000000001</v>
      </c>
      <c r="AH103" s="6">
        <f t="shared" si="35"/>
        <v>-0.17902850000000001</v>
      </c>
      <c r="AI103" s="6">
        <f t="shared" si="35"/>
        <v>-0.2119627</v>
      </c>
      <c r="AJ103" s="6">
        <f t="shared" si="35"/>
        <v>-0.22819610000000001</v>
      </c>
      <c r="AK103" s="6">
        <f t="shared" si="35"/>
        <v>-0.25651980000000002</v>
      </c>
      <c r="AL103" s="6">
        <f t="shared" si="35"/>
        <v>-0.39089010000000002</v>
      </c>
      <c r="AM103" s="6">
        <f t="shared" si="35"/>
        <v>-0.43340440000000002</v>
      </c>
    </row>
    <row r="104" spans="7:39" x14ac:dyDescent="0.25">
      <c r="G104" s="5">
        <v>13</v>
      </c>
      <c r="H104" s="6">
        <f>G63</f>
        <v>-0.33369349999999998</v>
      </c>
      <c r="I104" s="6">
        <f t="shared" ref="I104:W104" si="36">H63</f>
        <v>7.8541280000000005E-2</v>
      </c>
      <c r="J104" s="6">
        <f t="shared" si="36"/>
        <v>8.6520200000000005E-2</v>
      </c>
      <c r="K104" s="6">
        <f t="shared" si="36"/>
        <v>6.884527E-2</v>
      </c>
      <c r="L104" s="6">
        <f t="shared" si="36"/>
        <v>5.2843569999999999E-2</v>
      </c>
      <c r="M104" s="6">
        <f t="shared" si="36"/>
        <v>2.0494459999999999E-3</v>
      </c>
      <c r="N104" s="6">
        <f t="shared" si="36"/>
        <v>1.999331E-2</v>
      </c>
      <c r="O104" s="6">
        <f t="shared" si="36"/>
        <v>1.285553E-2</v>
      </c>
      <c r="P104" s="6">
        <f t="shared" si="36"/>
        <v>4.912853E-3</v>
      </c>
      <c r="Q104" s="6">
        <f t="shared" si="36"/>
        <v>2.6220799999999999E-2</v>
      </c>
      <c r="R104" s="6">
        <f t="shared" si="36"/>
        <v>-9.7413059999999999E-3</v>
      </c>
      <c r="S104" s="6">
        <f t="shared" si="36"/>
        <v>-1.2784480000000001E-2</v>
      </c>
      <c r="T104" s="6">
        <f t="shared" si="36"/>
        <v>3.1799319999999999E-2</v>
      </c>
      <c r="U104" s="6">
        <f t="shared" si="36"/>
        <v>-1.830292E-2</v>
      </c>
      <c r="V104" s="6">
        <f t="shared" si="36"/>
        <v>-1.834011E-2</v>
      </c>
      <c r="W104" s="6">
        <f t="shared" si="36"/>
        <v>-1.915598E-2</v>
      </c>
      <c r="X104" s="6">
        <f>G64</f>
        <v>-2.273083E-2</v>
      </c>
      <c r="Y104" s="6">
        <f t="shared" ref="Y104:AM104" si="37">H64</f>
        <v>-2.420568E-2</v>
      </c>
      <c r="Z104" s="6">
        <f t="shared" si="37"/>
        <v>-2.5019650000000001E-2</v>
      </c>
      <c r="AA104" s="6">
        <f t="shared" si="37"/>
        <v>-2.9923439999999999E-2</v>
      </c>
      <c r="AB104" s="6">
        <f t="shared" si="37"/>
        <v>-3.7787439999999999E-2</v>
      </c>
      <c r="AC104" s="6">
        <f t="shared" si="37"/>
        <v>-5.0814150000000002E-2</v>
      </c>
      <c r="AD104" s="6">
        <f t="shared" si="37"/>
        <v>-0.1005259</v>
      </c>
      <c r="AE104" s="6">
        <f t="shared" si="37"/>
        <v>-0.12226770000000001</v>
      </c>
      <c r="AF104" s="6">
        <f t="shared" si="37"/>
        <v>-0.13974049999999999</v>
      </c>
      <c r="AG104" s="6">
        <f t="shared" si="37"/>
        <v>-0.15752740000000001</v>
      </c>
      <c r="AH104" s="6">
        <f t="shared" si="37"/>
        <v>-0.18606329999999999</v>
      </c>
      <c r="AI104" s="6">
        <f t="shared" si="37"/>
        <v>-0.2220616</v>
      </c>
      <c r="AJ104" s="6">
        <f t="shared" si="37"/>
        <v>-0.24166299999999999</v>
      </c>
      <c r="AK104" s="6">
        <f t="shared" si="37"/>
        <v>-0.27013160000000003</v>
      </c>
      <c r="AL104" s="6">
        <f t="shared" si="37"/>
        <v>-0.43010949999999998</v>
      </c>
      <c r="AM104" s="6">
        <f t="shared" si="37"/>
        <v>-0.45016529999999999</v>
      </c>
    </row>
    <row r="105" spans="7:39" x14ac:dyDescent="0.25">
      <c r="G105" s="5">
        <v>14</v>
      </c>
      <c r="H105" s="6">
        <f>G66</f>
        <v>-0.3956575</v>
      </c>
      <c r="I105" s="6">
        <f t="shared" ref="I105:W105" si="38">H66</f>
        <v>7.1262359999999997E-2</v>
      </c>
      <c r="J105" s="6">
        <f t="shared" si="38"/>
        <v>8.7219720000000001E-2</v>
      </c>
      <c r="K105" s="6">
        <f t="shared" si="38"/>
        <v>7.3844430000000003E-2</v>
      </c>
      <c r="L105" s="6">
        <f t="shared" si="38"/>
        <v>5.8328150000000002E-2</v>
      </c>
      <c r="M105" s="6">
        <f t="shared" si="38"/>
        <v>2.7508739999999999E-3</v>
      </c>
      <c r="N105" s="6">
        <f t="shared" si="38"/>
        <v>2.5091169999999999E-2</v>
      </c>
      <c r="O105" s="6">
        <f t="shared" si="38"/>
        <v>1.73893E-2</v>
      </c>
      <c r="P105" s="6">
        <f t="shared" si="38"/>
        <v>8.9836120000000002E-3</v>
      </c>
      <c r="Q105" s="6">
        <f t="shared" si="38"/>
        <v>2.571917E-2</v>
      </c>
      <c r="R105" s="6">
        <f t="shared" si="38"/>
        <v>-6.7358019999999999E-3</v>
      </c>
      <c r="S105" s="6">
        <f t="shared" si="38"/>
        <v>-1.1230469999999999E-2</v>
      </c>
      <c r="T105" s="6">
        <f t="shared" si="38"/>
        <v>3.214931E-2</v>
      </c>
      <c r="U105" s="6">
        <f t="shared" si="38"/>
        <v>-1.8127919999999999E-2</v>
      </c>
      <c r="V105" s="6">
        <f t="shared" si="38"/>
        <v>-1.9070630000000002E-2</v>
      </c>
      <c r="W105" s="6">
        <f t="shared" si="38"/>
        <v>-2.175713E-2</v>
      </c>
      <c r="X105" s="6">
        <f>G67</f>
        <v>-2.6549819999999998E-2</v>
      </c>
      <c r="Y105" s="6">
        <f t="shared" ref="Y105:AM105" si="39">H67</f>
        <v>-2.935457E-2</v>
      </c>
      <c r="Z105" s="6">
        <f t="shared" si="39"/>
        <v>-2.9194830000000001E-2</v>
      </c>
      <c r="AA105" s="6">
        <f t="shared" si="39"/>
        <v>-3.3211230000000001E-2</v>
      </c>
      <c r="AB105" s="6">
        <f t="shared" si="39"/>
        <v>-3.8331509999999999E-2</v>
      </c>
      <c r="AC105" s="6">
        <f t="shared" si="39"/>
        <v>-4.9025060000000002E-2</v>
      </c>
      <c r="AD105" s="6">
        <f t="shared" si="39"/>
        <v>-9.9831580000000003E-2</v>
      </c>
      <c r="AE105" s="6">
        <f t="shared" si="39"/>
        <v>-0.1235414</v>
      </c>
      <c r="AF105" s="6">
        <f t="shared" si="39"/>
        <v>-0.14218710000000001</v>
      </c>
      <c r="AG105" s="6">
        <f t="shared" si="39"/>
        <v>-0.161027</v>
      </c>
      <c r="AH105" s="6">
        <f t="shared" si="39"/>
        <v>-0.19167229999999999</v>
      </c>
      <c r="AI105" s="6">
        <f t="shared" si="39"/>
        <v>-0.2312737</v>
      </c>
      <c r="AJ105" s="6">
        <f t="shared" si="39"/>
        <v>-0.2533994</v>
      </c>
      <c r="AK105" s="6">
        <f t="shared" si="39"/>
        <v>-0.2844701</v>
      </c>
      <c r="AL105" s="6">
        <f t="shared" si="39"/>
        <v>-0.4704332</v>
      </c>
      <c r="AM105" s="6">
        <f t="shared" si="39"/>
        <v>-0.48386570000000001</v>
      </c>
    </row>
    <row r="106" spans="7:39" x14ac:dyDescent="0.25">
      <c r="G106" s="5">
        <v>15</v>
      </c>
      <c r="H106" s="6">
        <f>G69</f>
        <v>-0.44085259999999998</v>
      </c>
      <c r="I106" s="6">
        <f t="shared" ref="I106:W106" si="40">H69</f>
        <v>6.3657279999999997E-2</v>
      </c>
      <c r="J106" s="6">
        <f t="shared" si="40"/>
        <v>8.6555000000000007E-2</v>
      </c>
      <c r="K106" s="6">
        <f t="shared" si="40"/>
        <v>7.6051240000000006E-2</v>
      </c>
      <c r="L106" s="6">
        <f t="shared" si="40"/>
        <v>6.227589E-2</v>
      </c>
      <c r="M106" s="6">
        <f t="shared" si="40"/>
        <v>2.765656E-3</v>
      </c>
      <c r="N106" s="6">
        <f t="shared" si="40"/>
        <v>2.91872E-2</v>
      </c>
      <c r="O106" s="6">
        <f t="shared" si="40"/>
        <v>2.1228790000000001E-2</v>
      </c>
      <c r="P106" s="6">
        <f t="shared" si="40"/>
        <v>1.210308E-2</v>
      </c>
      <c r="Q106" s="6">
        <f t="shared" si="40"/>
        <v>2.5565149999999998E-2</v>
      </c>
      <c r="R106" s="6">
        <f t="shared" si="40"/>
        <v>-4.4794079999999998E-3</v>
      </c>
      <c r="S106" s="6">
        <f t="shared" si="40"/>
        <v>-9.6173290000000008E-3</v>
      </c>
      <c r="T106" s="6">
        <f t="shared" si="40"/>
        <v>3.23267E-2</v>
      </c>
      <c r="U106" s="6">
        <f t="shared" si="40"/>
        <v>-1.830101E-2</v>
      </c>
      <c r="V106" s="6">
        <f t="shared" si="40"/>
        <v>-2.0145420000000001E-2</v>
      </c>
      <c r="W106" s="6">
        <f t="shared" si="40"/>
        <v>-2.4469850000000001E-2</v>
      </c>
      <c r="X106" s="5">
        <f>G70</f>
        <v>-3.1824110000000003E-2</v>
      </c>
      <c r="Y106" s="5">
        <f t="shared" ref="Y106:AM106" si="41">H70</f>
        <v>-3.7191870000000002E-2</v>
      </c>
      <c r="Z106" s="5">
        <f t="shared" si="41"/>
        <v>-3.6805150000000002E-2</v>
      </c>
      <c r="AA106" s="5">
        <f t="shared" si="41"/>
        <v>-3.8921829999999998E-2</v>
      </c>
      <c r="AB106" s="5">
        <f t="shared" si="41"/>
        <v>-4.0503980000000002E-2</v>
      </c>
      <c r="AC106" s="5">
        <f t="shared" si="41"/>
        <v>-4.7241209999999999E-2</v>
      </c>
      <c r="AD106" s="5">
        <f t="shared" si="41"/>
        <v>-9.3933580000000003E-2</v>
      </c>
      <c r="AE106" s="5">
        <f t="shared" si="41"/>
        <v>-0.11972240000000001</v>
      </c>
      <c r="AF106" s="5">
        <f t="shared" si="41"/>
        <v>-0.13877729999999999</v>
      </c>
      <c r="AG106" s="5">
        <f t="shared" si="41"/>
        <v>-0.15900520000000001</v>
      </c>
      <c r="AH106" s="5">
        <f t="shared" si="41"/>
        <v>-0.19040969999999999</v>
      </c>
      <c r="AI106" s="5">
        <f t="shared" si="41"/>
        <v>-0.23217679999999999</v>
      </c>
      <c r="AJ106" s="5">
        <f t="shared" si="41"/>
        <v>-0.2563472</v>
      </c>
      <c r="AK106" s="5">
        <f t="shared" si="41"/>
        <v>-0.29499769999999997</v>
      </c>
      <c r="AL106" s="5">
        <f t="shared" si="41"/>
        <v>-0.49632019999999999</v>
      </c>
      <c r="AM106" s="5">
        <f t="shared" si="41"/>
        <v>-0.50455570000000005</v>
      </c>
    </row>
    <row r="107" spans="7:39" x14ac:dyDescent="0.25">
      <c r="G107" s="5">
        <v>16</v>
      </c>
      <c r="H107" s="6">
        <f>G72</f>
        <v>-8.6817740000000004E-2</v>
      </c>
      <c r="I107" s="6">
        <f t="shared" ref="I107:W107" si="42">H72</f>
        <v>8.7321759999999998E-2</v>
      </c>
      <c r="J107" s="6">
        <f t="shared" si="42"/>
        <v>7.7440259999999997E-2</v>
      </c>
      <c r="K107" s="6">
        <f t="shared" si="42"/>
        <v>5.4656980000000001E-2</v>
      </c>
      <c r="L107" s="6">
        <f t="shared" si="42"/>
        <v>3.999424E-2</v>
      </c>
      <c r="M107" s="6">
        <f t="shared" si="42"/>
        <v>1.037598E-3</v>
      </c>
      <c r="N107" s="6">
        <f t="shared" si="42"/>
        <v>8.2430839999999995E-3</v>
      </c>
      <c r="O107" s="6">
        <f t="shared" si="42"/>
        <v>2.7298930000000002E-3</v>
      </c>
      <c r="P107" s="6">
        <f t="shared" si="42"/>
        <v>-4.8975939999999999E-3</v>
      </c>
      <c r="Q107" s="6">
        <f t="shared" si="42"/>
        <v>2.4525169999999999E-2</v>
      </c>
      <c r="R107" s="6">
        <f t="shared" si="42"/>
        <v>-2.0620820000000002E-2</v>
      </c>
      <c r="S107" s="6">
        <f t="shared" si="42"/>
        <v>-2.5527480000000002E-2</v>
      </c>
      <c r="T107" s="6">
        <f t="shared" si="42"/>
        <v>3.2858369999999998E-2</v>
      </c>
      <c r="U107" s="6">
        <f t="shared" si="42"/>
        <v>-3.6469939999999999E-2</v>
      </c>
      <c r="V107" s="6">
        <f t="shared" si="42"/>
        <v>-4.021454E-2</v>
      </c>
      <c r="W107" s="6">
        <f t="shared" si="42"/>
        <v>-4.9804689999999999E-2</v>
      </c>
      <c r="X107" s="6">
        <f>G73</f>
        <v>-6.3443659999999999E-2</v>
      </c>
      <c r="Y107" s="6">
        <f t="shared" ref="Y107:AM107" si="43">H73</f>
        <v>-7.5390819999999997E-2</v>
      </c>
      <c r="Z107" s="6">
        <f t="shared" si="43"/>
        <v>-8.4639069999999997E-2</v>
      </c>
      <c r="AA107" s="6">
        <f t="shared" si="43"/>
        <v>-9.1883660000000006E-2</v>
      </c>
      <c r="AB107" s="6">
        <f t="shared" si="43"/>
        <v>-9.5991129999999994E-2</v>
      </c>
      <c r="AC107" s="6">
        <f t="shared" si="43"/>
        <v>-0.1034045</v>
      </c>
      <c r="AD107" s="6">
        <f t="shared" si="43"/>
        <v>-0.1112814</v>
      </c>
      <c r="AE107" s="6">
        <f t="shared" si="43"/>
        <v>-0.1095376</v>
      </c>
      <c r="AF107" s="6">
        <f t="shared" si="43"/>
        <v>-0.1095505</v>
      </c>
      <c r="AG107" s="6">
        <f t="shared" si="43"/>
        <v>-0.10772660000000001</v>
      </c>
      <c r="AH107" s="6">
        <f t="shared" si="43"/>
        <v>-0.10959049999999999</v>
      </c>
      <c r="AI107" s="6">
        <f t="shared" si="43"/>
        <v>-0.1140428</v>
      </c>
      <c r="AJ107" s="6">
        <f t="shared" si="43"/>
        <v>-0.1109943</v>
      </c>
      <c r="AK107" s="6">
        <f t="shared" si="43"/>
        <v>-0.1102214</v>
      </c>
      <c r="AL107" s="6">
        <f t="shared" si="43"/>
        <v>-0.1067896</v>
      </c>
      <c r="AM107" s="6">
        <f t="shared" si="43"/>
        <v>-0.1010804</v>
      </c>
    </row>
    <row r="108" spans="7:39" x14ac:dyDescent="0.25">
      <c r="G108" s="5">
        <v>17</v>
      </c>
      <c r="H108" s="6">
        <f>G75</f>
        <v>-7.2156429999999994E-2</v>
      </c>
      <c r="I108" s="6">
        <f t="shared" ref="I108:W108" si="44">H75</f>
        <v>8.9056969999999999E-2</v>
      </c>
      <c r="J108" s="6">
        <f t="shared" si="44"/>
        <v>7.7795030000000001E-2</v>
      </c>
      <c r="K108" s="6">
        <f t="shared" si="44"/>
        <v>5.5876729999999999E-2</v>
      </c>
      <c r="L108" s="6">
        <f t="shared" si="44"/>
        <v>4.136658E-2</v>
      </c>
      <c r="M108" s="6">
        <f t="shared" si="44"/>
        <v>1.9016269999999999E-3</v>
      </c>
      <c r="N108" s="6">
        <f t="shared" si="44"/>
        <v>1.001024E-2</v>
      </c>
      <c r="O108" s="6">
        <f t="shared" si="44"/>
        <v>3.247738E-3</v>
      </c>
      <c r="P108" s="6">
        <f t="shared" si="44"/>
        <v>-4.8866270000000002E-3</v>
      </c>
      <c r="Q108" s="6">
        <f t="shared" si="44"/>
        <v>2.4178499999999999E-2</v>
      </c>
      <c r="R108" s="6">
        <f t="shared" si="44"/>
        <v>-2.0903109999999999E-2</v>
      </c>
      <c r="S108" s="6">
        <f t="shared" si="44"/>
        <v>-2.6731009999999999E-2</v>
      </c>
      <c r="T108" s="6">
        <f t="shared" si="44"/>
        <v>3.2509330000000003E-2</v>
      </c>
      <c r="U108" s="6">
        <f t="shared" si="44"/>
        <v>-3.9411069999999999E-2</v>
      </c>
      <c r="V108" s="6">
        <f t="shared" si="44"/>
        <v>-4.4041629999999998E-2</v>
      </c>
      <c r="W108" s="6">
        <f t="shared" si="44"/>
        <v>-5.448008E-2</v>
      </c>
      <c r="X108" s="6">
        <f>G76</f>
        <v>-6.7805770000000001E-2</v>
      </c>
      <c r="Y108" s="6">
        <f t="shared" ref="Y108:AM108" si="45">H76</f>
        <v>-8.4745879999999996E-2</v>
      </c>
      <c r="Z108" s="6">
        <f t="shared" si="45"/>
        <v>-9.1701980000000002E-2</v>
      </c>
      <c r="AA108" s="6">
        <f t="shared" si="45"/>
        <v>-9.949827E-2</v>
      </c>
      <c r="AB108" s="6">
        <f t="shared" si="45"/>
        <v>-0.1012301</v>
      </c>
      <c r="AC108" s="6">
        <f t="shared" si="45"/>
        <v>-0.1051955</v>
      </c>
      <c r="AD108" s="6">
        <f t="shared" si="45"/>
        <v>-0.1001687</v>
      </c>
      <c r="AE108" s="6">
        <f t="shared" si="45"/>
        <v>-9.6090320000000007E-2</v>
      </c>
      <c r="AF108" s="6">
        <f t="shared" si="45"/>
        <v>-9.5874310000000004E-2</v>
      </c>
      <c r="AG108" s="6">
        <f t="shared" si="45"/>
        <v>-9.3944070000000005E-2</v>
      </c>
      <c r="AH108" s="6">
        <f t="shared" si="45"/>
        <v>-9.3537330000000002E-2</v>
      </c>
      <c r="AI108" s="6">
        <f t="shared" si="45"/>
        <v>-9.5471379999999995E-2</v>
      </c>
      <c r="AJ108" s="6">
        <f t="shared" si="45"/>
        <v>-9.1901780000000002E-2</v>
      </c>
      <c r="AK108" s="6">
        <f t="shared" si="45"/>
        <v>-9.3339439999999996E-2</v>
      </c>
      <c r="AL108" s="6">
        <f t="shared" si="45"/>
        <v>-9.2010499999999995E-2</v>
      </c>
      <c r="AM108" s="6">
        <f t="shared" si="45"/>
        <v>-9.0196609999999997E-2</v>
      </c>
    </row>
    <row r="109" spans="7:39" x14ac:dyDescent="0.25">
      <c r="G109" s="5">
        <v>18</v>
      </c>
      <c r="H109" s="6">
        <f>G78</f>
        <v>-6.9676879999999997E-2</v>
      </c>
      <c r="I109" s="6">
        <f t="shared" ref="I109:W109" si="46">H78</f>
        <v>8.9862819999999996E-2</v>
      </c>
      <c r="J109" s="6">
        <f t="shared" si="46"/>
        <v>8.0108170000000006E-2</v>
      </c>
      <c r="K109" s="6">
        <f t="shared" si="46"/>
        <v>5.8460709999999999E-2</v>
      </c>
      <c r="L109" s="6">
        <f t="shared" si="46"/>
        <v>4.2737480000000001E-2</v>
      </c>
      <c r="M109" s="6">
        <f t="shared" si="46"/>
        <v>1.9025800000000001E-3</v>
      </c>
      <c r="N109" s="6">
        <f t="shared" si="46"/>
        <v>1.1690620000000001E-2</v>
      </c>
      <c r="O109" s="6">
        <f t="shared" si="46"/>
        <v>5.168438E-3</v>
      </c>
      <c r="P109" s="6">
        <f t="shared" si="46"/>
        <v>-3.237724E-3</v>
      </c>
      <c r="Q109" s="6">
        <f t="shared" si="46"/>
        <v>2.3658749999999999E-2</v>
      </c>
      <c r="R109" s="6">
        <f t="shared" si="46"/>
        <v>-2.049685E-2</v>
      </c>
      <c r="S109" s="6">
        <f t="shared" si="46"/>
        <v>-2.6846890000000002E-2</v>
      </c>
      <c r="T109" s="6">
        <f t="shared" si="46"/>
        <v>3.2509330000000003E-2</v>
      </c>
      <c r="U109" s="6">
        <f t="shared" si="46"/>
        <v>-4.1140080000000002E-2</v>
      </c>
      <c r="V109" s="6">
        <f t="shared" si="46"/>
        <v>-4.6394820000000003E-2</v>
      </c>
      <c r="W109" s="6">
        <f t="shared" si="46"/>
        <v>-5.7263849999999998E-2</v>
      </c>
      <c r="X109" s="5">
        <f>G79</f>
        <v>-7.1440219999999999E-2</v>
      </c>
      <c r="Y109" s="5">
        <f t="shared" ref="Y109:AM109" si="47">H79</f>
        <v>-8.9586730000000003E-2</v>
      </c>
      <c r="Z109" s="5">
        <f t="shared" si="47"/>
        <v>-9.4969269999999995E-2</v>
      </c>
      <c r="AA109" s="5">
        <f t="shared" si="47"/>
        <v>-9.9844929999999998E-2</v>
      </c>
      <c r="AB109" s="5">
        <f t="shared" si="47"/>
        <v>-9.9970340000000005E-2</v>
      </c>
      <c r="AC109" s="5">
        <f t="shared" si="47"/>
        <v>-0.1023331</v>
      </c>
      <c r="AD109" s="5">
        <f t="shared" si="47"/>
        <v>-9.7566130000000001E-2</v>
      </c>
      <c r="AE109" s="5">
        <f t="shared" si="47"/>
        <v>-9.3181130000000001E-2</v>
      </c>
      <c r="AF109" s="5">
        <f t="shared" si="47"/>
        <v>-9.2287060000000004E-2</v>
      </c>
      <c r="AG109" s="5">
        <f t="shared" si="47"/>
        <v>-9.0635300000000002E-2</v>
      </c>
      <c r="AH109" s="5">
        <f t="shared" si="47"/>
        <v>-9.1203690000000004E-2</v>
      </c>
      <c r="AI109" s="5">
        <f t="shared" si="47"/>
        <v>-9.1495989999999999E-2</v>
      </c>
      <c r="AJ109" s="5">
        <f t="shared" si="47"/>
        <v>-8.9622499999999994E-2</v>
      </c>
      <c r="AK109" s="5">
        <f t="shared" si="47"/>
        <v>-8.9896199999999996E-2</v>
      </c>
      <c r="AL109" s="5">
        <f t="shared" si="47"/>
        <v>-8.8543419999999998E-2</v>
      </c>
      <c r="AM109" s="5">
        <f t="shared" si="47"/>
        <v>-8.7518689999999996E-2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109"/>
  <sheetViews>
    <sheetView workbookViewId="0">
      <selection activeCell="A110" sqref="A110:XFD230"/>
    </sheetView>
  </sheetViews>
  <sheetFormatPr defaultRowHeight="15" x14ac:dyDescent="0.25"/>
  <sheetData>
    <row r="1" spans="1:22" x14ac:dyDescent="0.25">
      <c r="B1">
        <v>9116</v>
      </c>
      <c r="C1">
        <v>6742</v>
      </c>
      <c r="D1">
        <v>1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</row>
    <row r="3" spans="1:22" x14ac:dyDescent="0.25">
      <c r="B3">
        <v>9116</v>
      </c>
      <c r="C3">
        <v>6744</v>
      </c>
      <c r="D3">
        <v>1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29</v>
      </c>
    </row>
    <row r="4" spans="1:22" x14ac:dyDescent="0.25">
      <c r="A4" t="s">
        <v>30</v>
      </c>
      <c r="B4" t="s">
        <v>31</v>
      </c>
      <c r="C4" t="s">
        <v>32</v>
      </c>
      <c r="D4" t="s">
        <v>33</v>
      </c>
      <c r="E4" t="s">
        <v>34</v>
      </c>
      <c r="F4" t="s">
        <v>35</v>
      </c>
    </row>
    <row r="5" spans="1:22" x14ac:dyDescent="0.25">
      <c r="A5" t="s">
        <v>36</v>
      </c>
    </row>
    <row r="6" spans="1:22" x14ac:dyDescent="0.25">
      <c r="A6" t="s">
        <v>36</v>
      </c>
    </row>
    <row r="7" spans="1:22" x14ac:dyDescent="0.25">
      <c r="A7" t="s">
        <v>42</v>
      </c>
    </row>
    <row r="8" spans="1:22" x14ac:dyDescent="0.25">
      <c r="A8" t="s">
        <v>98</v>
      </c>
    </row>
    <row r="9" spans="1:22" x14ac:dyDescent="0.25">
      <c r="A9">
        <v>11.244999999999999</v>
      </c>
      <c r="B9">
        <v>9116</v>
      </c>
      <c r="C9">
        <v>6742</v>
      </c>
      <c r="D9">
        <v>1</v>
      </c>
      <c r="E9">
        <v>1</v>
      </c>
      <c r="F9" t="s">
        <v>13</v>
      </c>
      <c r="G9" s="3">
        <v>-6.1464310000000004E-4</v>
      </c>
      <c r="H9" s="3">
        <v>-6.4849850000000002E-4</v>
      </c>
      <c r="I9" s="3">
        <v>-4.6157840000000001E-4</v>
      </c>
      <c r="J9" s="3">
        <v>3.9632319999999999E-2</v>
      </c>
      <c r="K9" s="3">
        <v>-2.5653839999999998E-4</v>
      </c>
      <c r="L9" s="3">
        <v>-6.1178209999999998E-4</v>
      </c>
      <c r="M9" s="3">
        <v>-1.2450219999999999E-3</v>
      </c>
      <c r="N9" s="3">
        <v>-1.192093E-4</v>
      </c>
      <c r="O9" s="3">
        <v>4.3630600000000002E-4</v>
      </c>
      <c r="P9" s="3">
        <v>4.3742179999999999E-2</v>
      </c>
      <c r="Q9" s="3">
        <v>7.2145460000000005E-4</v>
      </c>
      <c r="R9" s="3">
        <v>9.8705290000000004E-5</v>
      </c>
      <c r="S9" s="3">
        <v>1.8774030000000001E-2</v>
      </c>
      <c r="T9" s="3">
        <v>-3.0565259999999999E-4</v>
      </c>
      <c r="U9" s="3">
        <v>2.3031230000000001E-4</v>
      </c>
      <c r="V9" s="3">
        <v>-1.416206E-4</v>
      </c>
    </row>
    <row r="10" spans="1:22" x14ac:dyDescent="0.25">
      <c r="A10">
        <v>11.268000000000001</v>
      </c>
      <c r="B10">
        <v>9116</v>
      </c>
      <c r="C10">
        <v>6744</v>
      </c>
      <c r="D10">
        <v>1</v>
      </c>
      <c r="E10">
        <v>1</v>
      </c>
      <c r="F10" t="s">
        <v>13</v>
      </c>
      <c r="G10" s="3">
        <v>-6.5183639999999996E-4</v>
      </c>
      <c r="H10" s="3">
        <v>-1.280308E-3</v>
      </c>
      <c r="I10" s="3">
        <v>-8.8691710000000004E-5</v>
      </c>
      <c r="J10" s="3">
        <v>3.4039020000000003E-2</v>
      </c>
      <c r="K10" s="3">
        <v>-3.2901760000000001E-5</v>
      </c>
      <c r="L10" s="3">
        <v>-5.0067899999999997E-4</v>
      </c>
      <c r="M10" s="3">
        <v>-1.240253E-3</v>
      </c>
      <c r="N10" s="3">
        <v>9.9182129999999996E-5</v>
      </c>
      <c r="O10" s="3">
        <v>-9.5558169999999997E-4</v>
      </c>
      <c r="P10" s="3">
        <v>3.7574769999999997E-4</v>
      </c>
      <c r="Q10" s="3">
        <v>2.7942659999999998E-4</v>
      </c>
      <c r="R10" s="3">
        <v>-3.8957599999999998E-4</v>
      </c>
      <c r="S10" s="3">
        <v>-1.029968E-3</v>
      </c>
      <c r="T10" s="3">
        <v>3.9672850000000001E-4</v>
      </c>
      <c r="U10" s="3">
        <v>1.037121E-3</v>
      </c>
      <c r="V10" s="3">
        <v>2.0885470000000001E-4</v>
      </c>
    </row>
    <row r="11" spans="1:22" x14ac:dyDescent="0.25">
      <c r="A11" t="s">
        <v>196</v>
      </c>
    </row>
    <row r="12" spans="1:22" x14ac:dyDescent="0.25">
      <c r="A12">
        <v>10661.6</v>
      </c>
      <c r="B12">
        <v>9116</v>
      </c>
      <c r="C12">
        <v>6742</v>
      </c>
      <c r="D12">
        <v>1</v>
      </c>
      <c r="E12">
        <v>1</v>
      </c>
      <c r="F12" t="s">
        <v>13</v>
      </c>
      <c r="G12" s="3">
        <v>-5.5500029999999999E-2</v>
      </c>
      <c r="H12">
        <v>-0.39451649999999999</v>
      </c>
      <c r="I12">
        <v>-0.3406439</v>
      </c>
      <c r="J12">
        <v>-0.27959539999999999</v>
      </c>
      <c r="K12">
        <v>-0.2427058</v>
      </c>
      <c r="L12" s="3">
        <v>-1.8321509999999999E-2</v>
      </c>
      <c r="M12">
        <v>-0.20046520000000001</v>
      </c>
      <c r="N12">
        <v>-0.1736712</v>
      </c>
      <c r="O12">
        <v>-0.15433069999999999</v>
      </c>
      <c r="P12" s="3">
        <v>5.6775569999999997E-2</v>
      </c>
      <c r="Q12">
        <v>-0.1235542</v>
      </c>
      <c r="R12">
        <v>-0.10277940000000001</v>
      </c>
      <c r="S12" s="3">
        <v>7.3609349999999999E-3</v>
      </c>
      <c r="T12" s="3">
        <v>-7.3861120000000002E-2</v>
      </c>
      <c r="U12" s="3">
        <v>-5.5973530000000001E-2</v>
      </c>
      <c r="V12" s="3">
        <v>-4.0332319999999998E-2</v>
      </c>
    </row>
    <row r="13" spans="1:22" x14ac:dyDescent="0.25">
      <c r="A13">
        <v>10661.63</v>
      </c>
      <c r="B13">
        <v>9116</v>
      </c>
      <c r="C13">
        <v>6744</v>
      </c>
      <c r="D13">
        <v>1</v>
      </c>
      <c r="E13">
        <v>1</v>
      </c>
      <c r="F13" t="s">
        <v>13</v>
      </c>
      <c r="G13" s="3">
        <v>-3.4027580000000002E-2</v>
      </c>
      <c r="H13" s="3">
        <v>-2.7612210000000002E-2</v>
      </c>
      <c r="I13" s="3">
        <v>-2.5783540000000001E-2</v>
      </c>
      <c r="J13" s="3">
        <v>-3.0834670000000002E-2</v>
      </c>
      <c r="K13" s="3">
        <v>-3.3898350000000001E-2</v>
      </c>
      <c r="L13" s="3">
        <v>-4.0116310000000002E-2</v>
      </c>
      <c r="M13" s="3">
        <v>-4.4106960000000001E-2</v>
      </c>
      <c r="N13" s="3">
        <v>-3.9921280000000003E-2</v>
      </c>
      <c r="O13" s="3">
        <v>-3.8345810000000001E-2</v>
      </c>
      <c r="P13">
        <v>-3.1943800000000001E-2</v>
      </c>
      <c r="Q13" s="3">
        <v>-2.5138850000000001E-2</v>
      </c>
      <c r="R13" s="3">
        <v>-7.9898829999999997E-3</v>
      </c>
      <c r="S13" s="3">
        <v>7.1616170000000003E-3</v>
      </c>
      <c r="T13" s="3">
        <v>2.8977869999999999E-2</v>
      </c>
      <c r="U13" s="3">
        <v>6.3197610000000001E-2</v>
      </c>
      <c r="V13" s="3">
        <v>9.6571920000000006E-2</v>
      </c>
    </row>
    <row r="14" spans="1:22" x14ac:dyDescent="0.25">
      <c r="A14" t="s">
        <v>197</v>
      </c>
    </row>
    <row r="15" spans="1:22" x14ac:dyDescent="0.25">
      <c r="A15">
        <v>10669.19</v>
      </c>
      <c r="B15">
        <v>9116</v>
      </c>
      <c r="C15">
        <v>6742</v>
      </c>
      <c r="D15">
        <v>1</v>
      </c>
      <c r="E15">
        <v>1</v>
      </c>
      <c r="F15" t="s">
        <v>13</v>
      </c>
      <c r="G15" s="3">
        <v>4.8608779999999999E-3</v>
      </c>
      <c r="H15">
        <v>-0.32014039999999999</v>
      </c>
      <c r="I15">
        <v>-0.29115010000000002</v>
      </c>
      <c r="J15">
        <v>-0.24436240000000001</v>
      </c>
      <c r="K15">
        <v>-0.21482470000000001</v>
      </c>
      <c r="L15" s="3">
        <v>-1.5730379999999999E-2</v>
      </c>
      <c r="M15">
        <v>-0.18103739999999999</v>
      </c>
      <c r="N15">
        <v>-0.16069079999999999</v>
      </c>
      <c r="O15">
        <v>-0.14680860000000001</v>
      </c>
      <c r="P15">
        <v>5.7820799999999999E-2</v>
      </c>
      <c r="Q15">
        <v>-0.1153469</v>
      </c>
      <c r="R15" s="3">
        <v>-9.6515180000000006E-2</v>
      </c>
      <c r="S15" s="3">
        <v>7.1825980000000001E-3</v>
      </c>
      <c r="T15" s="3">
        <v>-6.9514270000000003E-2</v>
      </c>
      <c r="U15" s="3">
        <v>-5.3405279999999999E-2</v>
      </c>
      <c r="V15">
        <v>-3.7596699999999997E-2</v>
      </c>
    </row>
    <row r="16" spans="1:22" x14ac:dyDescent="0.25">
      <c r="A16">
        <v>10669.21</v>
      </c>
      <c r="B16">
        <v>9116</v>
      </c>
      <c r="C16">
        <v>6744</v>
      </c>
      <c r="D16">
        <v>1</v>
      </c>
      <c r="E16">
        <v>1</v>
      </c>
      <c r="F16" t="s">
        <v>13</v>
      </c>
      <c r="G16" s="3">
        <v>-3.1289579999999997E-2</v>
      </c>
      <c r="H16" s="3">
        <v>-2.5440689999999998E-2</v>
      </c>
      <c r="I16" s="3">
        <v>-2.8690810000000001E-2</v>
      </c>
      <c r="J16" s="3">
        <v>-3.3791069999999999E-2</v>
      </c>
      <c r="K16" s="3">
        <v>-3.6984919999999998E-2</v>
      </c>
      <c r="L16">
        <v>-4.3889999999999998E-2</v>
      </c>
      <c r="M16" s="3">
        <v>-5.1244739999999997E-2</v>
      </c>
      <c r="N16">
        <v>-4.8334599999999998E-2</v>
      </c>
      <c r="O16" s="3">
        <v>-4.8462869999999998E-2</v>
      </c>
      <c r="P16" s="3">
        <v>-4.3396949999999997E-2</v>
      </c>
      <c r="Q16" s="3">
        <v>-3.8547520000000002E-2</v>
      </c>
      <c r="R16" s="3">
        <v>-2.3936269999999999E-2</v>
      </c>
      <c r="S16" s="3">
        <v>-1.0232450000000001E-2</v>
      </c>
      <c r="T16" s="3">
        <v>9.6421240000000002E-3</v>
      </c>
      <c r="U16" s="3">
        <v>4.2104240000000001E-2</v>
      </c>
      <c r="V16" s="3">
        <v>7.8266139999999998E-2</v>
      </c>
    </row>
    <row r="17" spans="1:22" x14ac:dyDescent="0.25">
      <c r="A17" t="s">
        <v>198</v>
      </c>
    </row>
    <row r="18" spans="1:22" x14ac:dyDescent="0.25">
      <c r="A18">
        <v>10677.97</v>
      </c>
      <c r="B18">
        <v>9116</v>
      </c>
      <c r="C18">
        <v>6742</v>
      </c>
      <c r="D18">
        <v>1</v>
      </c>
      <c r="E18">
        <v>1</v>
      </c>
      <c r="F18" t="s">
        <v>13</v>
      </c>
      <c r="G18" s="3">
        <v>5.3864479999999999E-2</v>
      </c>
      <c r="H18">
        <v>-0.25906279999999998</v>
      </c>
      <c r="I18">
        <v>-0.2478456</v>
      </c>
      <c r="J18">
        <v>-0.2154799</v>
      </c>
      <c r="K18">
        <v>-0.19209770000000001</v>
      </c>
      <c r="L18" s="3">
        <v>-1.382065E-2</v>
      </c>
      <c r="M18">
        <v>-0.1681309</v>
      </c>
      <c r="N18">
        <v>-0.14841840000000001</v>
      </c>
      <c r="O18">
        <v>-0.13547989999999999</v>
      </c>
      <c r="P18" s="3">
        <v>5.7472710000000003E-2</v>
      </c>
      <c r="Q18">
        <v>-0.10872030000000001</v>
      </c>
      <c r="R18">
        <v>-9.1823100000000005E-2</v>
      </c>
      <c r="S18" s="3">
        <v>7.0042610000000003E-3</v>
      </c>
      <c r="T18" s="3">
        <v>-6.7601679999999997E-2</v>
      </c>
      <c r="U18" s="3">
        <v>-5.1388740000000002E-2</v>
      </c>
      <c r="V18" s="3">
        <v>-3.5596849999999999E-2</v>
      </c>
    </row>
    <row r="19" spans="1:22" x14ac:dyDescent="0.25">
      <c r="A19">
        <v>10677.99</v>
      </c>
      <c r="B19">
        <v>9116</v>
      </c>
      <c r="C19">
        <v>6744</v>
      </c>
      <c r="D19">
        <v>1</v>
      </c>
      <c r="E19">
        <v>1</v>
      </c>
      <c r="F19" t="s">
        <v>13</v>
      </c>
      <c r="G19" s="3">
        <v>-2.8733729999999999E-2</v>
      </c>
      <c r="H19" s="3">
        <v>-1.8594260000000001E-2</v>
      </c>
      <c r="I19" s="3">
        <v>-3.3423420000000002E-2</v>
      </c>
      <c r="J19" s="3">
        <v>-3.8486960000000001E-2</v>
      </c>
      <c r="K19" s="3">
        <v>-4.1706090000000001E-2</v>
      </c>
      <c r="L19" s="3">
        <v>-4.9101350000000002E-2</v>
      </c>
      <c r="M19" s="3">
        <v>-5.9959890000000002E-2</v>
      </c>
      <c r="N19" s="3">
        <v>-5.929852E-2</v>
      </c>
      <c r="O19" s="3">
        <v>-6.0173509999999999E-2</v>
      </c>
      <c r="P19" s="3">
        <v>-5.632496E-2</v>
      </c>
      <c r="Q19" s="3">
        <v>-5.3411479999999997E-2</v>
      </c>
      <c r="R19" s="3">
        <v>-4.1334629999999997E-2</v>
      </c>
      <c r="S19" s="3">
        <v>-2.8867719999999999E-2</v>
      </c>
      <c r="T19">
        <v>-1.1336799999999999E-2</v>
      </c>
      <c r="U19" s="3">
        <v>1.8444060000000002E-2</v>
      </c>
      <c r="V19" s="3">
        <v>5.3158759999999999E-2</v>
      </c>
    </row>
    <row r="20" spans="1:22" x14ac:dyDescent="0.25">
      <c r="A20" t="s">
        <v>199</v>
      </c>
    </row>
    <row r="21" spans="1:22" x14ac:dyDescent="0.25">
      <c r="A21">
        <v>10687.46</v>
      </c>
      <c r="B21">
        <v>9116</v>
      </c>
      <c r="C21">
        <v>6742</v>
      </c>
      <c r="D21">
        <v>1</v>
      </c>
      <c r="E21">
        <v>1</v>
      </c>
      <c r="F21" t="s">
        <v>13</v>
      </c>
      <c r="G21" s="3">
        <v>9.0975280000000006E-2</v>
      </c>
      <c r="H21">
        <v>-0.19948769999999999</v>
      </c>
      <c r="I21">
        <v>-0.20435429999999999</v>
      </c>
      <c r="J21">
        <v>-0.18554970000000001</v>
      </c>
      <c r="K21">
        <v>-0.16902110000000001</v>
      </c>
      <c r="L21">
        <v>-1.22571E-2</v>
      </c>
      <c r="M21">
        <v>-0.15470500000000001</v>
      </c>
      <c r="N21">
        <v>-0.13650470000000001</v>
      </c>
      <c r="O21">
        <v>-0.12634419999999999</v>
      </c>
      <c r="P21" s="3">
        <v>5.7665349999999997E-2</v>
      </c>
      <c r="Q21">
        <v>-0.1041923</v>
      </c>
      <c r="R21" s="3">
        <v>-8.6093429999999999E-2</v>
      </c>
      <c r="S21" s="3">
        <v>6.8235400000000003E-3</v>
      </c>
      <c r="T21" s="3">
        <v>-6.6209320000000002E-2</v>
      </c>
      <c r="U21" s="3">
        <v>-5.0656319999999998E-2</v>
      </c>
      <c r="V21" s="3">
        <v>-3.4692290000000001E-2</v>
      </c>
    </row>
    <row r="22" spans="1:22" x14ac:dyDescent="0.25">
      <c r="A22">
        <v>10687.47</v>
      </c>
      <c r="B22">
        <v>9116</v>
      </c>
      <c r="C22">
        <v>6744</v>
      </c>
      <c r="D22">
        <v>1</v>
      </c>
      <c r="E22">
        <v>1</v>
      </c>
      <c r="F22" t="s">
        <v>13</v>
      </c>
      <c r="G22" s="3">
        <v>-2.763844E-2</v>
      </c>
      <c r="H22" s="3">
        <v>-1.3374810000000001E-2</v>
      </c>
      <c r="I22" s="3">
        <v>-3.6165240000000001E-2</v>
      </c>
      <c r="J22" s="3">
        <v>-4.248714E-2</v>
      </c>
      <c r="K22">
        <v>-4.5882699999999998E-2</v>
      </c>
      <c r="L22" s="3">
        <v>-5.3594589999999998E-2</v>
      </c>
      <c r="M22" s="3">
        <v>-6.8499569999999996E-2</v>
      </c>
      <c r="N22" s="3">
        <v>-6.9704059999999998E-2</v>
      </c>
      <c r="O22" s="3">
        <v>-7.1689130000000004E-2</v>
      </c>
      <c r="P22" s="3">
        <v>-6.9249149999999995E-2</v>
      </c>
      <c r="Q22" s="3">
        <v>-6.8831920000000005E-2</v>
      </c>
      <c r="R22" s="3">
        <v>-5.9822559999999997E-2</v>
      </c>
      <c r="S22" s="3">
        <v>-4.8899169999999999E-2</v>
      </c>
      <c r="T22" s="3">
        <v>-3.5051350000000002E-2</v>
      </c>
      <c r="U22" s="3">
        <v>-8.7027549999999995E-3</v>
      </c>
      <c r="V22" s="3">
        <v>2.411222E-2</v>
      </c>
    </row>
    <row r="23" spans="1:22" x14ac:dyDescent="0.25">
      <c r="A23" t="s">
        <v>200</v>
      </c>
    </row>
    <row r="24" spans="1:22" x14ac:dyDescent="0.25">
      <c r="A24">
        <v>10696.84</v>
      </c>
      <c r="B24">
        <v>9116</v>
      </c>
      <c r="C24">
        <v>6742</v>
      </c>
      <c r="D24">
        <v>1</v>
      </c>
      <c r="E24">
        <v>1</v>
      </c>
      <c r="F24" t="s">
        <v>13</v>
      </c>
      <c r="G24">
        <v>0.1151195</v>
      </c>
      <c r="H24">
        <v>-0.14374970000000001</v>
      </c>
      <c r="I24">
        <v>-0.16282079999999999</v>
      </c>
      <c r="J24">
        <v>-0.15666679999999999</v>
      </c>
      <c r="K24">
        <v>-0.14629220000000001</v>
      </c>
      <c r="L24" s="3">
        <v>-1.0348319999999999E-2</v>
      </c>
      <c r="M24">
        <v>-0.13999510000000001</v>
      </c>
      <c r="N24">
        <v>-0.12458039999999999</v>
      </c>
      <c r="O24">
        <v>-0.1162453</v>
      </c>
      <c r="P24" s="3">
        <v>5.7820320000000001E-2</v>
      </c>
      <c r="Q24" s="3">
        <v>-9.7569470000000005E-2</v>
      </c>
      <c r="R24" s="3">
        <v>-8.5401060000000001E-2</v>
      </c>
      <c r="S24" s="3">
        <v>7.0023539999999997E-3</v>
      </c>
      <c r="T24">
        <v>-6.3253400000000001E-2</v>
      </c>
      <c r="U24" s="3">
        <v>-4.9373630000000002E-2</v>
      </c>
      <c r="V24" s="3">
        <v>-3.3491130000000001E-2</v>
      </c>
    </row>
    <row r="25" spans="1:22" x14ac:dyDescent="0.25">
      <c r="A25">
        <v>10696.87</v>
      </c>
      <c r="B25">
        <v>9116</v>
      </c>
      <c r="C25">
        <v>6744</v>
      </c>
      <c r="D25">
        <v>1</v>
      </c>
      <c r="E25">
        <v>1</v>
      </c>
      <c r="F25" t="s">
        <v>13</v>
      </c>
      <c r="G25" s="3">
        <v>-2.6178360000000001E-2</v>
      </c>
      <c r="H25" s="3">
        <v>-1.0134219999999999E-2</v>
      </c>
      <c r="I25" s="3">
        <v>-3.6159520000000001E-2</v>
      </c>
      <c r="J25" s="3">
        <v>-4.4572830000000001E-2</v>
      </c>
      <c r="K25" s="3">
        <v>-4.9877640000000001E-2</v>
      </c>
      <c r="L25" s="3">
        <v>-5.7727809999999997E-2</v>
      </c>
      <c r="M25" s="3">
        <v>-7.6168540000000007E-2</v>
      </c>
      <c r="N25" s="3">
        <v>-7.9572680000000007E-2</v>
      </c>
      <c r="O25" s="3">
        <v>-8.3032610000000007E-2</v>
      </c>
      <c r="P25" s="3">
        <v>-8.2546229999999998E-2</v>
      </c>
      <c r="Q25" s="3">
        <v>-8.4229470000000001E-2</v>
      </c>
      <c r="R25" s="3">
        <v>-7.830906E-2</v>
      </c>
      <c r="S25" s="3">
        <v>-6.9666389999999995E-2</v>
      </c>
      <c r="T25" s="3">
        <v>-5.9497359999999999E-2</v>
      </c>
      <c r="U25" s="3">
        <v>-3.8961410000000002E-2</v>
      </c>
      <c r="V25">
        <v>-1.01347E-2</v>
      </c>
    </row>
    <row r="26" spans="1:22" x14ac:dyDescent="0.25">
      <c r="A26" t="s">
        <v>201</v>
      </c>
    </row>
    <row r="27" spans="1:22" x14ac:dyDescent="0.25">
      <c r="A27">
        <v>10706.87</v>
      </c>
      <c r="B27">
        <v>9116</v>
      </c>
      <c r="C27">
        <v>6742</v>
      </c>
      <c r="D27">
        <v>1</v>
      </c>
      <c r="E27">
        <v>1</v>
      </c>
      <c r="F27" t="s">
        <v>13</v>
      </c>
      <c r="G27">
        <v>0.1282606</v>
      </c>
      <c r="H27" s="3">
        <v>-9.4624040000000006E-2</v>
      </c>
      <c r="I27">
        <v>-0.12549260000000001</v>
      </c>
      <c r="J27">
        <v>-0.12984229999999999</v>
      </c>
      <c r="K27">
        <v>-0.12562989999999999</v>
      </c>
      <c r="L27" s="3">
        <v>-9.3069079999999992E-3</v>
      </c>
      <c r="M27">
        <v>-0.12726399999999999</v>
      </c>
      <c r="N27">
        <v>-0.11353489999999999</v>
      </c>
      <c r="O27">
        <v>-0.1082273</v>
      </c>
      <c r="P27" s="3">
        <v>5.8168890000000001E-2</v>
      </c>
      <c r="Q27" s="3">
        <v>-9.2338089999999998E-2</v>
      </c>
      <c r="R27" s="3">
        <v>-8.0883029999999995E-2</v>
      </c>
      <c r="S27" s="3">
        <v>6.4678189999999997E-3</v>
      </c>
      <c r="T27" s="3">
        <v>-5.9254170000000002E-2</v>
      </c>
      <c r="U27" s="3">
        <v>-4.7906879999999999E-2</v>
      </c>
      <c r="V27" s="3">
        <v>-3.3673290000000002E-2</v>
      </c>
    </row>
    <row r="28" spans="1:22" x14ac:dyDescent="0.25">
      <c r="A28">
        <v>10706.89</v>
      </c>
      <c r="B28">
        <v>9116</v>
      </c>
      <c r="C28">
        <v>6744</v>
      </c>
      <c r="D28">
        <v>1</v>
      </c>
      <c r="E28">
        <v>1</v>
      </c>
      <c r="F28" t="s">
        <v>13</v>
      </c>
      <c r="G28" s="3">
        <v>-2.6725769999999999E-2</v>
      </c>
      <c r="H28" s="3">
        <v>-7.9722400000000002E-3</v>
      </c>
      <c r="I28" s="3">
        <v>-3.6523819999999999E-2</v>
      </c>
      <c r="J28" s="3">
        <v>-4.3703560000000002E-2</v>
      </c>
      <c r="K28" s="3">
        <v>-5.2964690000000002E-2</v>
      </c>
      <c r="L28" s="3">
        <v>-6.1322210000000002E-2</v>
      </c>
      <c r="M28" s="3">
        <v>-8.3837510000000004E-2</v>
      </c>
      <c r="N28" s="3">
        <v>-8.8891510000000007E-2</v>
      </c>
      <c r="O28" s="3">
        <v>-9.3661789999999995E-2</v>
      </c>
      <c r="P28" s="3">
        <v>-9.5288280000000003E-2</v>
      </c>
      <c r="Q28" s="3">
        <v>-9.9817279999999994E-2</v>
      </c>
      <c r="R28" s="3">
        <v>-9.7337720000000003E-2</v>
      </c>
      <c r="S28" s="3">
        <v>-9.146261E-2</v>
      </c>
      <c r="T28" s="3">
        <v>-8.4851259999999998E-2</v>
      </c>
      <c r="U28" s="3">
        <v>-7.068729E-2</v>
      </c>
      <c r="V28" s="3">
        <v>-4.778814E-2</v>
      </c>
    </row>
    <row r="29" spans="1:22" x14ac:dyDescent="0.25">
      <c r="A29" t="s">
        <v>202</v>
      </c>
    </row>
    <row r="30" spans="1:22" x14ac:dyDescent="0.25">
      <c r="A30">
        <v>10716.05</v>
      </c>
      <c r="B30">
        <v>9116</v>
      </c>
      <c r="C30">
        <v>6742</v>
      </c>
      <c r="D30">
        <v>1</v>
      </c>
      <c r="E30">
        <v>1</v>
      </c>
      <c r="F30" t="s">
        <v>13</v>
      </c>
      <c r="G30">
        <v>0.13093279999999999</v>
      </c>
      <c r="H30" s="3">
        <v>-5.0390240000000003E-2</v>
      </c>
      <c r="I30">
        <v>-8.9202400000000001E-2</v>
      </c>
      <c r="J30">
        <v>-0.1033645</v>
      </c>
      <c r="K30">
        <v>-0.10445119999999999</v>
      </c>
      <c r="L30" s="3">
        <v>-7.9188350000000008E-3</v>
      </c>
      <c r="M30">
        <v>-0.1131253</v>
      </c>
      <c r="N30">
        <v>-0.1023111</v>
      </c>
      <c r="O30">
        <v>-9.82151E-2</v>
      </c>
      <c r="P30" s="3">
        <v>5.8188440000000001E-2</v>
      </c>
      <c r="Q30" s="3">
        <v>-8.6183070000000001E-2</v>
      </c>
      <c r="R30" s="3">
        <v>-7.4977870000000002E-2</v>
      </c>
      <c r="S30" s="3">
        <v>6.4687729999999997E-3</v>
      </c>
      <c r="T30" s="3">
        <v>-6.0471530000000003E-2</v>
      </c>
      <c r="U30" s="3">
        <v>-4.3488980000000003E-2</v>
      </c>
      <c r="V30" s="3">
        <v>-3.2219890000000001E-2</v>
      </c>
    </row>
    <row r="31" spans="1:22" x14ac:dyDescent="0.25">
      <c r="A31">
        <v>10716.07</v>
      </c>
      <c r="B31">
        <v>9116</v>
      </c>
      <c r="C31">
        <v>6744</v>
      </c>
      <c r="D31">
        <v>1</v>
      </c>
      <c r="E31">
        <v>1</v>
      </c>
      <c r="F31" t="s">
        <v>13</v>
      </c>
      <c r="G31" s="3">
        <v>-2.6903630000000001E-2</v>
      </c>
      <c r="H31" s="3">
        <v>-7.6131819999999996E-3</v>
      </c>
      <c r="I31">
        <v>-3.7434099999999998E-2</v>
      </c>
      <c r="J31" s="3">
        <v>-4.5268540000000003E-2</v>
      </c>
      <c r="K31" s="3">
        <v>-5.1335329999999998E-2</v>
      </c>
      <c r="L31" s="3">
        <v>-6.4378260000000007E-2</v>
      </c>
      <c r="M31" s="3">
        <v>-8.9762209999999995E-2</v>
      </c>
      <c r="N31" s="3">
        <v>-9.6944810000000006E-2</v>
      </c>
      <c r="O31">
        <v>-0.10301829999999999</v>
      </c>
      <c r="P31">
        <v>-0.105999</v>
      </c>
      <c r="Q31">
        <v>-0.1132326</v>
      </c>
      <c r="R31">
        <v>-0.1143641</v>
      </c>
      <c r="S31">
        <v>-0.1109643</v>
      </c>
      <c r="T31">
        <v>-0.1092944</v>
      </c>
      <c r="U31">
        <v>-0.1024137</v>
      </c>
      <c r="V31" s="3">
        <v>-8.7413790000000005E-2</v>
      </c>
    </row>
    <row r="32" spans="1:22" x14ac:dyDescent="0.25">
      <c r="A32" t="s">
        <v>203</v>
      </c>
    </row>
    <row r="33" spans="1:22" x14ac:dyDescent="0.25">
      <c r="A33">
        <v>10725.63</v>
      </c>
      <c r="B33">
        <v>9116</v>
      </c>
      <c r="C33">
        <v>6742</v>
      </c>
      <c r="D33">
        <v>1</v>
      </c>
      <c r="E33">
        <v>1</v>
      </c>
      <c r="F33" t="s">
        <v>13</v>
      </c>
      <c r="G33">
        <v>0.1264806</v>
      </c>
      <c r="H33" s="3">
        <v>-8.0976490000000002E-3</v>
      </c>
      <c r="I33" s="3">
        <v>-5.3264619999999999E-2</v>
      </c>
      <c r="J33" s="3">
        <v>-7.6012129999999997E-2</v>
      </c>
      <c r="K33" s="3">
        <v>-8.1891060000000002E-2</v>
      </c>
      <c r="L33" s="3">
        <v>-6.1683650000000003E-3</v>
      </c>
      <c r="M33" s="3">
        <v>-9.7221849999999999E-2</v>
      </c>
      <c r="N33" s="3">
        <v>-8.8816640000000002E-2</v>
      </c>
      <c r="O33" s="3">
        <v>-8.7160589999999996E-2</v>
      </c>
      <c r="P33" s="3">
        <v>5.8188440000000001E-2</v>
      </c>
      <c r="Q33" s="3">
        <v>-7.851553E-2</v>
      </c>
      <c r="R33" s="3">
        <v>-6.8846229999999994E-2</v>
      </c>
      <c r="S33" s="3">
        <v>6.4687729999999997E-3</v>
      </c>
      <c r="T33" s="3">
        <v>-5.6297779999999999E-2</v>
      </c>
      <c r="U33" s="3">
        <v>-4.3306829999999998E-2</v>
      </c>
      <c r="V33" s="3">
        <v>-3.0838009999999999E-2</v>
      </c>
    </row>
    <row r="34" spans="1:22" x14ac:dyDescent="0.25">
      <c r="A34">
        <v>10725.65</v>
      </c>
      <c r="B34">
        <v>9116</v>
      </c>
      <c r="C34">
        <v>6744</v>
      </c>
      <c r="D34">
        <v>1</v>
      </c>
      <c r="E34">
        <v>1</v>
      </c>
      <c r="F34" t="s">
        <v>13</v>
      </c>
      <c r="G34" s="3">
        <v>-2.581263E-2</v>
      </c>
      <c r="H34" s="3">
        <v>-8.4648129999999999E-3</v>
      </c>
      <c r="I34" s="3">
        <v>-3.6159520000000001E-2</v>
      </c>
      <c r="J34" s="3">
        <v>-4.5095919999999998E-2</v>
      </c>
      <c r="K34" s="3">
        <v>-5.2969929999999998E-2</v>
      </c>
      <c r="L34" s="3">
        <v>-6.6354270000000007E-2</v>
      </c>
      <c r="M34" s="3">
        <v>-9.4815250000000004E-2</v>
      </c>
      <c r="N34">
        <v>-0.1046081</v>
      </c>
      <c r="O34">
        <v>-0.1120172</v>
      </c>
      <c r="P34">
        <v>-0.11689570000000001</v>
      </c>
      <c r="Q34">
        <v>-0.12664890000000001</v>
      </c>
      <c r="R34">
        <v>-0.13195509999999999</v>
      </c>
      <c r="S34">
        <v>-0.1313705</v>
      </c>
      <c r="T34">
        <v>-0.1346493</v>
      </c>
      <c r="U34">
        <v>-0.136517</v>
      </c>
      <c r="V34">
        <v>-0.13222690000000001</v>
      </c>
    </row>
    <row r="35" spans="1:22" x14ac:dyDescent="0.25">
      <c r="A35" t="s">
        <v>204</v>
      </c>
    </row>
    <row r="36" spans="1:22" x14ac:dyDescent="0.25">
      <c r="A36">
        <v>10735</v>
      </c>
      <c r="B36">
        <v>9116</v>
      </c>
      <c r="C36">
        <v>6742</v>
      </c>
      <c r="D36">
        <v>1</v>
      </c>
      <c r="E36">
        <v>1</v>
      </c>
      <c r="F36" t="s">
        <v>13</v>
      </c>
      <c r="G36">
        <v>0.11138629999999999</v>
      </c>
      <c r="H36" s="3">
        <v>2.7480129999999998E-2</v>
      </c>
      <c r="I36" s="3">
        <v>-2.1034239999999999E-2</v>
      </c>
      <c r="J36" s="3">
        <v>-5.055904E-2</v>
      </c>
      <c r="K36">
        <v>-6.1052799999999997E-2</v>
      </c>
      <c r="L36" s="3">
        <v>-4.6057700000000003E-3</v>
      </c>
      <c r="M36" s="3">
        <v>-8.2721710000000004E-2</v>
      </c>
      <c r="N36" s="3">
        <v>-7.6717380000000002E-2</v>
      </c>
      <c r="O36" s="3">
        <v>-7.6353069999999995E-2</v>
      </c>
      <c r="P36" s="3">
        <v>5.8536530000000003E-2</v>
      </c>
      <c r="Q36" s="3">
        <v>-7.1364880000000006E-2</v>
      </c>
      <c r="R36" s="3">
        <v>-6.3458920000000002E-2</v>
      </c>
      <c r="S36" s="3">
        <v>7.538795E-3</v>
      </c>
      <c r="T36" s="3">
        <v>-5.194998E-2</v>
      </c>
      <c r="U36" s="3">
        <v>-4.4406889999999997E-2</v>
      </c>
      <c r="V36" s="3">
        <v>-2.8110030000000001E-2</v>
      </c>
    </row>
    <row r="37" spans="1:22" x14ac:dyDescent="0.25">
      <c r="A37">
        <v>10735.02</v>
      </c>
      <c r="B37">
        <v>9116</v>
      </c>
      <c r="C37">
        <v>6744</v>
      </c>
      <c r="D37">
        <v>1</v>
      </c>
      <c r="E37">
        <v>1</v>
      </c>
      <c r="F37" t="s">
        <v>13</v>
      </c>
      <c r="G37" s="3">
        <v>-2.5082589999999998E-2</v>
      </c>
      <c r="H37" s="3">
        <v>-8.4648129999999999E-3</v>
      </c>
      <c r="I37" s="3">
        <v>-3.5249709999999997E-2</v>
      </c>
      <c r="J37">
        <v>-4.49214E-2</v>
      </c>
      <c r="K37">
        <v>-5.4240700000000003E-2</v>
      </c>
      <c r="L37" s="3">
        <v>-7.0846560000000003E-2</v>
      </c>
      <c r="M37">
        <v>-0.1009154</v>
      </c>
      <c r="N37">
        <v>-0.1126475</v>
      </c>
      <c r="O37">
        <v>-0.12174509999999999</v>
      </c>
      <c r="P37">
        <v>-0.12834409999999999</v>
      </c>
      <c r="Q37">
        <v>-0.14132929999999999</v>
      </c>
      <c r="R37">
        <v>-0.1508002</v>
      </c>
      <c r="S37">
        <v>-0.15263650000000001</v>
      </c>
      <c r="T37">
        <v>-0.16200639999999999</v>
      </c>
      <c r="U37">
        <v>-0.17410419999999999</v>
      </c>
      <c r="V37">
        <v>-0.18223809999999999</v>
      </c>
    </row>
    <row r="38" spans="1:22" x14ac:dyDescent="0.25">
      <c r="A38" t="s">
        <v>205</v>
      </c>
    </row>
    <row r="39" spans="1:22" x14ac:dyDescent="0.25">
      <c r="A39">
        <v>10744.88</v>
      </c>
      <c r="B39">
        <v>9116</v>
      </c>
      <c r="C39">
        <v>6742</v>
      </c>
      <c r="D39">
        <v>1</v>
      </c>
      <c r="E39">
        <v>1</v>
      </c>
      <c r="F39" t="s">
        <v>13</v>
      </c>
      <c r="G39">
        <v>8.3341600000000002E-2</v>
      </c>
      <c r="H39" s="3">
        <v>5.9782979999999999E-2</v>
      </c>
      <c r="I39" s="3">
        <v>1.030731E-2</v>
      </c>
      <c r="J39" s="3">
        <v>-2.4421689999999999E-2</v>
      </c>
      <c r="K39" s="3">
        <v>-3.8836959999999997E-2</v>
      </c>
      <c r="L39" s="3">
        <v>-3.391743E-3</v>
      </c>
      <c r="M39" s="3">
        <v>-6.5528870000000003E-2</v>
      </c>
      <c r="N39">
        <v>-6.2512399999999996E-2</v>
      </c>
      <c r="O39" s="3">
        <v>-6.4769740000000006E-2</v>
      </c>
      <c r="P39" s="3">
        <v>5.8516980000000003E-2</v>
      </c>
      <c r="Q39" s="3">
        <v>-6.3171859999999996E-2</v>
      </c>
      <c r="R39" s="3">
        <v>-5.6683539999999998E-2</v>
      </c>
      <c r="S39" s="3">
        <v>6.8259239999999997E-3</v>
      </c>
      <c r="T39" s="3">
        <v>-4.7602650000000003E-2</v>
      </c>
      <c r="U39" s="3">
        <v>-3.9456369999999998E-2</v>
      </c>
      <c r="V39">
        <v>-3.07703E-2</v>
      </c>
    </row>
    <row r="40" spans="1:22" x14ac:dyDescent="0.25">
      <c r="A40">
        <v>10744.9</v>
      </c>
      <c r="B40">
        <v>9116</v>
      </c>
      <c r="C40">
        <v>6744</v>
      </c>
      <c r="D40">
        <v>1</v>
      </c>
      <c r="E40">
        <v>1</v>
      </c>
      <c r="F40" t="s">
        <v>13</v>
      </c>
      <c r="G40">
        <v>-2.45347E-2</v>
      </c>
      <c r="H40" s="3">
        <v>-9.3641279999999993E-3</v>
      </c>
      <c r="I40" s="3">
        <v>-3.3246989999999997E-2</v>
      </c>
      <c r="J40" s="3">
        <v>-4.457378E-2</v>
      </c>
      <c r="K40" s="3">
        <v>-5.4422860000000003E-2</v>
      </c>
      <c r="L40" s="3">
        <v>-7.2470190000000004E-2</v>
      </c>
      <c r="M40">
        <v>-0.1077132</v>
      </c>
      <c r="N40">
        <v>-0.1206875</v>
      </c>
      <c r="O40">
        <v>-0.1311088</v>
      </c>
      <c r="P40">
        <v>-0.14034749999999999</v>
      </c>
      <c r="Q40">
        <v>-0.1547413</v>
      </c>
      <c r="R40">
        <v>-0.16910310000000001</v>
      </c>
      <c r="S40">
        <v>-0.17507410000000001</v>
      </c>
      <c r="T40">
        <v>-0.19027759999999999</v>
      </c>
      <c r="U40">
        <v>-0.21444270000000001</v>
      </c>
      <c r="V40">
        <v>-0.2367234</v>
      </c>
    </row>
    <row r="41" spans="1:22" x14ac:dyDescent="0.25">
      <c r="A41" t="s">
        <v>206</v>
      </c>
    </row>
    <row r="42" spans="1:22" x14ac:dyDescent="0.25">
      <c r="A42">
        <v>10753.84</v>
      </c>
      <c r="B42">
        <v>9116</v>
      </c>
      <c r="C42">
        <v>6742</v>
      </c>
      <c r="D42">
        <v>1</v>
      </c>
      <c r="E42">
        <v>1</v>
      </c>
      <c r="F42" t="s">
        <v>13</v>
      </c>
      <c r="G42" s="3">
        <v>4.1081909999999999E-2</v>
      </c>
      <c r="H42" s="3">
        <v>8.4621429999999997E-2</v>
      </c>
      <c r="I42" s="3">
        <v>3.7080759999999997E-2</v>
      </c>
      <c r="J42" s="3">
        <v>-8.5782999999999996E-4</v>
      </c>
      <c r="K42" s="3">
        <v>-1.8513680000000001E-2</v>
      </c>
      <c r="L42" s="3">
        <v>-2.1767620000000001E-3</v>
      </c>
      <c r="M42" s="3">
        <v>-5.0142770000000003E-2</v>
      </c>
      <c r="N42" s="3">
        <v>-4.9886229999999997E-2</v>
      </c>
      <c r="O42" s="3">
        <v>-5.3089619999999997E-2</v>
      </c>
      <c r="P42" s="3">
        <v>5.8516980000000003E-2</v>
      </c>
      <c r="Q42" s="3">
        <v>-5.5672649999999997E-2</v>
      </c>
      <c r="R42" s="3">
        <v>-5.0253869999999999E-2</v>
      </c>
      <c r="S42" s="3">
        <v>6.8259239999999997E-3</v>
      </c>
      <c r="T42" s="3">
        <v>-4.2733189999999997E-2</v>
      </c>
      <c r="U42" s="3">
        <v>-3.578949E-2</v>
      </c>
      <c r="V42" s="3">
        <v>-3.0588150000000001E-2</v>
      </c>
    </row>
    <row r="43" spans="1:22" x14ac:dyDescent="0.25">
      <c r="A43">
        <v>10753.87</v>
      </c>
      <c r="B43">
        <v>9116</v>
      </c>
      <c r="C43">
        <v>6744</v>
      </c>
      <c r="D43">
        <v>1</v>
      </c>
      <c r="E43">
        <v>1</v>
      </c>
      <c r="F43" t="s">
        <v>13</v>
      </c>
      <c r="G43" s="3">
        <v>-2.5995250000000001E-2</v>
      </c>
      <c r="H43" s="3">
        <v>-1.206636E-2</v>
      </c>
      <c r="I43" s="3">
        <v>-3.2882689999999999E-2</v>
      </c>
      <c r="J43" s="3">
        <v>-4.4400219999999997E-2</v>
      </c>
      <c r="K43" s="3">
        <v>-5.5693630000000001E-2</v>
      </c>
      <c r="L43" s="3">
        <v>-7.3907849999999997E-2</v>
      </c>
      <c r="M43">
        <v>-0.11207010000000001</v>
      </c>
      <c r="N43">
        <v>-0.13091900000000001</v>
      </c>
      <c r="O43">
        <v>-0.141377</v>
      </c>
      <c r="P43">
        <v>-0.15179590000000001</v>
      </c>
      <c r="Q43">
        <v>-0.16960239999999999</v>
      </c>
      <c r="R43">
        <v>-0.18867249999999999</v>
      </c>
      <c r="S43">
        <v>-0.1980982</v>
      </c>
      <c r="T43">
        <v>-0.2200027</v>
      </c>
      <c r="U43">
        <v>-0.25550840000000002</v>
      </c>
      <c r="V43">
        <v>-0.2946086</v>
      </c>
    </row>
    <row r="44" spans="1:22" x14ac:dyDescent="0.25">
      <c r="A44" t="s">
        <v>207</v>
      </c>
    </row>
    <row r="45" spans="1:22" x14ac:dyDescent="0.25">
      <c r="A45">
        <v>10763.35</v>
      </c>
      <c r="B45">
        <v>9116</v>
      </c>
      <c r="C45">
        <v>6742</v>
      </c>
      <c r="D45">
        <v>1</v>
      </c>
      <c r="E45">
        <v>1</v>
      </c>
      <c r="F45" t="s">
        <v>13</v>
      </c>
      <c r="G45" s="3">
        <v>-1.4839649999999999E-2</v>
      </c>
      <c r="H45">
        <v>0.10377119999999999</v>
      </c>
      <c r="I45" s="3">
        <v>6.0842510000000002E-2</v>
      </c>
      <c r="J45" s="3">
        <v>2.115154E-2</v>
      </c>
      <c r="K45" s="3">
        <v>7.7581410000000003E-4</v>
      </c>
      <c r="L45" s="3">
        <v>-9.7417830000000002E-4</v>
      </c>
      <c r="M45" s="3">
        <v>-3.4946440000000002E-2</v>
      </c>
      <c r="N45" s="3">
        <v>-3.6381240000000002E-2</v>
      </c>
      <c r="O45" s="3">
        <v>-4.1949269999999997E-2</v>
      </c>
      <c r="P45" s="3">
        <v>5.8711050000000001E-2</v>
      </c>
      <c r="Q45" s="3">
        <v>-4.7307969999999998E-2</v>
      </c>
      <c r="R45" s="3">
        <v>-4.435062E-2</v>
      </c>
      <c r="S45" s="3">
        <v>6.1111450000000001E-3</v>
      </c>
      <c r="T45" s="3">
        <v>-3.8211349999999998E-2</v>
      </c>
      <c r="U45" s="3">
        <v>-3.1555649999999998E-2</v>
      </c>
      <c r="V45" s="3">
        <v>-2.5383470000000002E-2</v>
      </c>
    </row>
    <row r="46" spans="1:22" x14ac:dyDescent="0.25">
      <c r="A46">
        <v>10763.37</v>
      </c>
      <c r="B46">
        <v>9116</v>
      </c>
      <c r="C46">
        <v>6744</v>
      </c>
      <c r="D46">
        <v>1</v>
      </c>
      <c r="E46">
        <v>1</v>
      </c>
      <c r="F46" t="s">
        <v>13</v>
      </c>
      <c r="G46" s="3">
        <v>-2.3257259999999998E-2</v>
      </c>
      <c r="H46" s="3">
        <v>-1.525927E-2</v>
      </c>
      <c r="I46">
        <v>-3.3611299999999997E-2</v>
      </c>
      <c r="J46" s="3">
        <v>-4.5443530000000003E-2</v>
      </c>
      <c r="K46" s="3">
        <v>-5.7509419999999999E-2</v>
      </c>
      <c r="L46" s="3">
        <v>-7.6597689999999996E-2</v>
      </c>
      <c r="M46">
        <v>-0.121489</v>
      </c>
      <c r="N46">
        <v>-0.13841249999999999</v>
      </c>
      <c r="O46">
        <v>-0.15001439999999999</v>
      </c>
      <c r="P46">
        <v>-0.1663847</v>
      </c>
      <c r="Q46">
        <v>-0.18645999999999999</v>
      </c>
      <c r="R46">
        <v>-0.2098632</v>
      </c>
      <c r="S46">
        <v>-0.2230945</v>
      </c>
      <c r="T46">
        <v>-0.2520905</v>
      </c>
      <c r="U46">
        <v>-0.3002338</v>
      </c>
      <c r="V46">
        <v>-0.35624929999999999</v>
      </c>
    </row>
    <row r="47" spans="1:22" x14ac:dyDescent="0.25">
      <c r="A47" t="s">
        <v>208</v>
      </c>
    </row>
    <row r="48" spans="1:22" x14ac:dyDescent="0.25">
      <c r="A48">
        <v>10772.95</v>
      </c>
      <c r="B48">
        <v>9116</v>
      </c>
      <c r="C48">
        <v>6742</v>
      </c>
      <c r="D48">
        <v>1</v>
      </c>
      <c r="E48">
        <v>1</v>
      </c>
      <c r="F48" t="s">
        <v>13</v>
      </c>
      <c r="G48" s="3">
        <v>-7.9995629999999998E-2</v>
      </c>
      <c r="H48">
        <v>0.1140757</v>
      </c>
      <c r="I48" s="3">
        <v>7.9192159999999998E-2</v>
      </c>
      <c r="J48">
        <v>3.94001E-2</v>
      </c>
      <c r="K48" s="3">
        <v>1.7831329999999999E-2</v>
      </c>
      <c r="L48" s="3">
        <v>-9.3460079999999995E-5</v>
      </c>
      <c r="M48" s="3">
        <v>-2.0627019999999999E-2</v>
      </c>
      <c r="N48">
        <v>-2.4806499999999999E-2</v>
      </c>
      <c r="O48" s="3">
        <v>-3.097486E-2</v>
      </c>
      <c r="P48">
        <v>5.8885100000000003E-2</v>
      </c>
      <c r="Q48" s="3">
        <v>-3.911543E-2</v>
      </c>
      <c r="R48" s="3">
        <v>-3.7228579999999997E-2</v>
      </c>
      <c r="S48" s="3">
        <v>6.2928200000000002E-3</v>
      </c>
      <c r="T48" s="3">
        <v>-3.4213069999999998E-2</v>
      </c>
      <c r="U48" s="3">
        <v>-2.7724740000000001E-2</v>
      </c>
      <c r="V48" s="3">
        <v>-2.2225379999999999E-2</v>
      </c>
    </row>
    <row r="49" spans="1:22" x14ac:dyDescent="0.25">
      <c r="A49">
        <v>10772.96</v>
      </c>
      <c r="B49">
        <v>9116</v>
      </c>
      <c r="C49">
        <v>6744</v>
      </c>
      <c r="D49">
        <v>1</v>
      </c>
      <c r="E49">
        <v>1</v>
      </c>
      <c r="F49" t="s">
        <v>13</v>
      </c>
      <c r="G49" s="3">
        <v>-1.960945E-2</v>
      </c>
      <c r="H49" s="3">
        <v>-1.7109389999999999E-2</v>
      </c>
      <c r="I49" s="3">
        <v>-3.288841E-2</v>
      </c>
      <c r="J49" s="3">
        <v>-4.4398310000000003E-2</v>
      </c>
      <c r="K49" s="3">
        <v>-5.8049679999999999E-2</v>
      </c>
      <c r="L49" s="3">
        <v>-7.6597689999999996E-2</v>
      </c>
      <c r="M49">
        <v>-0.1253061</v>
      </c>
      <c r="N49">
        <v>-0.1455526</v>
      </c>
      <c r="O49">
        <v>-0.16153960000000001</v>
      </c>
      <c r="P49">
        <v>-0.17580219999999999</v>
      </c>
      <c r="Q49">
        <v>-0.2002177</v>
      </c>
      <c r="R49">
        <v>-0.2290702</v>
      </c>
      <c r="S49">
        <v>-0.2480192</v>
      </c>
      <c r="T49">
        <v>-0.28655580000000003</v>
      </c>
      <c r="U49">
        <v>-0.34001490000000001</v>
      </c>
      <c r="V49">
        <v>-0.41053489999999998</v>
      </c>
    </row>
    <row r="50" spans="1:22" x14ac:dyDescent="0.25">
      <c r="A50" t="s">
        <v>209</v>
      </c>
    </row>
    <row r="51" spans="1:22" x14ac:dyDescent="0.25">
      <c r="A51">
        <v>10782.27</v>
      </c>
      <c r="B51">
        <v>9116</v>
      </c>
      <c r="C51">
        <v>6742</v>
      </c>
      <c r="D51">
        <v>1</v>
      </c>
      <c r="E51">
        <v>1</v>
      </c>
      <c r="F51" t="s">
        <v>13</v>
      </c>
      <c r="G51">
        <v>-0.14567330000000001</v>
      </c>
      <c r="H51">
        <v>0.1195369</v>
      </c>
      <c r="I51" s="3">
        <v>9.2227939999999994E-2</v>
      </c>
      <c r="J51" s="3">
        <v>5.3678040000000003E-2</v>
      </c>
      <c r="K51">
        <v>3.0405999999999999E-2</v>
      </c>
      <c r="L51" s="3">
        <v>7.7438349999999997E-4</v>
      </c>
      <c r="M51" s="3">
        <v>-1.072264E-2</v>
      </c>
      <c r="N51" s="3">
        <v>-1.5862459999999998E-2</v>
      </c>
      <c r="O51" s="3">
        <v>-2.3652550000000001E-2</v>
      </c>
      <c r="P51" s="3">
        <v>5.9059140000000003E-2</v>
      </c>
      <c r="Q51" s="3">
        <v>-3.4231659999999997E-2</v>
      </c>
      <c r="R51" s="3">
        <v>-3.3578869999999997E-2</v>
      </c>
      <c r="S51" s="3">
        <v>5.5799480000000004E-3</v>
      </c>
      <c r="T51" s="3">
        <v>-3.2648089999999998E-2</v>
      </c>
      <c r="U51" s="3">
        <v>-2.7541639999999999E-2</v>
      </c>
      <c r="V51" s="3">
        <v>-2.277088E-2</v>
      </c>
    </row>
    <row r="52" spans="1:22" x14ac:dyDescent="0.25">
      <c r="A52">
        <v>10782.29</v>
      </c>
      <c r="B52">
        <v>9116</v>
      </c>
      <c r="C52">
        <v>6744</v>
      </c>
      <c r="D52">
        <v>1</v>
      </c>
      <c r="E52">
        <v>1</v>
      </c>
      <c r="F52" t="s">
        <v>13</v>
      </c>
      <c r="G52">
        <v>-2.1069999999999998E-2</v>
      </c>
      <c r="H52" s="3">
        <v>-1.8911359999999999E-2</v>
      </c>
      <c r="I52">
        <v>-3.0885699999999999E-2</v>
      </c>
      <c r="J52" s="3">
        <v>-4.2832849999999999E-2</v>
      </c>
      <c r="K52" s="3">
        <v>-5.7141780000000003E-2</v>
      </c>
      <c r="L52" s="3">
        <v>-7.6597689999999996E-2</v>
      </c>
      <c r="M52">
        <v>-0.12966349999999999</v>
      </c>
      <c r="N52">
        <v>-0.15213009999999999</v>
      </c>
      <c r="O52">
        <v>-0.16946549999999999</v>
      </c>
      <c r="P52">
        <v>-0.18632650000000001</v>
      </c>
      <c r="Q52">
        <v>-0.2143526</v>
      </c>
      <c r="R52">
        <v>-0.243926</v>
      </c>
      <c r="S52">
        <v>-0.24081420000000001</v>
      </c>
      <c r="T52">
        <v>-0.33633180000000001</v>
      </c>
      <c r="U52">
        <v>-0.38070579999999998</v>
      </c>
      <c r="V52">
        <v>-0.46517320000000001</v>
      </c>
    </row>
    <row r="53" spans="1:22" x14ac:dyDescent="0.25">
      <c r="A53" t="s">
        <v>210</v>
      </c>
    </row>
    <row r="54" spans="1:22" x14ac:dyDescent="0.25">
      <c r="A54">
        <v>10792.15</v>
      </c>
      <c r="B54">
        <v>9116</v>
      </c>
      <c r="C54">
        <v>6742</v>
      </c>
      <c r="D54">
        <v>1</v>
      </c>
      <c r="E54">
        <v>1</v>
      </c>
      <c r="F54" t="s">
        <v>13</v>
      </c>
      <c r="G54">
        <v>-0.21861549999999999</v>
      </c>
      <c r="H54">
        <v>0.1212821</v>
      </c>
      <c r="I54">
        <v>0.102787</v>
      </c>
      <c r="J54">
        <v>6.6919800000000002E-2</v>
      </c>
      <c r="K54" s="3">
        <v>4.2979719999999999E-2</v>
      </c>
      <c r="L54" s="3">
        <v>1.29652E-3</v>
      </c>
      <c r="M54" s="3">
        <v>1.049042E-4</v>
      </c>
      <c r="N54">
        <v>-6.9170000000000004E-3</v>
      </c>
      <c r="O54" s="3">
        <v>-1.5035150000000001E-2</v>
      </c>
      <c r="P54" s="3">
        <v>5.9581759999999998E-2</v>
      </c>
      <c r="Q54" s="3">
        <v>-2.8599260000000001E-2</v>
      </c>
      <c r="R54" s="3">
        <v>-2.9759879999999999E-2</v>
      </c>
      <c r="S54" s="3">
        <v>5.3973199999999997E-3</v>
      </c>
      <c r="T54" s="3">
        <v>-3.0907629999999998E-2</v>
      </c>
      <c r="U54" s="3">
        <v>-2.6442529999999999E-2</v>
      </c>
      <c r="V54" s="3">
        <v>-2.3501870000000001E-2</v>
      </c>
    </row>
    <row r="55" spans="1:22" x14ac:dyDescent="0.25">
      <c r="A55">
        <v>10792.17</v>
      </c>
      <c r="B55">
        <v>9116</v>
      </c>
      <c r="C55">
        <v>6744</v>
      </c>
      <c r="D55">
        <v>1</v>
      </c>
      <c r="E55">
        <v>1</v>
      </c>
      <c r="F55" t="s">
        <v>13</v>
      </c>
      <c r="G55" s="3">
        <v>-2.2713179999999999E-2</v>
      </c>
      <c r="H55" s="3">
        <v>-2.1071909999999999E-2</v>
      </c>
      <c r="I55" s="3">
        <v>-3.0516620000000001E-2</v>
      </c>
      <c r="J55" s="3">
        <v>-4.1267869999999998E-2</v>
      </c>
      <c r="K55" s="3">
        <v>-5.6596760000000003E-2</v>
      </c>
      <c r="L55">
        <v>-7.5879100000000005E-2</v>
      </c>
      <c r="M55">
        <v>-0.13332269999999999</v>
      </c>
      <c r="N55">
        <v>-0.15814690000000001</v>
      </c>
      <c r="O55">
        <v>-0.17755989999999999</v>
      </c>
      <c r="P55">
        <v>-0.19684460000000001</v>
      </c>
      <c r="Q55">
        <v>-0.2279658</v>
      </c>
      <c r="R55">
        <v>-0.26458359999999997</v>
      </c>
      <c r="S55">
        <v>-0.28072259999999999</v>
      </c>
      <c r="T55">
        <v>-0.35673139999999998</v>
      </c>
      <c r="U55">
        <v>-0.43313499999999999</v>
      </c>
      <c r="V55">
        <v>-0.52393149999999999</v>
      </c>
    </row>
    <row r="56" spans="1:22" x14ac:dyDescent="0.25">
      <c r="A56" t="s">
        <v>211</v>
      </c>
    </row>
    <row r="57" spans="1:22" x14ac:dyDescent="0.25">
      <c r="A57">
        <v>10801.85</v>
      </c>
      <c r="B57">
        <v>9116</v>
      </c>
      <c r="C57">
        <v>6742</v>
      </c>
      <c r="D57">
        <v>1</v>
      </c>
      <c r="E57">
        <v>1</v>
      </c>
      <c r="F57" t="s">
        <v>13</v>
      </c>
      <c r="G57">
        <v>-0.29633900000000002</v>
      </c>
      <c r="H57">
        <v>0.118187</v>
      </c>
      <c r="I57">
        <v>0.1096549</v>
      </c>
      <c r="J57" s="3">
        <v>7.6892849999999999E-2</v>
      </c>
      <c r="K57">
        <v>5.38311E-2</v>
      </c>
      <c r="L57" s="3">
        <v>1.990318E-3</v>
      </c>
      <c r="M57" s="3">
        <v>9.6020700000000007E-3</v>
      </c>
      <c r="N57" s="3">
        <v>1.6713139999999999E-3</v>
      </c>
      <c r="O57" s="3">
        <v>-7.1940420000000003E-3</v>
      </c>
      <c r="P57" s="3">
        <v>5.9407710000000002E-2</v>
      </c>
      <c r="Q57" s="3">
        <v>-2.3427010000000002E-2</v>
      </c>
      <c r="R57" s="3">
        <v>-2.5417329999999998E-2</v>
      </c>
      <c r="S57" s="3">
        <v>4.6868320000000002E-3</v>
      </c>
      <c r="T57" s="3">
        <v>-2.8471949999999999E-2</v>
      </c>
      <c r="U57" s="3">
        <v>-2.5690560000000001E-2</v>
      </c>
      <c r="V57" s="3">
        <v>-2.3753639999999999E-2</v>
      </c>
    </row>
    <row r="58" spans="1:22" x14ac:dyDescent="0.25">
      <c r="A58">
        <v>10801.87</v>
      </c>
      <c r="B58">
        <v>9116</v>
      </c>
      <c r="C58">
        <v>6744</v>
      </c>
      <c r="D58">
        <v>1</v>
      </c>
      <c r="E58">
        <v>1</v>
      </c>
      <c r="F58" t="s">
        <v>13</v>
      </c>
      <c r="G58" s="3">
        <v>-2.4534230000000001E-2</v>
      </c>
      <c r="H58" s="3">
        <v>-2.2872920000000001E-2</v>
      </c>
      <c r="I58" s="3">
        <v>-3.0151839999999999E-2</v>
      </c>
      <c r="J58" s="3">
        <v>-3.9703370000000002E-2</v>
      </c>
      <c r="K58" s="3">
        <v>-5.4422860000000003E-2</v>
      </c>
      <c r="L58" s="3">
        <v>-7.4441430000000003E-2</v>
      </c>
      <c r="M58">
        <v>-0.1348906</v>
      </c>
      <c r="N58">
        <v>-0.16161919999999999</v>
      </c>
      <c r="O58">
        <v>-0.18247940000000001</v>
      </c>
      <c r="P58">
        <v>-0.20275309999999999</v>
      </c>
      <c r="Q58">
        <v>-0.23719119999999999</v>
      </c>
      <c r="R58">
        <v>-0.2787018</v>
      </c>
      <c r="S58">
        <v>-0.30057050000000002</v>
      </c>
      <c r="T58">
        <v>-0.33231830000000001</v>
      </c>
      <c r="U58">
        <v>-0.48812250000000001</v>
      </c>
      <c r="V58">
        <v>-0.57407620000000004</v>
      </c>
    </row>
    <row r="59" spans="1:22" x14ac:dyDescent="0.25">
      <c r="A59" t="s">
        <v>212</v>
      </c>
    </row>
    <row r="60" spans="1:22" x14ac:dyDescent="0.25">
      <c r="A60">
        <v>10811.82</v>
      </c>
      <c r="B60">
        <v>9116</v>
      </c>
      <c r="C60">
        <v>6742</v>
      </c>
      <c r="D60">
        <v>1</v>
      </c>
      <c r="E60">
        <v>1</v>
      </c>
      <c r="F60" t="s">
        <v>13</v>
      </c>
      <c r="G60">
        <v>-0.38132519999999998</v>
      </c>
      <c r="H60">
        <v>0.1121969</v>
      </c>
      <c r="I60">
        <v>0.1144114</v>
      </c>
      <c r="J60" s="3">
        <v>8.6183070000000001E-2</v>
      </c>
      <c r="K60">
        <v>6.2961100000000006E-2</v>
      </c>
      <c r="L60" s="3">
        <v>2.858162E-3</v>
      </c>
      <c r="M60" s="3">
        <v>1.8799779999999999E-2</v>
      </c>
      <c r="N60" s="3">
        <v>9.3879700000000007E-3</v>
      </c>
      <c r="O60" s="3">
        <v>-5.6886670000000003E-4</v>
      </c>
      <c r="P60" s="3">
        <v>5.9233189999999998E-2</v>
      </c>
      <c r="Q60" s="3">
        <v>-1.8020149999999999E-2</v>
      </c>
      <c r="R60" s="3">
        <v>-2.1941180000000001E-2</v>
      </c>
      <c r="S60" s="3">
        <v>4.508972E-3</v>
      </c>
      <c r="T60" s="3">
        <v>-2.725458E-2</v>
      </c>
      <c r="U60" s="3">
        <v>-2.5507450000000001E-2</v>
      </c>
      <c r="V60" s="3">
        <v>-2.4662489999999999E-2</v>
      </c>
    </row>
    <row r="61" spans="1:22" x14ac:dyDescent="0.25">
      <c r="A61">
        <v>10811.84</v>
      </c>
      <c r="B61">
        <v>9116</v>
      </c>
      <c r="C61">
        <v>6744</v>
      </c>
      <c r="D61">
        <v>1</v>
      </c>
      <c r="E61">
        <v>1</v>
      </c>
      <c r="F61" t="s">
        <v>13</v>
      </c>
      <c r="G61" s="3">
        <v>-2.763796E-2</v>
      </c>
      <c r="H61" s="3">
        <v>-2.7016640000000001E-2</v>
      </c>
      <c r="I61" s="3">
        <v>-3.106213E-2</v>
      </c>
      <c r="J61" s="3">
        <v>-3.9355750000000002E-2</v>
      </c>
      <c r="K61" s="3">
        <v>-5.3333279999999997E-2</v>
      </c>
      <c r="L61" s="3">
        <v>-7.2824479999999997E-2</v>
      </c>
      <c r="M61">
        <v>-0.13698199999999999</v>
      </c>
      <c r="N61">
        <v>-0.16563839999999999</v>
      </c>
      <c r="O61">
        <v>-0.18788289999999999</v>
      </c>
      <c r="P61">
        <v>-0.2106924</v>
      </c>
      <c r="Q61">
        <v>-0.24751999999999999</v>
      </c>
      <c r="R61">
        <v>-0.29391909999999999</v>
      </c>
      <c r="S61">
        <v>-0.32130379999999997</v>
      </c>
      <c r="T61">
        <v>-0.34963939999999999</v>
      </c>
      <c r="U61">
        <v>-0.54309839999999998</v>
      </c>
      <c r="V61">
        <v>-0.61580420000000002</v>
      </c>
    </row>
    <row r="62" spans="1:22" x14ac:dyDescent="0.25">
      <c r="A62" t="s">
        <v>213</v>
      </c>
    </row>
    <row r="63" spans="1:22" x14ac:dyDescent="0.25">
      <c r="A63">
        <v>10822.3</v>
      </c>
      <c r="B63">
        <v>9116</v>
      </c>
      <c r="C63">
        <v>6742</v>
      </c>
      <c r="D63">
        <v>1</v>
      </c>
      <c r="E63">
        <v>1</v>
      </c>
      <c r="F63" t="s">
        <v>13</v>
      </c>
      <c r="G63">
        <v>-0.4684277</v>
      </c>
      <c r="H63">
        <v>0.1042008</v>
      </c>
      <c r="I63">
        <v>0.11708880000000001</v>
      </c>
      <c r="J63" s="3">
        <v>9.4112870000000001E-2</v>
      </c>
      <c r="K63" s="3">
        <v>7.2090150000000006E-2</v>
      </c>
      <c r="L63" s="3">
        <v>3.5529139999999999E-3</v>
      </c>
      <c r="M63" s="3">
        <v>2.715445E-2</v>
      </c>
      <c r="N63" s="3">
        <v>1.7452240000000001E-2</v>
      </c>
      <c r="O63" s="3">
        <v>6.128311E-3</v>
      </c>
      <c r="P63" s="3">
        <v>5.9581759999999998E-2</v>
      </c>
      <c r="Q63" s="3">
        <v>-1.2559890000000001E-2</v>
      </c>
      <c r="R63">
        <v>-1.79472E-2</v>
      </c>
      <c r="S63" s="3">
        <v>4.867077E-3</v>
      </c>
      <c r="T63">
        <v>-2.4820800000000001E-2</v>
      </c>
      <c r="U63">
        <v>-2.4242400000000001E-2</v>
      </c>
      <c r="V63" s="3">
        <v>-2.5499339999999999E-2</v>
      </c>
    </row>
    <row r="64" spans="1:22" x14ac:dyDescent="0.25">
      <c r="A64">
        <v>10822.31</v>
      </c>
      <c r="B64">
        <v>9116</v>
      </c>
      <c r="C64">
        <v>6744</v>
      </c>
      <c r="D64">
        <v>1</v>
      </c>
      <c r="E64">
        <v>1</v>
      </c>
      <c r="F64" t="s">
        <v>13</v>
      </c>
      <c r="G64">
        <v>-3.1476499999999998E-2</v>
      </c>
      <c r="H64" s="3">
        <v>-3.1831739999999997E-2</v>
      </c>
      <c r="I64" s="3">
        <v>-3.3792969999999999E-2</v>
      </c>
      <c r="J64" s="3">
        <v>-4.0225030000000002E-2</v>
      </c>
      <c r="K64" s="3">
        <v>-5.1517010000000002E-2</v>
      </c>
      <c r="L64" s="3">
        <v>-7.0128919999999997E-2</v>
      </c>
      <c r="M64">
        <v>-0.13803579999999999</v>
      </c>
      <c r="N64">
        <v>-0.1685777</v>
      </c>
      <c r="O64">
        <v>-0.19195889999999999</v>
      </c>
      <c r="P64">
        <v>-0.21660090000000001</v>
      </c>
      <c r="Q64">
        <v>-0.25605869999999997</v>
      </c>
      <c r="R64">
        <v>-0.30749270000000001</v>
      </c>
      <c r="S64">
        <v>-0.33851389999999998</v>
      </c>
      <c r="T64">
        <v>-0.36732340000000002</v>
      </c>
      <c r="U64">
        <v>-0.60246560000000005</v>
      </c>
      <c r="V64">
        <v>-0.64160059999999997</v>
      </c>
    </row>
    <row r="65" spans="1:22" x14ac:dyDescent="0.25">
      <c r="A65" t="s">
        <v>214</v>
      </c>
    </row>
    <row r="66" spans="1:22" x14ac:dyDescent="0.25">
      <c r="A66">
        <v>10830.85</v>
      </c>
      <c r="B66">
        <v>9116</v>
      </c>
      <c r="C66">
        <v>6742</v>
      </c>
      <c r="D66">
        <v>1</v>
      </c>
      <c r="E66">
        <v>1</v>
      </c>
      <c r="F66" t="s">
        <v>13</v>
      </c>
      <c r="G66">
        <v>-0.55729249999999997</v>
      </c>
      <c r="H66" s="3">
        <v>9.3287469999999997E-2</v>
      </c>
      <c r="I66">
        <v>0.1168733</v>
      </c>
      <c r="J66" s="3">
        <v>9.9445820000000004E-2</v>
      </c>
      <c r="K66" s="3">
        <v>7.8980449999999994E-2</v>
      </c>
      <c r="L66" s="3">
        <v>4.2471890000000002E-3</v>
      </c>
      <c r="M66" s="3">
        <v>3.4528730000000001E-2</v>
      </c>
      <c r="N66" s="3">
        <v>2.342033E-2</v>
      </c>
      <c r="O66" s="3">
        <v>1.170206E-2</v>
      </c>
      <c r="P66">
        <v>5.9755799999999998E-2</v>
      </c>
      <c r="Q66" s="3">
        <v>-9.598255E-3</v>
      </c>
      <c r="R66" s="3">
        <v>-1.534367E-2</v>
      </c>
      <c r="S66" s="3">
        <v>5.0454139999999998E-3</v>
      </c>
      <c r="T66" s="3">
        <v>-2.4473189999999999E-2</v>
      </c>
      <c r="U66" s="3">
        <v>-2.5690560000000001E-2</v>
      </c>
      <c r="V66" s="3">
        <v>-2.9207230000000001E-2</v>
      </c>
    </row>
    <row r="67" spans="1:22" x14ac:dyDescent="0.25">
      <c r="A67">
        <v>10830.87</v>
      </c>
      <c r="B67">
        <v>9116</v>
      </c>
      <c r="C67">
        <v>6744</v>
      </c>
      <c r="D67">
        <v>1</v>
      </c>
      <c r="E67">
        <v>1</v>
      </c>
      <c r="F67" t="s">
        <v>13</v>
      </c>
      <c r="G67" s="3">
        <v>-3.6589150000000001E-2</v>
      </c>
      <c r="H67" s="3">
        <v>-3.885508E-2</v>
      </c>
      <c r="I67" s="3">
        <v>-3.9623739999999998E-2</v>
      </c>
      <c r="J67" s="3">
        <v>-4.404831E-2</v>
      </c>
      <c r="K67" s="3">
        <v>-5.2424909999999998E-2</v>
      </c>
      <c r="L67">
        <v>-6.8157200000000001E-2</v>
      </c>
      <c r="M67">
        <v>-0.13803579999999999</v>
      </c>
      <c r="N67">
        <v>-0.1716838</v>
      </c>
      <c r="O67">
        <v>-0.1963396</v>
      </c>
      <c r="P67">
        <v>-0.22287889999999999</v>
      </c>
      <c r="Q67">
        <v>-0.26531979999999999</v>
      </c>
      <c r="R67">
        <v>-0.32111450000000002</v>
      </c>
      <c r="S67">
        <v>-0.35662840000000001</v>
      </c>
      <c r="T67">
        <v>-0.39631319999999998</v>
      </c>
      <c r="U67">
        <v>-0.66312499999999996</v>
      </c>
      <c r="V67">
        <v>-0.68726589999999999</v>
      </c>
    </row>
    <row r="68" spans="1:22" x14ac:dyDescent="0.25">
      <c r="A68" t="s">
        <v>215</v>
      </c>
    </row>
    <row r="69" spans="1:22" x14ac:dyDescent="0.25">
      <c r="A69">
        <v>10840.15</v>
      </c>
      <c r="B69">
        <v>9116</v>
      </c>
      <c r="C69">
        <v>6742</v>
      </c>
      <c r="D69">
        <v>1</v>
      </c>
      <c r="E69">
        <v>1</v>
      </c>
      <c r="F69" t="s">
        <v>13</v>
      </c>
      <c r="G69">
        <v>-0.62698980000000004</v>
      </c>
      <c r="H69" s="3">
        <v>8.113194E-2</v>
      </c>
      <c r="I69">
        <v>0.114759</v>
      </c>
      <c r="J69">
        <v>0.10305880000000001</v>
      </c>
      <c r="K69" s="3">
        <v>8.4148410000000007E-2</v>
      </c>
      <c r="L69" s="3">
        <v>4.420757E-3</v>
      </c>
      <c r="M69" s="3">
        <v>3.9834979999999999E-2</v>
      </c>
      <c r="N69" s="3">
        <v>2.833128E-2</v>
      </c>
      <c r="O69" s="3">
        <v>1.6757970000000001E-2</v>
      </c>
      <c r="P69">
        <v>5.9755799999999998E-2</v>
      </c>
      <c r="Q69" s="3">
        <v>-6.1097149999999999E-3</v>
      </c>
      <c r="R69" s="3">
        <v>-1.2562749999999999E-2</v>
      </c>
      <c r="S69" s="3">
        <v>5.223274E-3</v>
      </c>
      <c r="T69" s="3">
        <v>-2.4473189999999999E-2</v>
      </c>
      <c r="U69" s="3">
        <v>-2.715731E-2</v>
      </c>
      <c r="V69" s="3">
        <v>-3.2844539999999998E-2</v>
      </c>
    </row>
    <row r="70" spans="1:22" x14ac:dyDescent="0.25">
      <c r="A70">
        <v>10840.17</v>
      </c>
      <c r="B70">
        <v>9116</v>
      </c>
      <c r="C70">
        <v>6744</v>
      </c>
      <c r="D70">
        <v>1</v>
      </c>
      <c r="E70">
        <v>1</v>
      </c>
      <c r="F70" t="s">
        <v>13</v>
      </c>
      <c r="G70" s="3">
        <v>-4.261351E-2</v>
      </c>
      <c r="H70" s="3">
        <v>-4.8944950000000001E-2</v>
      </c>
      <c r="I70" s="3">
        <v>-4.836178E-2</v>
      </c>
      <c r="J70" s="3">
        <v>-5.204868E-2</v>
      </c>
      <c r="K70" s="3">
        <v>-5.5330280000000003E-2</v>
      </c>
      <c r="L70" s="3">
        <v>-6.4922809999999997E-2</v>
      </c>
      <c r="M70">
        <v>-0.1308899</v>
      </c>
      <c r="N70">
        <v>-0.1665683</v>
      </c>
      <c r="O70">
        <v>-0.19273709999999999</v>
      </c>
      <c r="P70">
        <v>-0.22103310000000001</v>
      </c>
      <c r="Q70">
        <v>-0.26477580000000001</v>
      </c>
      <c r="R70">
        <v>-0.3240132</v>
      </c>
      <c r="S70">
        <v>-0.36277720000000002</v>
      </c>
      <c r="T70">
        <v>-0.41290280000000001</v>
      </c>
      <c r="U70">
        <v>-0.70508000000000004</v>
      </c>
      <c r="V70">
        <v>-0.7216439</v>
      </c>
    </row>
    <row r="71" spans="1:22" x14ac:dyDescent="0.25">
      <c r="A71" t="s">
        <v>216</v>
      </c>
    </row>
    <row r="72" spans="1:22" x14ac:dyDescent="0.25">
      <c r="A72">
        <v>10849.44</v>
      </c>
      <c r="B72">
        <v>9116</v>
      </c>
      <c r="C72">
        <v>6742</v>
      </c>
      <c r="D72">
        <v>1</v>
      </c>
      <c r="E72">
        <v>1</v>
      </c>
      <c r="F72" t="s">
        <v>13</v>
      </c>
      <c r="G72">
        <v>-0.18205450000000001</v>
      </c>
      <c r="H72">
        <v>0.1173368</v>
      </c>
      <c r="I72">
        <v>0.110568</v>
      </c>
      <c r="J72" s="3">
        <v>8.2047460000000003E-2</v>
      </c>
      <c r="K72" s="3">
        <v>6.0030939999999998E-2</v>
      </c>
      <c r="L72" s="3">
        <v>3.0455590000000002E-3</v>
      </c>
      <c r="M72" s="3">
        <v>1.7240519999999999E-2</v>
      </c>
      <c r="N72" s="3">
        <v>7.6355930000000004E-3</v>
      </c>
      <c r="O72" s="3">
        <v>-3.3831600000000001E-3</v>
      </c>
      <c r="P72">
        <v>5.8885100000000003E-2</v>
      </c>
      <c r="Q72">
        <v>-2.49505E-2</v>
      </c>
      <c r="R72" s="3">
        <v>-3.110456E-2</v>
      </c>
      <c r="S72" s="3">
        <v>5.580425E-3</v>
      </c>
      <c r="T72" s="3">
        <v>-4.499388E-2</v>
      </c>
      <c r="U72" s="3">
        <v>-5.0807480000000002E-2</v>
      </c>
      <c r="V72" s="3">
        <v>-5.9751510000000001E-2</v>
      </c>
    </row>
    <row r="73" spans="1:22" x14ac:dyDescent="0.25">
      <c r="A73">
        <v>10849.46</v>
      </c>
      <c r="B73">
        <v>9116</v>
      </c>
      <c r="C73">
        <v>6744</v>
      </c>
      <c r="D73">
        <v>1</v>
      </c>
      <c r="E73">
        <v>1</v>
      </c>
      <c r="F73" t="s">
        <v>13</v>
      </c>
      <c r="G73" s="3">
        <v>-7.802916E-2</v>
      </c>
      <c r="H73" s="3">
        <v>-8.9657310000000004E-2</v>
      </c>
      <c r="I73">
        <v>-9.58643E-2</v>
      </c>
      <c r="J73">
        <v>-0.10265730000000001</v>
      </c>
      <c r="K73">
        <v>-0.1141624</v>
      </c>
      <c r="L73">
        <v>-0.1265588</v>
      </c>
      <c r="M73">
        <v>-0.1723671</v>
      </c>
      <c r="N73">
        <v>-0.18118429999999999</v>
      </c>
      <c r="O73">
        <v>-0.18241260000000001</v>
      </c>
      <c r="P73">
        <v>-0.182445</v>
      </c>
      <c r="Q73">
        <v>-0.18955420000000001</v>
      </c>
      <c r="R73">
        <v>-0.19935659999999999</v>
      </c>
      <c r="S73">
        <v>-0.20003650000000001</v>
      </c>
      <c r="T73">
        <v>-0.1942797</v>
      </c>
      <c r="U73">
        <v>-0.18712899999999999</v>
      </c>
      <c r="V73">
        <v>-0.17363020000000001</v>
      </c>
    </row>
    <row r="74" spans="1:22" x14ac:dyDescent="0.25">
      <c r="A74" t="s">
        <v>217</v>
      </c>
    </row>
    <row r="75" spans="1:22" x14ac:dyDescent="0.25">
      <c r="A75">
        <v>10858.79</v>
      </c>
      <c r="B75">
        <v>9116</v>
      </c>
      <c r="C75">
        <v>6742</v>
      </c>
      <c r="D75">
        <v>1</v>
      </c>
      <c r="E75">
        <v>1</v>
      </c>
      <c r="F75" t="s">
        <v>13</v>
      </c>
      <c r="G75">
        <v>-0.1162057</v>
      </c>
      <c r="H75">
        <v>0.1188912</v>
      </c>
      <c r="I75">
        <v>0.1068344</v>
      </c>
      <c r="J75" s="3">
        <v>7.7598570000000006E-2</v>
      </c>
      <c r="K75" s="3">
        <v>5.6758879999999998E-2</v>
      </c>
      <c r="L75" s="3">
        <v>2.6965140000000001E-3</v>
      </c>
      <c r="M75" s="3">
        <v>1.495171E-2</v>
      </c>
      <c r="N75" s="3">
        <v>5.1794049999999998E-3</v>
      </c>
      <c r="O75" s="3">
        <v>-5.6309699999999999E-3</v>
      </c>
      <c r="P75" s="3">
        <v>5.8904169999999999E-2</v>
      </c>
      <c r="Q75" s="3">
        <v>-2.7729509999999999E-2</v>
      </c>
      <c r="R75">
        <v>-3.5667900000000002E-2</v>
      </c>
      <c r="S75" s="3">
        <v>4.6892169999999999E-3</v>
      </c>
      <c r="T75" s="3">
        <v>-5.2645209999999998E-2</v>
      </c>
      <c r="U75" s="3">
        <v>-5.9602259999999997E-2</v>
      </c>
      <c r="V75" s="3">
        <v>-7.2915079999999993E-2</v>
      </c>
    </row>
    <row r="76" spans="1:22" x14ac:dyDescent="0.25">
      <c r="A76">
        <v>10858.81</v>
      </c>
      <c r="B76">
        <v>9116</v>
      </c>
      <c r="C76">
        <v>6744</v>
      </c>
      <c r="D76">
        <v>1</v>
      </c>
      <c r="E76">
        <v>1</v>
      </c>
      <c r="F76" t="s">
        <v>13</v>
      </c>
      <c r="G76" s="3">
        <v>-9.2811580000000005E-2</v>
      </c>
      <c r="H76">
        <v>-0.11796470000000001</v>
      </c>
      <c r="I76">
        <v>-0.13008790000000001</v>
      </c>
      <c r="J76">
        <v>-0.13952020000000001</v>
      </c>
      <c r="K76">
        <v>-0.1457601</v>
      </c>
      <c r="L76">
        <v>-0.15261079999999999</v>
      </c>
      <c r="M76">
        <v>-0.14605090000000001</v>
      </c>
      <c r="N76">
        <v>-0.1406202</v>
      </c>
      <c r="O76">
        <v>-0.1393218</v>
      </c>
      <c r="P76">
        <v>-0.1366482</v>
      </c>
      <c r="Q76">
        <v>-0.13554430000000001</v>
      </c>
      <c r="R76">
        <v>-0.1370401</v>
      </c>
      <c r="S76">
        <v>-0.1320152</v>
      </c>
      <c r="T76">
        <v>-0.1340942</v>
      </c>
      <c r="U76">
        <v>-0.13121369999999999</v>
      </c>
      <c r="V76">
        <v>-0.12864110000000001</v>
      </c>
    </row>
    <row r="77" spans="1:22" x14ac:dyDescent="0.25">
      <c r="A77" t="s">
        <v>218</v>
      </c>
    </row>
    <row r="78" spans="1:22" x14ac:dyDescent="0.25">
      <c r="A78">
        <v>10868.42</v>
      </c>
      <c r="B78">
        <v>9116</v>
      </c>
      <c r="C78">
        <v>6742</v>
      </c>
      <c r="D78">
        <v>1</v>
      </c>
      <c r="E78">
        <v>1</v>
      </c>
      <c r="F78" t="s">
        <v>13</v>
      </c>
      <c r="G78">
        <v>-0.11549570000000001</v>
      </c>
      <c r="H78">
        <v>0.1203008</v>
      </c>
      <c r="I78">
        <v>0.1096535</v>
      </c>
      <c r="J78" s="3">
        <v>8.1383230000000001E-2</v>
      </c>
      <c r="K78" s="3">
        <v>5.9859750000000003E-2</v>
      </c>
      <c r="L78" s="3">
        <v>2.522945E-3</v>
      </c>
      <c r="M78" s="3">
        <v>1.742792E-2</v>
      </c>
      <c r="N78" s="3">
        <v>7.8101159999999998E-3</v>
      </c>
      <c r="O78" s="3">
        <v>-3.8871769999999999E-3</v>
      </c>
      <c r="P78" s="3">
        <v>5.8904169999999999E-2</v>
      </c>
      <c r="Q78">
        <v>-2.7031900000000001E-2</v>
      </c>
      <c r="R78" s="3">
        <v>-3.5841459999999999E-2</v>
      </c>
      <c r="S78" s="3">
        <v>4.1546819999999998E-3</v>
      </c>
      <c r="T78" s="3">
        <v>-5.403662E-2</v>
      </c>
      <c r="U78" s="3">
        <v>-6.2719349999999993E-2</v>
      </c>
      <c r="V78" s="3">
        <v>-7.7279089999999995E-2</v>
      </c>
    </row>
    <row r="79" spans="1:22" x14ac:dyDescent="0.25">
      <c r="A79">
        <v>10868.44</v>
      </c>
      <c r="B79">
        <v>9116</v>
      </c>
      <c r="C79">
        <v>6744</v>
      </c>
      <c r="D79">
        <v>1</v>
      </c>
      <c r="E79">
        <v>1</v>
      </c>
      <c r="F79" t="s">
        <v>13</v>
      </c>
      <c r="G79" s="3">
        <v>-9.7192290000000001E-2</v>
      </c>
      <c r="H79">
        <v>-0.1219287</v>
      </c>
      <c r="I79">
        <v>-0.13281770000000001</v>
      </c>
      <c r="J79">
        <v>-0.14195440000000001</v>
      </c>
      <c r="K79">
        <v>-0.1477571</v>
      </c>
      <c r="L79">
        <v>-0.15440699999999999</v>
      </c>
      <c r="M79">
        <v>-0.1436114</v>
      </c>
      <c r="N79">
        <v>-0.13696620000000001</v>
      </c>
      <c r="O79">
        <v>-0.1344581</v>
      </c>
      <c r="P79">
        <v>-0.13166330000000001</v>
      </c>
      <c r="Q79">
        <v>-0.13119459999999999</v>
      </c>
      <c r="R79">
        <v>-0.12997249999999999</v>
      </c>
      <c r="S79">
        <v>-0.12832399999999999</v>
      </c>
      <c r="T79">
        <v>-0.1286225</v>
      </c>
      <c r="U79">
        <v>-0.126996</v>
      </c>
      <c r="V79">
        <v>-0.12505579999999999</v>
      </c>
    </row>
    <row r="81" spans="7:39" x14ac:dyDescent="0.25">
      <c r="J81" s="3"/>
      <c r="K81" s="3"/>
      <c r="L81" s="3"/>
      <c r="M81" s="3"/>
      <c r="N81" s="3"/>
      <c r="O81" s="3"/>
      <c r="P81" s="3"/>
      <c r="R81" s="3"/>
      <c r="S81" s="3"/>
      <c r="T81" s="3"/>
      <c r="U81" s="3"/>
      <c r="V81" s="3"/>
    </row>
    <row r="82" spans="7:39" x14ac:dyDescent="0.25">
      <c r="G82" s="3"/>
    </row>
    <row r="84" spans="7:39" x14ac:dyDescent="0.25">
      <c r="G84" s="5"/>
      <c r="H84" s="5" t="s">
        <v>44</v>
      </c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</row>
    <row r="85" spans="7:39" x14ac:dyDescent="0.25">
      <c r="G85" s="5" t="s">
        <v>45</v>
      </c>
      <c r="H85" s="5" t="s">
        <v>14</v>
      </c>
      <c r="I85" s="5" t="s">
        <v>15</v>
      </c>
      <c r="J85" s="5" t="s">
        <v>16</v>
      </c>
      <c r="K85" s="5" t="s">
        <v>17</v>
      </c>
      <c r="L85" s="5" t="s">
        <v>18</v>
      </c>
      <c r="M85" s="5" t="s">
        <v>19</v>
      </c>
      <c r="N85" s="5" t="s">
        <v>20</v>
      </c>
      <c r="O85" s="5" t="s">
        <v>21</v>
      </c>
      <c r="P85" s="5" t="s">
        <v>22</v>
      </c>
      <c r="Q85" s="5" t="s">
        <v>23</v>
      </c>
      <c r="R85" s="5" t="s">
        <v>24</v>
      </c>
      <c r="S85" s="5" t="s">
        <v>25</v>
      </c>
      <c r="T85" s="5" t="s">
        <v>26</v>
      </c>
      <c r="U85" s="5" t="s">
        <v>27</v>
      </c>
      <c r="V85" s="5" t="s">
        <v>28</v>
      </c>
      <c r="W85" s="5" t="s">
        <v>29</v>
      </c>
      <c r="X85" s="5" t="s">
        <v>46</v>
      </c>
      <c r="Y85" s="5" t="s">
        <v>47</v>
      </c>
      <c r="Z85" s="5" t="s">
        <v>48</v>
      </c>
      <c r="AA85" s="5" t="s">
        <v>49</v>
      </c>
      <c r="AB85" s="5" t="s">
        <v>50</v>
      </c>
      <c r="AC85" s="5" t="s">
        <v>51</v>
      </c>
      <c r="AD85" s="5" t="s">
        <v>52</v>
      </c>
      <c r="AE85" s="5" t="s">
        <v>53</v>
      </c>
      <c r="AF85" s="5" t="s">
        <v>54</v>
      </c>
      <c r="AG85" s="5" t="s">
        <v>55</v>
      </c>
      <c r="AH85" s="5" t="s">
        <v>56</v>
      </c>
      <c r="AI85" s="5" t="s">
        <v>57</v>
      </c>
      <c r="AJ85" s="5" t="s">
        <v>58</v>
      </c>
      <c r="AK85" s="5" t="s">
        <v>59</v>
      </c>
      <c r="AL85" s="5" t="s">
        <v>60</v>
      </c>
      <c r="AM85" s="5" t="s">
        <v>61</v>
      </c>
    </row>
    <row r="86" spans="7:39" x14ac:dyDescent="0.25">
      <c r="G86" s="5" t="s">
        <v>62</v>
      </c>
      <c r="H86" s="6">
        <f>G9</f>
        <v>-6.1464310000000004E-4</v>
      </c>
      <c r="I86" s="6">
        <f t="shared" ref="I86:W86" si="0">H9</f>
        <v>-6.4849850000000002E-4</v>
      </c>
      <c r="J86" s="6">
        <f t="shared" si="0"/>
        <v>-4.6157840000000001E-4</v>
      </c>
      <c r="K86" s="6">
        <f t="shared" si="0"/>
        <v>3.9632319999999999E-2</v>
      </c>
      <c r="L86" s="6">
        <f t="shared" si="0"/>
        <v>-2.5653839999999998E-4</v>
      </c>
      <c r="M86" s="6">
        <f t="shared" si="0"/>
        <v>-6.1178209999999998E-4</v>
      </c>
      <c r="N86" s="6">
        <f t="shared" si="0"/>
        <v>-1.2450219999999999E-3</v>
      </c>
      <c r="O86" s="6">
        <f t="shared" si="0"/>
        <v>-1.192093E-4</v>
      </c>
      <c r="P86" s="6">
        <f t="shared" si="0"/>
        <v>4.3630600000000002E-4</v>
      </c>
      <c r="Q86" s="6">
        <f t="shared" si="0"/>
        <v>4.3742179999999999E-2</v>
      </c>
      <c r="R86" s="6">
        <f t="shared" si="0"/>
        <v>7.2145460000000005E-4</v>
      </c>
      <c r="S86" s="6">
        <f t="shared" si="0"/>
        <v>9.8705290000000004E-5</v>
      </c>
      <c r="T86" s="6">
        <f t="shared" si="0"/>
        <v>1.8774030000000001E-2</v>
      </c>
      <c r="U86" s="6">
        <f t="shared" si="0"/>
        <v>-3.0565259999999999E-4</v>
      </c>
      <c r="V86" s="6">
        <f t="shared" si="0"/>
        <v>2.3031230000000001E-4</v>
      </c>
      <c r="W86" s="6">
        <f t="shared" si="0"/>
        <v>-1.416206E-4</v>
      </c>
      <c r="X86" s="6">
        <f>G10</f>
        <v>-6.5183639999999996E-4</v>
      </c>
      <c r="Y86" s="6">
        <f t="shared" ref="Y86:AM86" si="1">H10</f>
        <v>-1.280308E-3</v>
      </c>
      <c r="Z86" s="6">
        <f t="shared" si="1"/>
        <v>-8.8691710000000004E-5</v>
      </c>
      <c r="AA86" s="6">
        <f t="shared" si="1"/>
        <v>3.4039020000000003E-2</v>
      </c>
      <c r="AB86" s="6">
        <f t="shared" si="1"/>
        <v>-3.2901760000000001E-5</v>
      </c>
      <c r="AC86" s="6">
        <f t="shared" si="1"/>
        <v>-5.0067899999999997E-4</v>
      </c>
      <c r="AD86" s="6">
        <f t="shared" si="1"/>
        <v>-1.240253E-3</v>
      </c>
      <c r="AE86" s="6">
        <f t="shared" si="1"/>
        <v>9.9182129999999996E-5</v>
      </c>
      <c r="AF86" s="6">
        <f t="shared" si="1"/>
        <v>-9.5558169999999997E-4</v>
      </c>
      <c r="AG86" s="6">
        <f t="shared" si="1"/>
        <v>3.7574769999999997E-4</v>
      </c>
      <c r="AH86" s="6">
        <f t="shared" si="1"/>
        <v>2.7942659999999998E-4</v>
      </c>
      <c r="AI86" s="6">
        <f t="shared" si="1"/>
        <v>-3.8957599999999998E-4</v>
      </c>
      <c r="AJ86" s="6">
        <f t="shared" si="1"/>
        <v>-1.029968E-3</v>
      </c>
      <c r="AK86" s="6">
        <f t="shared" si="1"/>
        <v>3.9672850000000001E-4</v>
      </c>
      <c r="AL86" s="6">
        <f t="shared" si="1"/>
        <v>1.037121E-3</v>
      </c>
      <c r="AM86" s="6">
        <f t="shared" si="1"/>
        <v>2.0885470000000001E-4</v>
      </c>
    </row>
    <row r="87" spans="7:39" x14ac:dyDescent="0.25">
      <c r="G87" s="5">
        <v>-4</v>
      </c>
      <c r="H87" s="6">
        <f t="shared" ref="H87:W87" si="2">G12</f>
        <v>-5.5500029999999999E-2</v>
      </c>
      <c r="I87" s="6">
        <f t="shared" si="2"/>
        <v>-0.39451649999999999</v>
      </c>
      <c r="J87" s="6">
        <f t="shared" si="2"/>
        <v>-0.3406439</v>
      </c>
      <c r="K87" s="6">
        <f t="shared" si="2"/>
        <v>-0.27959539999999999</v>
      </c>
      <c r="L87" s="6">
        <f t="shared" si="2"/>
        <v>-0.2427058</v>
      </c>
      <c r="M87" s="6">
        <f t="shared" si="2"/>
        <v>-1.8321509999999999E-2</v>
      </c>
      <c r="N87" s="6">
        <f t="shared" si="2"/>
        <v>-0.20046520000000001</v>
      </c>
      <c r="O87" s="6">
        <f t="shared" si="2"/>
        <v>-0.1736712</v>
      </c>
      <c r="P87" s="6">
        <f t="shared" si="2"/>
        <v>-0.15433069999999999</v>
      </c>
      <c r="Q87" s="6">
        <f t="shared" si="2"/>
        <v>5.6775569999999997E-2</v>
      </c>
      <c r="R87" s="6">
        <f t="shared" si="2"/>
        <v>-0.1235542</v>
      </c>
      <c r="S87" s="6">
        <f t="shared" si="2"/>
        <v>-0.10277940000000001</v>
      </c>
      <c r="T87" s="6">
        <f t="shared" si="2"/>
        <v>7.3609349999999999E-3</v>
      </c>
      <c r="U87" s="6">
        <f t="shared" si="2"/>
        <v>-7.3861120000000002E-2</v>
      </c>
      <c r="V87" s="6">
        <f t="shared" si="2"/>
        <v>-5.5973530000000001E-2</v>
      </c>
      <c r="W87" s="6">
        <f t="shared" si="2"/>
        <v>-4.0332319999999998E-2</v>
      </c>
      <c r="X87" s="6">
        <f t="shared" ref="X87:AM87" si="3">G13</f>
        <v>-3.4027580000000002E-2</v>
      </c>
      <c r="Y87" s="6">
        <f t="shared" si="3"/>
        <v>-2.7612210000000002E-2</v>
      </c>
      <c r="Z87" s="6">
        <f t="shared" si="3"/>
        <v>-2.5783540000000001E-2</v>
      </c>
      <c r="AA87" s="6">
        <f t="shared" si="3"/>
        <v>-3.0834670000000002E-2</v>
      </c>
      <c r="AB87" s="6">
        <f t="shared" si="3"/>
        <v>-3.3898350000000001E-2</v>
      </c>
      <c r="AC87" s="6">
        <f t="shared" si="3"/>
        <v>-4.0116310000000002E-2</v>
      </c>
      <c r="AD87" s="6">
        <f t="shared" si="3"/>
        <v>-4.4106960000000001E-2</v>
      </c>
      <c r="AE87" s="6">
        <f t="shared" si="3"/>
        <v>-3.9921280000000003E-2</v>
      </c>
      <c r="AF87" s="6">
        <f t="shared" si="3"/>
        <v>-3.8345810000000001E-2</v>
      </c>
      <c r="AG87" s="6">
        <f t="shared" si="3"/>
        <v>-3.1943800000000001E-2</v>
      </c>
      <c r="AH87" s="6">
        <f t="shared" si="3"/>
        <v>-2.5138850000000001E-2</v>
      </c>
      <c r="AI87" s="6">
        <f t="shared" si="3"/>
        <v>-7.9898829999999997E-3</v>
      </c>
      <c r="AJ87" s="6">
        <f t="shared" si="3"/>
        <v>7.1616170000000003E-3</v>
      </c>
      <c r="AK87" s="6">
        <f t="shared" si="3"/>
        <v>2.8977869999999999E-2</v>
      </c>
      <c r="AL87" s="6">
        <f t="shared" si="3"/>
        <v>6.3197610000000001E-2</v>
      </c>
      <c r="AM87" s="6">
        <f t="shared" si="3"/>
        <v>9.6571920000000006E-2</v>
      </c>
    </row>
    <row r="88" spans="7:39" x14ac:dyDescent="0.25">
      <c r="G88" s="5">
        <v>-3</v>
      </c>
      <c r="H88" s="6">
        <f t="shared" ref="H88:W88" si="4">G15</f>
        <v>4.8608779999999999E-3</v>
      </c>
      <c r="I88" s="6">
        <f t="shared" si="4"/>
        <v>-0.32014039999999999</v>
      </c>
      <c r="J88" s="6">
        <f t="shared" si="4"/>
        <v>-0.29115010000000002</v>
      </c>
      <c r="K88" s="6">
        <f t="shared" si="4"/>
        <v>-0.24436240000000001</v>
      </c>
      <c r="L88" s="6">
        <f t="shared" si="4"/>
        <v>-0.21482470000000001</v>
      </c>
      <c r="M88" s="6">
        <f t="shared" si="4"/>
        <v>-1.5730379999999999E-2</v>
      </c>
      <c r="N88" s="6">
        <f t="shared" si="4"/>
        <v>-0.18103739999999999</v>
      </c>
      <c r="O88" s="6">
        <f t="shared" si="4"/>
        <v>-0.16069079999999999</v>
      </c>
      <c r="P88" s="6">
        <f t="shared" si="4"/>
        <v>-0.14680860000000001</v>
      </c>
      <c r="Q88" s="6">
        <f t="shared" si="4"/>
        <v>5.7820799999999999E-2</v>
      </c>
      <c r="R88" s="6">
        <f t="shared" si="4"/>
        <v>-0.1153469</v>
      </c>
      <c r="S88" s="6">
        <f t="shared" si="4"/>
        <v>-9.6515180000000006E-2</v>
      </c>
      <c r="T88" s="6">
        <f t="shared" si="4"/>
        <v>7.1825980000000001E-3</v>
      </c>
      <c r="U88" s="6">
        <f t="shared" si="4"/>
        <v>-6.9514270000000003E-2</v>
      </c>
      <c r="V88" s="6">
        <f t="shared" si="4"/>
        <v>-5.3405279999999999E-2</v>
      </c>
      <c r="W88" s="6">
        <f t="shared" si="4"/>
        <v>-3.7596699999999997E-2</v>
      </c>
      <c r="X88" s="6">
        <f t="shared" ref="X88:AM88" si="5">G16</f>
        <v>-3.1289579999999997E-2</v>
      </c>
      <c r="Y88" s="6">
        <f t="shared" si="5"/>
        <v>-2.5440689999999998E-2</v>
      </c>
      <c r="Z88" s="6">
        <f t="shared" si="5"/>
        <v>-2.8690810000000001E-2</v>
      </c>
      <c r="AA88" s="6">
        <f t="shared" si="5"/>
        <v>-3.3791069999999999E-2</v>
      </c>
      <c r="AB88" s="6">
        <f t="shared" si="5"/>
        <v>-3.6984919999999998E-2</v>
      </c>
      <c r="AC88" s="6">
        <f t="shared" si="5"/>
        <v>-4.3889999999999998E-2</v>
      </c>
      <c r="AD88" s="6">
        <f t="shared" si="5"/>
        <v>-5.1244739999999997E-2</v>
      </c>
      <c r="AE88" s="6">
        <f t="shared" si="5"/>
        <v>-4.8334599999999998E-2</v>
      </c>
      <c r="AF88" s="6">
        <f t="shared" si="5"/>
        <v>-4.8462869999999998E-2</v>
      </c>
      <c r="AG88" s="6">
        <f t="shared" si="5"/>
        <v>-4.3396949999999997E-2</v>
      </c>
      <c r="AH88" s="6">
        <f t="shared" si="5"/>
        <v>-3.8547520000000002E-2</v>
      </c>
      <c r="AI88" s="6">
        <f t="shared" si="5"/>
        <v>-2.3936269999999999E-2</v>
      </c>
      <c r="AJ88" s="6">
        <f t="shared" si="5"/>
        <v>-1.0232450000000001E-2</v>
      </c>
      <c r="AK88" s="6">
        <f t="shared" si="5"/>
        <v>9.6421240000000002E-3</v>
      </c>
      <c r="AL88" s="6">
        <f t="shared" si="5"/>
        <v>4.2104240000000001E-2</v>
      </c>
      <c r="AM88" s="6">
        <f t="shared" si="5"/>
        <v>7.8266139999999998E-2</v>
      </c>
    </row>
    <row r="89" spans="7:39" x14ac:dyDescent="0.25">
      <c r="G89" s="5">
        <v>-2</v>
      </c>
      <c r="H89" s="6">
        <f t="shared" ref="H89:W89" si="6">G18</f>
        <v>5.3864479999999999E-2</v>
      </c>
      <c r="I89" s="6">
        <f t="shared" si="6"/>
        <v>-0.25906279999999998</v>
      </c>
      <c r="J89" s="6">
        <f t="shared" si="6"/>
        <v>-0.2478456</v>
      </c>
      <c r="K89" s="6">
        <f t="shared" si="6"/>
        <v>-0.2154799</v>
      </c>
      <c r="L89" s="6">
        <f t="shared" si="6"/>
        <v>-0.19209770000000001</v>
      </c>
      <c r="M89" s="6">
        <f t="shared" si="6"/>
        <v>-1.382065E-2</v>
      </c>
      <c r="N89" s="6">
        <f t="shared" si="6"/>
        <v>-0.1681309</v>
      </c>
      <c r="O89" s="6">
        <f t="shared" si="6"/>
        <v>-0.14841840000000001</v>
      </c>
      <c r="P89" s="6">
        <f t="shared" si="6"/>
        <v>-0.13547989999999999</v>
      </c>
      <c r="Q89" s="6">
        <f t="shared" si="6"/>
        <v>5.7472710000000003E-2</v>
      </c>
      <c r="R89" s="6">
        <f t="shared" si="6"/>
        <v>-0.10872030000000001</v>
      </c>
      <c r="S89" s="6">
        <f t="shared" si="6"/>
        <v>-9.1823100000000005E-2</v>
      </c>
      <c r="T89" s="6">
        <f t="shared" si="6"/>
        <v>7.0042610000000003E-3</v>
      </c>
      <c r="U89" s="6">
        <f t="shared" si="6"/>
        <v>-6.7601679999999997E-2</v>
      </c>
      <c r="V89" s="6">
        <f t="shared" si="6"/>
        <v>-5.1388740000000002E-2</v>
      </c>
      <c r="W89" s="6">
        <f t="shared" si="6"/>
        <v>-3.5596849999999999E-2</v>
      </c>
      <c r="X89" s="6">
        <f t="shared" ref="X89:AM89" si="7">G19</f>
        <v>-2.8733729999999999E-2</v>
      </c>
      <c r="Y89" s="6">
        <f t="shared" si="7"/>
        <v>-1.8594260000000001E-2</v>
      </c>
      <c r="Z89" s="6">
        <f t="shared" si="7"/>
        <v>-3.3423420000000002E-2</v>
      </c>
      <c r="AA89" s="6">
        <f t="shared" si="7"/>
        <v>-3.8486960000000001E-2</v>
      </c>
      <c r="AB89" s="6">
        <f t="shared" si="7"/>
        <v>-4.1706090000000001E-2</v>
      </c>
      <c r="AC89" s="6">
        <f t="shared" si="7"/>
        <v>-4.9101350000000002E-2</v>
      </c>
      <c r="AD89" s="6">
        <f t="shared" si="7"/>
        <v>-5.9959890000000002E-2</v>
      </c>
      <c r="AE89" s="6">
        <f t="shared" si="7"/>
        <v>-5.929852E-2</v>
      </c>
      <c r="AF89" s="6">
        <f t="shared" si="7"/>
        <v>-6.0173509999999999E-2</v>
      </c>
      <c r="AG89" s="6">
        <f t="shared" si="7"/>
        <v>-5.632496E-2</v>
      </c>
      <c r="AH89" s="6">
        <f t="shared" si="7"/>
        <v>-5.3411479999999997E-2</v>
      </c>
      <c r="AI89" s="6">
        <f t="shared" si="7"/>
        <v>-4.1334629999999997E-2</v>
      </c>
      <c r="AJ89" s="6">
        <f t="shared" si="7"/>
        <v>-2.8867719999999999E-2</v>
      </c>
      <c r="AK89" s="6">
        <f t="shared" si="7"/>
        <v>-1.1336799999999999E-2</v>
      </c>
      <c r="AL89" s="6">
        <f t="shared" si="7"/>
        <v>1.8444060000000002E-2</v>
      </c>
      <c r="AM89" s="6">
        <f t="shared" si="7"/>
        <v>5.3158759999999999E-2</v>
      </c>
    </row>
    <row r="90" spans="7:39" x14ac:dyDescent="0.25">
      <c r="G90" s="5">
        <v>-1</v>
      </c>
      <c r="H90" s="6">
        <f t="shared" ref="H90:W90" si="8">G21</f>
        <v>9.0975280000000006E-2</v>
      </c>
      <c r="I90" s="6">
        <f t="shared" si="8"/>
        <v>-0.19948769999999999</v>
      </c>
      <c r="J90" s="6">
        <f t="shared" si="8"/>
        <v>-0.20435429999999999</v>
      </c>
      <c r="K90" s="6">
        <f t="shared" si="8"/>
        <v>-0.18554970000000001</v>
      </c>
      <c r="L90" s="6">
        <f t="shared" si="8"/>
        <v>-0.16902110000000001</v>
      </c>
      <c r="M90" s="6">
        <f t="shared" si="8"/>
        <v>-1.22571E-2</v>
      </c>
      <c r="N90" s="6">
        <f t="shared" si="8"/>
        <v>-0.15470500000000001</v>
      </c>
      <c r="O90" s="6">
        <f t="shared" si="8"/>
        <v>-0.13650470000000001</v>
      </c>
      <c r="P90" s="6">
        <f t="shared" si="8"/>
        <v>-0.12634419999999999</v>
      </c>
      <c r="Q90" s="6">
        <f t="shared" si="8"/>
        <v>5.7665349999999997E-2</v>
      </c>
      <c r="R90" s="6">
        <f t="shared" si="8"/>
        <v>-0.1041923</v>
      </c>
      <c r="S90" s="6">
        <f t="shared" si="8"/>
        <v>-8.6093429999999999E-2</v>
      </c>
      <c r="T90" s="6">
        <f t="shared" si="8"/>
        <v>6.8235400000000003E-3</v>
      </c>
      <c r="U90" s="6">
        <f t="shared" si="8"/>
        <v>-6.6209320000000002E-2</v>
      </c>
      <c r="V90" s="6">
        <f t="shared" si="8"/>
        <v>-5.0656319999999998E-2</v>
      </c>
      <c r="W90" s="6">
        <f t="shared" si="8"/>
        <v>-3.4692290000000001E-2</v>
      </c>
      <c r="X90" s="6">
        <f t="shared" ref="X90:AM90" si="9">G22</f>
        <v>-2.763844E-2</v>
      </c>
      <c r="Y90" s="6">
        <f t="shared" si="9"/>
        <v>-1.3374810000000001E-2</v>
      </c>
      <c r="Z90" s="6">
        <f t="shared" si="9"/>
        <v>-3.6165240000000001E-2</v>
      </c>
      <c r="AA90" s="6">
        <f t="shared" si="9"/>
        <v>-4.248714E-2</v>
      </c>
      <c r="AB90" s="6">
        <f t="shared" si="9"/>
        <v>-4.5882699999999998E-2</v>
      </c>
      <c r="AC90" s="6">
        <f t="shared" si="9"/>
        <v>-5.3594589999999998E-2</v>
      </c>
      <c r="AD90" s="6">
        <f t="shared" si="9"/>
        <v>-6.8499569999999996E-2</v>
      </c>
      <c r="AE90" s="6">
        <f t="shared" si="9"/>
        <v>-6.9704059999999998E-2</v>
      </c>
      <c r="AF90" s="6">
        <f t="shared" si="9"/>
        <v>-7.1689130000000004E-2</v>
      </c>
      <c r="AG90" s="6">
        <f t="shared" si="9"/>
        <v>-6.9249149999999995E-2</v>
      </c>
      <c r="AH90" s="6">
        <f t="shared" si="9"/>
        <v>-6.8831920000000005E-2</v>
      </c>
      <c r="AI90" s="6">
        <f t="shared" si="9"/>
        <v>-5.9822559999999997E-2</v>
      </c>
      <c r="AJ90" s="6">
        <f t="shared" si="9"/>
        <v>-4.8899169999999999E-2</v>
      </c>
      <c r="AK90" s="6">
        <f t="shared" si="9"/>
        <v>-3.5051350000000002E-2</v>
      </c>
      <c r="AL90" s="6">
        <f t="shared" si="9"/>
        <v>-8.7027549999999995E-3</v>
      </c>
      <c r="AM90" s="6">
        <f t="shared" si="9"/>
        <v>2.411222E-2</v>
      </c>
    </row>
    <row r="91" spans="7:39" x14ac:dyDescent="0.25">
      <c r="G91" s="5">
        <v>0</v>
      </c>
      <c r="H91" s="6">
        <f t="shared" ref="H91:W91" si="10">G24</f>
        <v>0.1151195</v>
      </c>
      <c r="I91" s="6">
        <f t="shared" si="10"/>
        <v>-0.14374970000000001</v>
      </c>
      <c r="J91" s="6">
        <f t="shared" si="10"/>
        <v>-0.16282079999999999</v>
      </c>
      <c r="K91" s="6">
        <f t="shared" si="10"/>
        <v>-0.15666679999999999</v>
      </c>
      <c r="L91" s="6">
        <f t="shared" si="10"/>
        <v>-0.14629220000000001</v>
      </c>
      <c r="M91" s="6">
        <f t="shared" si="10"/>
        <v>-1.0348319999999999E-2</v>
      </c>
      <c r="N91" s="6">
        <f t="shared" si="10"/>
        <v>-0.13999510000000001</v>
      </c>
      <c r="O91" s="6">
        <f t="shared" si="10"/>
        <v>-0.12458039999999999</v>
      </c>
      <c r="P91" s="6">
        <f t="shared" si="10"/>
        <v>-0.1162453</v>
      </c>
      <c r="Q91" s="6">
        <f t="shared" si="10"/>
        <v>5.7820320000000001E-2</v>
      </c>
      <c r="R91" s="6">
        <f t="shared" si="10"/>
        <v>-9.7569470000000005E-2</v>
      </c>
      <c r="S91" s="6">
        <f t="shared" si="10"/>
        <v>-8.5401060000000001E-2</v>
      </c>
      <c r="T91" s="6">
        <f t="shared" si="10"/>
        <v>7.0023539999999997E-3</v>
      </c>
      <c r="U91" s="6">
        <f t="shared" si="10"/>
        <v>-6.3253400000000001E-2</v>
      </c>
      <c r="V91" s="6">
        <f t="shared" si="10"/>
        <v>-4.9373630000000002E-2</v>
      </c>
      <c r="W91" s="6">
        <f t="shared" si="10"/>
        <v>-3.3491130000000001E-2</v>
      </c>
      <c r="X91" s="6">
        <f t="shared" ref="X91:AM91" si="11">G25</f>
        <v>-2.6178360000000001E-2</v>
      </c>
      <c r="Y91" s="6">
        <f t="shared" si="11"/>
        <v>-1.0134219999999999E-2</v>
      </c>
      <c r="Z91" s="6">
        <f t="shared" si="11"/>
        <v>-3.6159520000000001E-2</v>
      </c>
      <c r="AA91" s="6">
        <f t="shared" si="11"/>
        <v>-4.4572830000000001E-2</v>
      </c>
      <c r="AB91" s="6">
        <f t="shared" si="11"/>
        <v>-4.9877640000000001E-2</v>
      </c>
      <c r="AC91" s="6">
        <f t="shared" si="11"/>
        <v>-5.7727809999999997E-2</v>
      </c>
      <c r="AD91" s="6">
        <f t="shared" si="11"/>
        <v>-7.6168540000000007E-2</v>
      </c>
      <c r="AE91" s="6">
        <f t="shared" si="11"/>
        <v>-7.9572680000000007E-2</v>
      </c>
      <c r="AF91" s="6">
        <f t="shared" si="11"/>
        <v>-8.3032610000000007E-2</v>
      </c>
      <c r="AG91" s="6">
        <f t="shared" si="11"/>
        <v>-8.2546229999999998E-2</v>
      </c>
      <c r="AH91" s="6">
        <f t="shared" si="11"/>
        <v>-8.4229470000000001E-2</v>
      </c>
      <c r="AI91" s="6">
        <f t="shared" si="11"/>
        <v>-7.830906E-2</v>
      </c>
      <c r="AJ91" s="6">
        <f t="shared" si="11"/>
        <v>-6.9666389999999995E-2</v>
      </c>
      <c r="AK91" s="6">
        <f t="shared" si="11"/>
        <v>-5.9497359999999999E-2</v>
      </c>
      <c r="AL91" s="6">
        <f t="shared" si="11"/>
        <v>-3.8961410000000002E-2</v>
      </c>
      <c r="AM91" s="6">
        <f t="shared" si="11"/>
        <v>-1.01347E-2</v>
      </c>
    </row>
    <row r="92" spans="7:39" x14ac:dyDescent="0.25">
      <c r="G92" s="5">
        <v>1</v>
      </c>
      <c r="H92" s="6">
        <f t="shared" ref="H92:W92" si="12">G27</f>
        <v>0.1282606</v>
      </c>
      <c r="I92" s="6">
        <f t="shared" si="12"/>
        <v>-9.4624040000000006E-2</v>
      </c>
      <c r="J92" s="6">
        <f t="shared" si="12"/>
        <v>-0.12549260000000001</v>
      </c>
      <c r="K92" s="6">
        <f t="shared" si="12"/>
        <v>-0.12984229999999999</v>
      </c>
      <c r="L92" s="6">
        <f t="shared" si="12"/>
        <v>-0.12562989999999999</v>
      </c>
      <c r="M92" s="6">
        <f t="shared" si="12"/>
        <v>-9.3069079999999992E-3</v>
      </c>
      <c r="N92" s="6">
        <f t="shared" si="12"/>
        <v>-0.12726399999999999</v>
      </c>
      <c r="O92" s="6">
        <f t="shared" si="12"/>
        <v>-0.11353489999999999</v>
      </c>
      <c r="P92" s="6">
        <f t="shared" si="12"/>
        <v>-0.1082273</v>
      </c>
      <c r="Q92" s="6">
        <f t="shared" si="12"/>
        <v>5.8168890000000001E-2</v>
      </c>
      <c r="R92" s="6">
        <f t="shared" si="12"/>
        <v>-9.2338089999999998E-2</v>
      </c>
      <c r="S92" s="6">
        <f t="shared" si="12"/>
        <v>-8.0883029999999995E-2</v>
      </c>
      <c r="T92" s="6">
        <f t="shared" si="12"/>
        <v>6.4678189999999997E-3</v>
      </c>
      <c r="U92" s="6">
        <f t="shared" si="12"/>
        <v>-5.9254170000000002E-2</v>
      </c>
      <c r="V92" s="6">
        <f t="shared" si="12"/>
        <v>-4.7906879999999999E-2</v>
      </c>
      <c r="W92" s="6">
        <f t="shared" si="12"/>
        <v>-3.3673290000000002E-2</v>
      </c>
      <c r="X92" s="6">
        <f t="shared" ref="X92:AM92" si="13">G28</f>
        <v>-2.6725769999999999E-2</v>
      </c>
      <c r="Y92" s="6">
        <f t="shared" si="13"/>
        <v>-7.9722400000000002E-3</v>
      </c>
      <c r="Z92" s="6">
        <f t="shared" si="13"/>
        <v>-3.6523819999999999E-2</v>
      </c>
      <c r="AA92" s="6">
        <f t="shared" si="13"/>
        <v>-4.3703560000000002E-2</v>
      </c>
      <c r="AB92" s="6">
        <f t="shared" si="13"/>
        <v>-5.2964690000000002E-2</v>
      </c>
      <c r="AC92" s="6">
        <f t="shared" si="13"/>
        <v>-6.1322210000000002E-2</v>
      </c>
      <c r="AD92" s="6">
        <f t="shared" si="13"/>
        <v>-8.3837510000000004E-2</v>
      </c>
      <c r="AE92" s="6">
        <f t="shared" si="13"/>
        <v>-8.8891510000000007E-2</v>
      </c>
      <c r="AF92" s="6">
        <f t="shared" si="13"/>
        <v>-9.3661789999999995E-2</v>
      </c>
      <c r="AG92" s="6">
        <f t="shared" si="13"/>
        <v>-9.5288280000000003E-2</v>
      </c>
      <c r="AH92" s="6">
        <f t="shared" si="13"/>
        <v>-9.9817279999999994E-2</v>
      </c>
      <c r="AI92" s="6">
        <f t="shared" si="13"/>
        <v>-9.7337720000000003E-2</v>
      </c>
      <c r="AJ92" s="6">
        <f t="shared" si="13"/>
        <v>-9.146261E-2</v>
      </c>
      <c r="AK92" s="6">
        <f t="shared" si="13"/>
        <v>-8.4851259999999998E-2</v>
      </c>
      <c r="AL92" s="6">
        <f t="shared" si="13"/>
        <v>-7.068729E-2</v>
      </c>
      <c r="AM92" s="6">
        <f t="shared" si="13"/>
        <v>-4.778814E-2</v>
      </c>
    </row>
    <row r="93" spans="7:39" x14ac:dyDescent="0.25">
      <c r="G93" s="5">
        <v>2</v>
      </c>
      <c r="H93" s="6">
        <f t="shared" ref="H93:W93" si="14">G30</f>
        <v>0.13093279999999999</v>
      </c>
      <c r="I93" s="6">
        <f t="shared" si="14"/>
        <v>-5.0390240000000003E-2</v>
      </c>
      <c r="J93" s="6">
        <f t="shared" si="14"/>
        <v>-8.9202400000000001E-2</v>
      </c>
      <c r="K93" s="6">
        <f t="shared" si="14"/>
        <v>-0.1033645</v>
      </c>
      <c r="L93" s="6">
        <f t="shared" si="14"/>
        <v>-0.10445119999999999</v>
      </c>
      <c r="M93" s="6">
        <f t="shared" si="14"/>
        <v>-7.9188350000000008E-3</v>
      </c>
      <c r="N93" s="6">
        <f t="shared" si="14"/>
        <v>-0.1131253</v>
      </c>
      <c r="O93" s="6">
        <f t="shared" si="14"/>
        <v>-0.1023111</v>
      </c>
      <c r="P93" s="6">
        <f t="shared" si="14"/>
        <v>-9.82151E-2</v>
      </c>
      <c r="Q93" s="6">
        <f t="shared" si="14"/>
        <v>5.8188440000000001E-2</v>
      </c>
      <c r="R93" s="6">
        <f t="shared" si="14"/>
        <v>-8.6183070000000001E-2</v>
      </c>
      <c r="S93" s="6">
        <f t="shared" si="14"/>
        <v>-7.4977870000000002E-2</v>
      </c>
      <c r="T93" s="6">
        <f t="shared" si="14"/>
        <v>6.4687729999999997E-3</v>
      </c>
      <c r="U93" s="6">
        <f t="shared" si="14"/>
        <v>-6.0471530000000003E-2</v>
      </c>
      <c r="V93" s="6">
        <f t="shared" si="14"/>
        <v>-4.3488980000000003E-2</v>
      </c>
      <c r="W93" s="6">
        <f t="shared" si="14"/>
        <v>-3.2219890000000001E-2</v>
      </c>
      <c r="X93" s="6">
        <f t="shared" ref="X93:AM93" si="15">G31</f>
        <v>-2.6903630000000001E-2</v>
      </c>
      <c r="Y93" s="6">
        <f t="shared" si="15"/>
        <v>-7.6131819999999996E-3</v>
      </c>
      <c r="Z93" s="6">
        <f t="shared" si="15"/>
        <v>-3.7434099999999998E-2</v>
      </c>
      <c r="AA93" s="6">
        <f t="shared" si="15"/>
        <v>-4.5268540000000003E-2</v>
      </c>
      <c r="AB93" s="6">
        <f t="shared" si="15"/>
        <v>-5.1335329999999998E-2</v>
      </c>
      <c r="AC93" s="6">
        <f t="shared" si="15"/>
        <v>-6.4378260000000007E-2</v>
      </c>
      <c r="AD93" s="6">
        <f t="shared" si="15"/>
        <v>-8.9762209999999995E-2</v>
      </c>
      <c r="AE93" s="6">
        <f t="shared" si="15"/>
        <v>-9.6944810000000006E-2</v>
      </c>
      <c r="AF93" s="6">
        <f t="shared" si="15"/>
        <v>-0.10301829999999999</v>
      </c>
      <c r="AG93" s="6">
        <f t="shared" si="15"/>
        <v>-0.105999</v>
      </c>
      <c r="AH93" s="6">
        <f t="shared" si="15"/>
        <v>-0.1132326</v>
      </c>
      <c r="AI93" s="6">
        <f t="shared" si="15"/>
        <v>-0.1143641</v>
      </c>
      <c r="AJ93" s="6">
        <f t="shared" si="15"/>
        <v>-0.1109643</v>
      </c>
      <c r="AK93" s="6">
        <f t="shared" si="15"/>
        <v>-0.1092944</v>
      </c>
      <c r="AL93" s="6">
        <f t="shared" si="15"/>
        <v>-0.1024137</v>
      </c>
      <c r="AM93" s="6">
        <f t="shared" si="15"/>
        <v>-8.7413790000000005E-2</v>
      </c>
    </row>
    <row r="94" spans="7:39" x14ac:dyDescent="0.25">
      <c r="G94" s="5">
        <v>3</v>
      </c>
      <c r="H94" s="6">
        <f t="shared" ref="H94:W94" si="16">G33</f>
        <v>0.1264806</v>
      </c>
      <c r="I94" s="6">
        <f t="shared" si="16"/>
        <v>-8.0976490000000002E-3</v>
      </c>
      <c r="J94" s="6">
        <f t="shared" si="16"/>
        <v>-5.3264619999999999E-2</v>
      </c>
      <c r="K94" s="6">
        <f t="shared" si="16"/>
        <v>-7.6012129999999997E-2</v>
      </c>
      <c r="L94" s="6">
        <f t="shared" si="16"/>
        <v>-8.1891060000000002E-2</v>
      </c>
      <c r="M94" s="6">
        <f t="shared" si="16"/>
        <v>-6.1683650000000003E-3</v>
      </c>
      <c r="N94" s="6">
        <f t="shared" si="16"/>
        <v>-9.7221849999999999E-2</v>
      </c>
      <c r="O94" s="6">
        <f t="shared" si="16"/>
        <v>-8.8816640000000002E-2</v>
      </c>
      <c r="P94" s="6">
        <f t="shared" si="16"/>
        <v>-8.7160589999999996E-2</v>
      </c>
      <c r="Q94" s="6">
        <f t="shared" si="16"/>
        <v>5.8188440000000001E-2</v>
      </c>
      <c r="R94" s="6">
        <f t="shared" si="16"/>
        <v>-7.851553E-2</v>
      </c>
      <c r="S94" s="6">
        <f t="shared" si="16"/>
        <v>-6.8846229999999994E-2</v>
      </c>
      <c r="T94" s="6">
        <f t="shared" si="16"/>
        <v>6.4687729999999997E-3</v>
      </c>
      <c r="U94" s="6">
        <f t="shared" si="16"/>
        <v>-5.6297779999999999E-2</v>
      </c>
      <c r="V94" s="6">
        <f t="shared" si="16"/>
        <v>-4.3306829999999998E-2</v>
      </c>
      <c r="W94" s="6">
        <f t="shared" si="16"/>
        <v>-3.0838009999999999E-2</v>
      </c>
      <c r="X94" s="6">
        <f t="shared" ref="X94:AM94" si="17">G34</f>
        <v>-2.581263E-2</v>
      </c>
      <c r="Y94" s="6">
        <f t="shared" si="17"/>
        <v>-8.4648129999999999E-3</v>
      </c>
      <c r="Z94" s="6">
        <f t="shared" si="17"/>
        <v>-3.6159520000000001E-2</v>
      </c>
      <c r="AA94" s="6">
        <f t="shared" si="17"/>
        <v>-4.5095919999999998E-2</v>
      </c>
      <c r="AB94" s="6">
        <f t="shared" si="17"/>
        <v>-5.2969929999999998E-2</v>
      </c>
      <c r="AC94" s="6">
        <f t="shared" si="17"/>
        <v>-6.6354270000000007E-2</v>
      </c>
      <c r="AD94" s="6">
        <f t="shared" si="17"/>
        <v>-9.4815250000000004E-2</v>
      </c>
      <c r="AE94" s="6">
        <f t="shared" si="17"/>
        <v>-0.1046081</v>
      </c>
      <c r="AF94" s="6">
        <f t="shared" si="17"/>
        <v>-0.1120172</v>
      </c>
      <c r="AG94" s="6">
        <f t="shared" si="17"/>
        <v>-0.11689570000000001</v>
      </c>
      <c r="AH94" s="6">
        <f t="shared" si="17"/>
        <v>-0.12664890000000001</v>
      </c>
      <c r="AI94" s="6">
        <f t="shared" si="17"/>
        <v>-0.13195509999999999</v>
      </c>
      <c r="AJ94" s="6">
        <f t="shared" si="17"/>
        <v>-0.1313705</v>
      </c>
      <c r="AK94" s="6">
        <f t="shared" si="17"/>
        <v>-0.1346493</v>
      </c>
      <c r="AL94" s="6">
        <f t="shared" si="17"/>
        <v>-0.136517</v>
      </c>
      <c r="AM94" s="6">
        <f t="shared" si="17"/>
        <v>-0.13222690000000001</v>
      </c>
    </row>
    <row r="95" spans="7:39" x14ac:dyDescent="0.25">
      <c r="G95" s="5">
        <v>4</v>
      </c>
      <c r="H95" s="6">
        <f t="shared" ref="H95:W95" si="18">G36</f>
        <v>0.11138629999999999</v>
      </c>
      <c r="I95" s="6">
        <f t="shared" si="18"/>
        <v>2.7480129999999998E-2</v>
      </c>
      <c r="J95" s="6">
        <f t="shared" si="18"/>
        <v>-2.1034239999999999E-2</v>
      </c>
      <c r="K95" s="6">
        <f t="shared" si="18"/>
        <v>-5.055904E-2</v>
      </c>
      <c r="L95" s="6">
        <f t="shared" si="18"/>
        <v>-6.1052799999999997E-2</v>
      </c>
      <c r="M95" s="6">
        <f t="shared" si="18"/>
        <v>-4.6057700000000003E-3</v>
      </c>
      <c r="N95" s="6">
        <f t="shared" si="18"/>
        <v>-8.2721710000000004E-2</v>
      </c>
      <c r="O95" s="6">
        <f t="shared" si="18"/>
        <v>-7.6717380000000002E-2</v>
      </c>
      <c r="P95" s="6">
        <f t="shared" si="18"/>
        <v>-7.6353069999999995E-2</v>
      </c>
      <c r="Q95" s="6">
        <f t="shared" si="18"/>
        <v>5.8536530000000003E-2</v>
      </c>
      <c r="R95" s="6">
        <f t="shared" si="18"/>
        <v>-7.1364880000000006E-2</v>
      </c>
      <c r="S95" s="6">
        <f t="shared" si="18"/>
        <v>-6.3458920000000002E-2</v>
      </c>
      <c r="T95" s="6">
        <f t="shared" si="18"/>
        <v>7.538795E-3</v>
      </c>
      <c r="U95" s="6">
        <f t="shared" si="18"/>
        <v>-5.194998E-2</v>
      </c>
      <c r="V95" s="6">
        <f t="shared" si="18"/>
        <v>-4.4406889999999997E-2</v>
      </c>
      <c r="W95" s="6">
        <f t="shared" si="18"/>
        <v>-2.8110030000000001E-2</v>
      </c>
      <c r="X95" s="6">
        <f t="shared" ref="X95:AM95" si="19">G37</f>
        <v>-2.5082589999999998E-2</v>
      </c>
      <c r="Y95" s="6">
        <f t="shared" si="19"/>
        <v>-8.4648129999999999E-3</v>
      </c>
      <c r="Z95" s="6">
        <f t="shared" si="19"/>
        <v>-3.5249709999999997E-2</v>
      </c>
      <c r="AA95" s="6">
        <f t="shared" si="19"/>
        <v>-4.49214E-2</v>
      </c>
      <c r="AB95" s="6">
        <f t="shared" si="19"/>
        <v>-5.4240700000000003E-2</v>
      </c>
      <c r="AC95" s="6">
        <f t="shared" si="19"/>
        <v>-7.0846560000000003E-2</v>
      </c>
      <c r="AD95" s="6">
        <f t="shared" si="19"/>
        <v>-0.1009154</v>
      </c>
      <c r="AE95" s="6">
        <f t="shared" si="19"/>
        <v>-0.1126475</v>
      </c>
      <c r="AF95" s="6">
        <f t="shared" si="19"/>
        <v>-0.12174509999999999</v>
      </c>
      <c r="AG95" s="6">
        <f t="shared" si="19"/>
        <v>-0.12834409999999999</v>
      </c>
      <c r="AH95" s="6">
        <f t="shared" si="19"/>
        <v>-0.14132929999999999</v>
      </c>
      <c r="AI95" s="6">
        <f t="shared" si="19"/>
        <v>-0.1508002</v>
      </c>
      <c r="AJ95" s="6">
        <f t="shared" si="19"/>
        <v>-0.15263650000000001</v>
      </c>
      <c r="AK95" s="6">
        <f t="shared" si="19"/>
        <v>-0.16200639999999999</v>
      </c>
      <c r="AL95" s="6">
        <f t="shared" si="19"/>
        <v>-0.17410419999999999</v>
      </c>
      <c r="AM95" s="6">
        <f t="shared" si="19"/>
        <v>-0.18223809999999999</v>
      </c>
    </row>
    <row r="96" spans="7:39" x14ac:dyDescent="0.25">
      <c r="G96" s="5">
        <v>5</v>
      </c>
      <c r="H96" s="6">
        <f t="shared" ref="H96:W96" si="20">G39</f>
        <v>8.3341600000000002E-2</v>
      </c>
      <c r="I96" s="6">
        <f t="shared" si="20"/>
        <v>5.9782979999999999E-2</v>
      </c>
      <c r="J96" s="6">
        <f t="shared" si="20"/>
        <v>1.030731E-2</v>
      </c>
      <c r="K96" s="6">
        <f t="shared" si="20"/>
        <v>-2.4421689999999999E-2</v>
      </c>
      <c r="L96" s="6">
        <f t="shared" si="20"/>
        <v>-3.8836959999999997E-2</v>
      </c>
      <c r="M96" s="6">
        <f t="shared" si="20"/>
        <v>-3.391743E-3</v>
      </c>
      <c r="N96" s="6">
        <f t="shared" si="20"/>
        <v>-6.5528870000000003E-2</v>
      </c>
      <c r="O96" s="6">
        <f t="shared" si="20"/>
        <v>-6.2512399999999996E-2</v>
      </c>
      <c r="P96" s="6">
        <f t="shared" si="20"/>
        <v>-6.4769740000000006E-2</v>
      </c>
      <c r="Q96" s="6">
        <f t="shared" si="20"/>
        <v>5.8516980000000003E-2</v>
      </c>
      <c r="R96" s="6">
        <f t="shared" si="20"/>
        <v>-6.3171859999999996E-2</v>
      </c>
      <c r="S96" s="6">
        <f t="shared" si="20"/>
        <v>-5.6683539999999998E-2</v>
      </c>
      <c r="T96" s="6">
        <f t="shared" si="20"/>
        <v>6.8259239999999997E-3</v>
      </c>
      <c r="U96" s="6">
        <f t="shared" si="20"/>
        <v>-4.7602650000000003E-2</v>
      </c>
      <c r="V96" s="6">
        <f t="shared" si="20"/>
        <v>-3.9456369999999998E-2</v>
      </c>
      <c r="W96" s="6">
        <f t="shared" si="20"/>
        <v>-3.07703E-2</v>
      </c>
      <c r="X96" s="6">
        <f t="shared" ref="X96:AM96" si="21">G40</f>
        <v>-2.45347E-2</v>
      </c>
      <c r="Y96" s="6">
        <f t="shared" si="21"/>
        <v>-9.3641279999999993E-3</v>
      </c>
      <c r="Z96" s="6">
        <f t="shared" si="21"/>
        <v>-3.3246989999999997E-2</v>
      </c>
      <c r="AA96" s="6">
        <f t="shared" si="21"/>
        <v>-4.457378E-2</v>
      </c>
      <c r="AB96" s="6">
        <f t="shared" si="21"/>
        <v>-5.4422860000000003E-2</v>
      </c>
      <c r="AC96" s="6">
        <f t="shared" si="21"/>
        <v>-7.2470190000000004E-2</v>
      </c>
      <c r="AD96" s="6">
        <f t="shared" si="21"/>
        <v>-0.1077132</v>
      </c>
      <c r="AE96" s="6">
        <f t="shared" si="21"/>
        <v>-0.1206875</v>
      </c>
      <c r="AF96" s="6">
        <f t="shared" si="21"/>
        <v>-0.1311088</v>
      </c>
      <c r="AG96" s="6">
        <f t="shared" si="21"/>
        <v>-0.14034749999999999</v>
      </c>
      <c r="AH96" s="6">
        <f t="shared" si="21"/>
        <v>-0.1547413</v>
      </c>
      <c r="AI96" s="6">
        <f t="shared" si="21"/>
        <v>-0.16910310000000001</v>
      </c>
      <c r="AJ96" s="6">
        <f t="shared" si="21"/>
        <v>-0.17507410000000001</v>
      </c>
      <c r="AK96" s="6">
        <f t="shared" si="21"/>
        <v>-0.19027759999999999</v>
      </c>
      <c r="AL96" s="6">
        <f t="shared" si="21"/>
        <v>-0.21444270000000001</v>
      </c>
      <c r="AM96" s="6">
        <f t="shared" si="21"/>
        <v>-0.2367234</v>
      </c>
    </row>
    <row r="97" spans="7:39" x14ac:dyDescent="0.25">
      <c r="G97" s="5">
        <v>6</v>
      </c>
      <c r="H97" s="6">
        <f t="shared" ref="H97:W97" si="22">G42</f>
        <v>4.1081909999999999E-2</v>
      </c>
      <c r="I97" s="6">
        <f t="shared" si="22"/>
        <v>8.4621429999999997E-2</v>
      </c>
      <c r="J97" s="6">
        <f t="shared" si="22"/>
        <v>3.7080759999999997E-2</v>
      </c>
      <c r="K97" s="6">
        <f t="shared" si="22"/>
        <v>-8.5782999999999996E-4</v>
      </c>
      <c r="L97" s="6">
        <f t="shared" si="22"/>
        <v>-1.8513680000000001E-2</v>
      </c>
      <c r="M97" s="6">
        <f t="shared" si="22"/>
        <v>-2.1767620000000001E-3</v>
      </c>
      <c r="N97" s="6">
        <f t="shared" si="22"/>
        <v>-5.0142770000000003E-2</v>
      </c>
      <c r="O97" s="6">
        <f t="shared" si="22"/>
        <v>-4.9886229999999997E-2</v>
      </c>
      <c r="P97" s="6">
        <f t="shared" si="22"/>
        <v>-5.3089619999999997E-2</v>
      </c>
      <c r="Q97" s="6">
        <f t="shared" si="22"/>
        <v>5.8516980000000003E-2</v>
      </c>
      <c r="R97" s="6">
        <f t="shared" si="22"/>
        <v>-5.5672649999999997E-2</v>
      </c>
      <c r="S97" s="6">
        <f t="shared" si="22"/>
        <v>-5.0253869999999999E-2</v>
      </c>
      <c r="T97" s="6">
        <f t="shared" si="22"/>
        <v>6.8259239999999997E-3</v>
      </c>
      <c r="U97" s="6">
        <f t="shared" si="22"/>
        <v>-4.2733189999999997E-2</v>
      </c>
      <c r="V97" s="6">
        <f t="shared" si="22"/>
        <v>-3.578949E-2</v>
      </c>
      <c r="W97" s="6">
        <f t="shared" si="22"/>
        <v>-3.0588150000000001E-2</v>
      </c>
      <c r="X97" s="6">
        <f t="shared" ref="X97:AM97" si="23">G43</f>
        <v>-2.5995250000000001E-2</v>
      </c>
      <c r="Y97" s="6">
        <f t="shared" si="23"/>
        <v>-1.206636E-2</v>
      </c>
      <c r="Z97" s="6">
        <f t="shared" si="23"/>
        <v>-3.2882689999999999E-2</v>
      </c>
      <c r="AA97" s="6">
        <f t="shared" si="23"/>
        <v>-4.4400219999999997E-2</v>
      </c>
      <c r="AB97" s="6">
        <f t="shared" si="23"/>
        <v>-5.5693630000000001E-2</v>
      </c>
      <c r="AC97" s="6">
        <f t="shared" si="23"/>
        <v>-7.3907849999999997E-2</v>
      </c>
      <c r="AD97" s="6">
        <f t="shared" si="23"/>
        <v>-0.11207010000000001</v>
      </c>
      <c r="AE97" s="6">
        <f t="shared" si="23"/>
        <v>-0.13091900000000001</v>
      </c>
      <c r="AF97" s="6">
        <f t="shared" si="23"/>
        <v>-0.141377</v>
      </c>
      <c r="AG97" s="6">
        <f t="shared" si="23"/>
        <v>-0.15179590000000001</v>
      </c>
      <c r="AH97" s="6">
        <f t="shared" si="23"/>
        <v>-0.16960239999999999</v>
      </c>
      <c r="AI97" s="6">
        <f t="shared" si="23"/>
        <v>-0.18867249999999999</v>
      </c>
      <c r="AJ97" s="6">
        <f t="shared" si="23"/>
        <v>-0.1980982</v>
      </c>
      <c r="AK97" s="6">
        <f t="shared" si="23"/>
        <v>-0.2200027</v>
      </c>
      <c r="AL97" s="6">
        <f t="shared" si="23"/>
        <v>-0.25550840000000002</v>
      </c>
      <c r="AM97" s="6">
        <f t="shared" si="23"/>
        <v>-0.2946086</v>
      </c>
    </row>
    <row r="98" spans="7:39" x14ac:dyDescent="0.25">
      <c r="G98" s="5">
        <v>7</v>
      </c>
      <c r="H98" s="6">
        <f t="shared" ref="H98:W98" si="24">G45</f>
        <v>-1.4839649999999999E-2</v>
      </c>
      <c r="I98" s="6">
        <f t="shared" si="24"/>
        <v>0.10377119999999999</v>
      </c>
      <c r="J98" s="6">
        <f t="shared" si="24"/>
        <v>6.0842510000000002E-2</v>
      </c>
      <c r="K98" s="6">
        <f t="shared" si="24"/>
        <v>2.115154E-2</v>
      </c>
      <c r="L98" s="6">
        <f t="shared" si="24"/>
        <v>7.7581410000000003E-4</v>
      </c>
      <c r="M98" s="6">
        <f t="shared" si="24"/>
        <v>-9.7417830000000002E-4</v>
      </c>
      <c r="N98" s="6">
        <f t="shared" si="24"/>
        <v>-3.4946440000000002E-2</v>
      </c>
      <c r="O98" s="6">
        <f t="shared" si="24"/>
        <v>-3.6381240000000002E-2</v>
      </c>
      <c r="P98" s="6">
        <f t="shared" si="24"/>
        <v>-4.1949269999999997E-2</v>
      </c>
      <c r="Q98" s="6">
        <f t="shared" si="24"/>
        <v>5.8711050000000001E-2</v>
      </c>
      <c r="R98" s="6">
        <f t="shared" si="24"/>
        <v>-4.7307969999999998E-2</v>
      </c>
      <c r="S98" s="6">
        <f t="shared" si="24"/>
        <v>-4.435062E-2</v>
      </c>
      <c r="T98" s="6">
        <f t="shared" si="24"/>
        <v>6.1111450000000001E-3</v>
      </c>
      <c r="U98" s="6">
        <f t="shared" si="24"/>
        <v>-3.8211349999999998E-2</v>
      </c>
      <c r="V98" s="6">
        <f t="shared" si="24"/>
        <v>-3.1555649999999998E-2</v>
      </c>
      <c r="W98" s="6">
        <f t="shared" si="24"/>
        <v>-2.5383470000000002E-2</v>
      </c>
      <c r="X98" s="6">
        <f t="shared" ref="X98:AM98" si="25">G46</f>
        <v>-2.3257259999999998E-2</v>
      </c>
      <c r="Y98" s="6">
        <f t="shared" si="25"/>
        <v>-1.525927E-2</v>
      </c>
      <c r="Z98" s="6">
        <f t="shared" si="25"/>
        <v>-3.3611299999999997E-2</v>
      </c>
      <c r="AA98" s="6">
        <f t="shared" si="25"/>
        <v>-4.5443530000000003E-2</v>
      </c>
      <c r="AB98" s="6">
        <f t="shared" si="25"/>
        <v>-5.7509419999999999E-2</v>
      </c>
      <c r="AC98" s="6">
        <f t="shared" si="25"/>
        <v>-7.6597689999999996E-2</v>
      </c>
      <c r="AD98" s="6">
        <f t="shared" si="25"/>
        <v>-0.121489</v>
      </c>
      <c r="AE98" s="6">
        <f t="shared" si="25"/>
        <v>-0.13841249999999999</v>
      </c>
      <c r="AF98" s="6">
        <f t="shared" si="25"/>
        <v>-0.15001439999999999</v>
      </c>
      <c r="AG98" s="6">
        <f t="shared" si="25"/>
        <v>-0.1663847</v>
      </c>
      <c r="AH98" s="6">
        <f t="shared" si="25"/>
        <v>-0.18645999999999999</v>
      </c>
      <c r="AI98" s="6">
        <f t="shared" si="25"/>
        <v>-0.2098632</v>
      </c>
      <c r="AJ98" s="6">
        <f t="shared" si="25"/>
        <v>-0.2230945</v>
      </c>
      <c r="AK98" s="6">
        <f t="shared" si="25"/>
        <v>-0.2520905</v>
      </c>
      <c r="AL98" s="6">
        <f t="shared" si="25"/>
        <v>-0.3002338</v>
      </c>
      <c r="AM98" s="6">
        <f t="shared" si="25"/>
        <v>-0.35624929999999999</v>
      </c>
    </row>
    <row r="99" spans="7:39" x14ac:dyDescent="0.25">
      <c r="G99" s="5">
        <v>8</v>
      </c>
      <c r="H99" s="6">
        <f t="shared" ref="H99:W99" si="26">G48</f>
        <v>-7.9995629999999998E-2</v>
      </c>
      <c r="I99" s="6">
        <f t="shared" si="26"/>
        <v>0.1140757</v>
      </c>
      <c r="J99" s="6">
        <f t="shared" si="26"/>
        <v>7.9192159999999998E-2</v>
      </c>
      <c r="K99" s="6">
        <f t="shared" si="26"/>
        <v>3.94001E-2</v>
      </c>
      <c r="L99" s="6">
        <f t="shared" si="26"/>
        <v>1.7831329999999999E-2</v>
      </c>
      <c r="M99" s="6">
        <f t="shared" si="26"/>
        <v>-9.3460079999999995E-5</v>
      </c>
      <c r="N99" s="6">
        <f t="shared" si="26"/>
        <v>-2.0627019999999999E-2</v>
      </c>
      <c r="O99" s="6">
        <f t="shared" si="26"/>
        <v>-2.4806499999999999E-2</v>
      </c>
      <c r="P99" s="6">
        <f t="shared" si="26"/>
        <v>-3.097486E-2</v>
      </c>
      <c r="Q99" s="6">
        <f t="shared" si="26"/>
        <v>5.8885100000000003E-2</v>
      </c>
      <c r="R99" s="6">
        <f t="shared" si="26"/>
        <v>-3.911543E-2</v>
      </c>
      <c r="S99" s="6">
        <f t="shared" si="26"/>
        <v>-3.7228579999999997E-2</v>
      </c>
      <c r="T99" s="6">
        <f t="shared" si="26"/>
        <v>6.2928200000000002E-3</v>
      </c>
      <c r="U99" s="6">
        <f t="shared" si="26"/>
        <v>-3.4213069999999998E-2</v>
      </c>
      <c r="V99" s="6">
        <f t="shared" si="26"/>
        <v>-2.7724740000000001E-2</v>
      </c>
      <c r="W99" s="6">
        <f t="shared" si="26"/>
        <v>-2.2225379999999999E-2</v>
      </c>
      <c r="X99" s="6">
        <f t="shared" ref="X99:AM99" si="27">G49</f>
        <v>-1.960945E-2</v>
      </c>
      <c r="Y99" s="6">
        <f t="shared" si="27"/>
        <v>-1.7109389999999999E-2</v>
      </c>
      <c r="Z99" s="6">
        <f t="shared" si="27"/>
        <v>-3.288841E-2</v>
      </c>
      <c r="AA99" s="6">
        <f t="shared" si="27"/>
        <v>-4.4398310000000003E-2</v>
      </c>
      <c r="AB99" s="6">
        <f t="shared" si="27"/>
        <v>-5.8049679999999999E-2</v>
      </c>
      <c r="AC99" s="6">
        <f t="shared" si="27"/>
        <v>-7.6597689999999996E-2</v>
      </c>
      <c r="AD99" s="6">
        <f t="shared" si="27"/>
        <v>-0.1253061</v>
      </c>
      <c r="AE99" s="6">
        <f t="shared" si="27"/>
        <v>-0.1455526</v>
      </c>
      <c r="AF99" s="6">
        <f t="shared" si="27"/>
        <v>-0.16153960000000001</v>
      </c>
      <c r="AG99" s="6">
        <f t="shared" si="27"/>
        <v>-0.17580219999999999</v>
      </c>
      <c r="AH99" s="6">
        <f t="shared" si="27"/>
        <v>-0.2002177</v>
      </c>
      <c r="AI99" s="6">
        <f t="shared" si="27"/>
        <v>-0.2290702</v>
      </c>
      <c r="AJ99" s="6">
        <f t="shared" si="27"/>
        <v>-0.2480192</v>
      </c>
      <c r="AK99" s="6">
        <f t="shared" si="27"/>
        <v>-0.28655580000000003</v>
      </c>
      <c r="AL99" s="6">
        <f t="shared" si="27"/>
        <v>-0.34001490000000001</v>
      </c>
      <c r="AM99" s="6">
        <f t="shared" si="27"/>
        <v>-0.41053489999999998</v>
      </c>
    </row>
    <row r="100" spans="7:39" x14ac:dyDescent="0.25">
      <c r="G100" s="5">
        <v>9</v>
      </c>
      <c r="H100" s="6">
        <f t="shared" ref="H100:W100" si="28">G51</f>
        <v>-0.14567330000000001</v>
      </c>
      <c r="I100" s="6">
        <f t="shared" si="28"/>
        <v>0.1195369</v>
      </c>
      <c r="J100" s="6">
        <f t="shared" si="28"/>
        <v>9.2227939999999994E-2</v>
      </c>
      <c r="K100" s="6">
        <f t="shared" si="28"/>
        <v>5.3678040000000003E-2</v>
      </c>
      <c r="L100" s="6">
        <f t="shared" si="28"/>
        <v>3.0405999999999999E-2</v>
      </c>
      <c r="M100" s="6">
        <f t="shared" si="28"/>
        <v>7.7438349999999997E-4</v>
      </c>
      <c r="N100" s="6">
        <f t="shared" si="28"/>
        <v>-1.072264E-2</v>
      </c>
      <c r="O100" s="6">
        <f t="shared" si="28"/>
        <v>-1.5862459999999998E-2</v>
      </c>
      <c r="P100" s="6">
        <f t="shared" si="28"/>
        <v>-2.3652550000000001E-2</v>
      </c>
      <c r="Q100" s="6">
        <f t="shared" si="28"/>
        <v>5.9059140000000003E-2</v>
      </c>
      <c r="R100" s="6">
        <f t="shared" si="28"/>
        <v>-3.4231659999999997E-2</v>
      </c>
      <c r="S100" s="6">
        <f t="shared" si="28"/>
        <v>-3.3578869999999997E-2</v>
      </c>
      <c r="T100" s="6">
        <f t="shared" si="28"/>
        <v>5.5799480000000004E-3</v>
      </c>
      <c r="U100" s="6">
        <f t="shared" si="28"/>
        <v>-3.2648089999999998E-2</v>
      </c>
      <c r="V100" s="6">
        <f t="shared" si="28"/>
        <v>-2.7541639999999999E-2</v>
      </c>
      <c r="W100" s="6">
        <f t="shared" si="28"/>
        <v>-2.277088E-2</v>
      </c>
      <c r="X100" s="6">
        <f t="shared" ref="X100:AM100" si="29">G52</f>
        <v>-2.1069999999999998E-2</v>
      </c>
      <c r="Y100" s="6">
        <f t="shared" si="29"/>
        <v>-1.8911359999999999E-2</v>
      </c>
      <c r="Z100" s="6">
        <f t="shared" si="29"/>
        <v>-3.0885699999999999E-2</v>
      </c>
      <c r="AA100" s="6">
        <f t="shared" si="29"/>
        <v>-4.2832849999999999E-2</v>
      </c>
      <c r="AB100" s="6">
        <f t="shared" si="29"/>
        <v>-5.7141780000000003E-2</v>
      </c>
      <c r="AC100" s="6">
        <f t="shared" si="29"/>
        <v>-7.6597689999999996E-2</v>
      </c>
      <c r="AD100" s="6">
        <f t="shared" si="29"/>
        <v>-0.12966349999999999</v>
      </c>
      <c r="AE100" s="6">
        <f t="shared" si="29"/>
        <v>-0.15213009999999999</v>
      </c>
      <c r="AF100" s="6">
        <f t="shared" si="29"/>
        <v>-0.16946549999999999</v>
      </c>
      <c r="AG100" s="6">
        <f t="shared" si="29"/>
        <v>-0.18632650000000001</v>
      </c>
      <c r="AH100" s="6">
        <f t="shared" si="29"/>
        <v>-0.2143526</v>
      </c>
      <c r="AI100" s="6">
        <f t="shared" si="29"/>
        <v>-0.243926</v>
      </c>
      <c r="AJ100" s="6">
        <f t="shared" si="29"/>
        <v>-0.24081420000000001</v>
      </c>
      <c r="AK100" s="6">
        <f t="shared" si="29"/>
        <v>-0.33633180000000001</v>
      </c>
      <c r="AL100" s="6">
        <f t="shared" si="29"/>
        <v>-0.38070579999999998</v>
      </c>
      <c r="AM100" s="6">
        <f t="shared" si="29"/>
        <v>-0.46517320000000001</v>
      </c>
    </row>
    <row r="101" spans="7:39" x14ac:dyDescent="0.25">
      <c r="G101" s="5">
        <v>10</v>
      </c>
      <c r="H101" s="6">
        <f t="shared" ref="H101:W101" si="30">G54</f>
        <v>-0.21861549999999999</v>
      </c>
      <c r="I101" s="6">
        <f t="shared" si="30"/>
        <v>0.1212821</v>
      </c>
      <c r="J101" s="6">
        <f t="shared" si="30"/>
        <v>0.102787</v>
      </c>
      <c r="K101" s="6">
        <f t="shared" si="30"/>
        <v>6.6919800000000002E-2</v>
      </c>
      <c r="L101" s="6">
        <f t="shared" si="30"/>
        <v>4.2979719999999999E-2</v>
      </c>
      <c r="M101" s="6">
        <f t="shared" si="30"/>
        <v>1.29652E-3</v>
      </c>
      <c r="N101" s="6">
        <f t="shared" si="30"/>
        <v>1.049042E-4</v>
      </c>
      <c r="O101" s="6">
        <f t="shared" si="30"/>
        <v>-6.9170000000000004E-3</v>
      </c>
      <c r="P101" s="6">
        <f t="shared" si="30"/>
        <v>-1.5035150000000001E-2</v>
      </c>
      <c r="Q101" s="6">
        <f t="shared" si="30"/>
        <v>5.9581759999999998E-2</v>
      </c>
      <c r="R101" s="6">
        <f t="shared" si="30"/>
        <v>-2.8599260000000001E-2</v>
      </c>
      <c r="S101" s="6">
        <f t="shared" si="30"/>
        <v>-2.9759879999999999E-2</v>
      </c>
      <c r="T101" s="6">
        <f t="shared" si="30"/>
        <v>5.3973199999999997E-3</v>
      </c>
      <c r="U101" s="6">
        <f t="shared" si="30"/>
        <v>-3.0907629999999998E-2</v>
      </c>
      <c r="V101" s="6">
        <f t="shared" si="30"/>
        <v>-2.6442529999999999E-2</v>
      </c>
      <c r="W101" s="6">
        <f t="shared" si="30"/>
        <v>-2.3501870000000001E-2</v>
      </c>
      <c r="X101" s="6">
        <f t="shared" ref="X101:AM101" si="31">G55</f>
        <v>-2.2713179999999999E-2</v>
      </c>
      <c r="Y101" s="6">
        <f t="shared" si="31"/>
        <v>-2.1071909999999999E-2</v>
      </c>
      <c r="Z101" s="6">
        <f t="shared" si="31"/>
        <v>-3.0516620000000001E-2</v>
      </c>
      <c r="AA101" s="6">
        <f t="shared" si="31"/>
        <v>-4.1267869999999998E-2</v>
      </c>
      <c r="AB101" s="6">
        <f t="shared" si="31"/>
        <v>-5.6596760000000003E-2</v>
      </c>
      <c r="AC101" s="6">
        <f t="shared" si="31"/>
        <v>-7.5879100000000005E-2</v>
      </c>
      <c r="AD101" s="6">
        <f t="shared" si="31"/>
        <v>-0.13332269999999999</v>
      </c>
      <c r="AE101" s="6">
        <f t="shared" si="31"/>
        <v>-0.15814690000000001</v>
      </c>
      <c r="AF101" s="6">
        <f t="shared" si="31"/>
        <v>-0.17755989999999999</v>
      </c>
      <c r="AG101" s="6">
        <f t="shared" si="31"/>
        <v>-0.19684460000000001</v>
      </c>
      <c r="AH101" s="6">
        <f t="shared" si="31"/>
        <v>-0.2279658</v>
      </c>
      <c r="AI101" s="6">
        <f t="shared" si="31"/>
        <v>-0.26458359999999997</v>
      </c>
      <c r="AJ101" s="6">
        <f t="shared" si="31"/>
        <v>-0.28072259999999999</v>
      </c>
      <c r="AK101" s="6">
        <f t="shared" si="31"/>
        <v>-0.35673139999999998</v>
      </c>
      <c r="AL101" s="6">
        <f t="shared" si="31"/>
        <v>-0.43313499999999999</v>
      </c>
      <c r="AM101" s="6">
        <f t="shared" si="31"/>
        <v>-0.52393149999999999</v>
      </c>
    </row>
    <row r="102" spans="7:39" x14ac:dyDescent="0.25">
      <c r="G102" s="5">
        <v>11</v>
      </c>
      <c r="H102" s="6">
        <f t="shared" ref="H102:W102" si="32">G57</f>
        <v>-0.29633900000000002</v>
      </c>
      <c r="I102" s="6">
        <f t="shared" si="32"/>
        <v>0.118187</v>
      </c>
      <c r="J102" s="6">
        <f t="shared" si="32"/>
        <v>0.1096549</v>
      </c>
      <c r="K102" s="6">
        <f t="shared" si="32"/>
        <v>7.6892849999999999E-2</v>
      </c>
      <c r="L102" s="6">
        <f t="shared" si="32"/>
        <v>5.38311E-2</v>
      </c>
      <c r="M102" s="6">
        <f t="shared" si="32"/>
        <v>1.990318E-3</v>
      </c>
      <c r="N102" s="6">
        <f t="shared" si="32"/>
        <v>9.6020700000000007E-3</v>
      </c>
      <c r="O102" s="6">
        <f t="shared" si="32"/>
        <v>1.6713139999999999E-3</v>
      </c>
      <c r="P102" s="6">
        <f t="shared" si="32"/>
        <v>-7.1940420000000003E-3</v>
      </c>
      <c r="Q102" s="6">
        <f t="shared" si="32"/>
        <v>5.9407710000000002E-2</v>
      </c>
      <c r="R102" s="6">
        <f t="shared" si="32"/>
        <v>-2.3427010000000002E-2</v>
      </c>
      <c r="S102" s="6">
        <f t="shared" si="32"/>
        <v>-2.5417329999999998E-2</v>
      </c>
      <c r="T102" s="6">
        <f t="shared" si="32"/>
        <v>4.6868320000000002E-3</v>
      </c>
      <c r="U102" s="6">
        <f t="shared" si="32"/>
        <v>-2.8471949999999999E-2</v>
      </c>
      <c r="V102" s="6">
        <f t="shared" si="32"/>
        <v>-2.5690560000000001E-2</v>
      </c>
      <c r="W102" s="6">
        <f t="shared" si="32"/>
        <v>-2.3753639999999999E-2</v>
      </c>
      <c r="X102" s="6">
        <f t="shared" ref="X102:AM102" si="33">G58</f>
        <v>-2.4534230000000001E-2</v>
      </c>
      <c r="Y102" s="6">
        <f t="shared" si="33"/>
        <v>-2.2872920000000001E-2</v>
      </c>
      <c r="Z102" s="6">
        <f t="shared" si="33"/>
        <v>-3.0151839999999999E-2</v>
      </c>
      <c r="AA102" s="6">
        <f t="shared" si="33"/>
        <v>-3.9703370000000002E-2</v>
      </c>
      <c r="AB102" s="6">
        <f t="shared" si="33"/>
        <v>-5.4422860000000003E-2</v>
      </c>
      <c r="AC102" s="6">
        <f t="shared" si="33"/>
        <v>-7.4441430000000003E-2</v>
      </c>
      <c r="AD102" s="6">
        <f t="shared" si="33"/>
        <v>-0.1348906</v>
      </c>
      <c r="AE102" s="6">
        <f t="shared" si="33"/>
        <v>-0.16161919999999999</v>
      </c>
      <c r="AF102" s="6">
        <f t="shared" si="33"/>
        <v>-0.18247940000000001</v>
      </c>
      <c r="AG102" s="6">
        <f t="shared" si="33"/>
        <v>-0.20275309999999999</v>
      </c>
      <c r="AH102" s="6">
        <f t="shared" si="33"/>
        <v>-0.23719119999999999</v>
      </c>
      <c r="AI102" s="6">
        <f t="shared" si="33"/>
        <v>-0.2787018</v>
      </c>
      <c r="AJ102" s="6">
        <f t="shared" si="33"/>
        <v>-0.30057050000000002</v>
      </c>
      <c r="AK102" s="6">
        <f t="shared" si="33"/>
        <v>-0.33231830000000001</v>
      </c>
      <c r="AL102" s="6">
        <f t="shared" si="33"/>
        <v>-0.48812250000000001</v>
      </c>
      <c r="AM102" s="6">
        <f t="shared" si="33"/>
        <v>-0.57407620000000004</v>
      </c>
    </row>
    <row r="103" spans="7:39" x14ac:dyDescent="0.25">
      <c r="G103" s="5">
        <v>12</v>
      </c>
      <c r="H103" s="6">
        <f t="shared" ref="H103:W103" si="34">G60</f>
        <v>-0.38132519999999998</v>
      </c>
      <c r="I103" s="6">
        <f t="shared" si="34"/>
        <v>0.1121969</v>
      </c>
      <c r="J103" s="6">
        <f t="shared" si="34"/>
        <v>0.1144114</v>
      </c>
      <c r="K103" s="6">
        <f t="shared" si="34"/>
        <v>8.6183070000000001E-2</v>
      </c>
      <c r="L103" s="6">
        <f t="shared" si="34"/>
        <v>6.2961100000000006E-2</v>
      </c>
      <c r="M103" s="6">
        <f t="shared" si="34"/>
        <v>2.858162E-3</v>
      </c>
      <c r="N103" s="6">
        <f t="shared" si="34"/>
        <v>1.8799779999999999E-2</v>
      </c>
      <c r="O103" s="6">
        <f t="shared" si="34"/>
        <v>9.3879700000000007E-3</v>
      </c>
      <c r="P103" s="6">
        <f t="shared" si="34"/>
        <v>-5.6886670000000003E-4</v>
      </c>
      <c r="Q103" s="6">
        <f t="shared" si="34"/>
        <v>5.9233189999999998E-2</v>
      </c>
      <c r="R103" s="6">
        <f t="shared" si="34"/>
        <v>-1.8020149999999999E-2</v>
      </c>
      <c r="S103" s="6">
        <f t="shared" si="34"/>
        <v>-2.1941180000000001E-2</v>
      </c>
      <c r="T103" s="6">
        <f t="shared" si="34"/>
        <v>4.508972E-3</v>
      </c>
      <c r="U103" s="6">
        <f t="shared" si="34"/>
        <v>-2.725458E-2</v>
      </c>
      <c r="V103" s="6">
        <f t="shared" si="34"/>
        <v>-2.5507450000000001E-2</v>
      </c>
      <c r="W103" s="6">
        <f t="shared" si="34"/>
        <v>-2.4662489999999999E-2</v>
      </c>
      <c r="X103" s="6">
        <f t="shared" ref="X103:AM103" si="35">G61</f>
        <v>-2.763796E-2</v>
      </c>
      <c r="Y103" s="6">
        <f t="shared" si="35"/>
        <v>-2.7016640000000001E-2</v>
      </c>
      <c r="Z103" s="6">
        <f t="shared" si="35"/>
        <v>-3.106213E-2</v>
      </c>
      <c r="AA103" s="6">
        <f t="shared" si="35"/>
        <v>-3.9355750000000002E-2</v>
      </c>
      <c r="AB103" s="6">
        <f t="shared" si="35"/>
        <v>-5.3333279999999997E-2</v>
      </c>
      <c r="AC103" s="6">
        <f t="shared" si="35"/>
        <v>-7.2824479999999997E-2</v>
      </c>
      <c r="AD103" s="6">
        <f t="shared" si="35"/>
        <v>-0.13698199999999999</v>
      </c>
      <c r="AE103" s="6">
        <f t="shared" si="35"/>
        <v>-0.16563839999999999</v>
      </c>
      <c r="AF103" s="6">
        <f t="shared" si="35"/>
        <v>-0.18788289999999999</v>
      </c>
      <c r="AG103" s="6">
        <f t="shared" si="35"/>
        <v>-0.2106924</v>
      </c>
      <c r="AH103" s="6">
        <f t="shared" si="35"/>
        <v>-0.24751999999999999</v>
      </c>
      <c r="AI103" s="6">
        <f t="shared" si="35"/>
        <v>-0.29391909999999999</v>
      </c>
      <c r="AJ103" s="6">
        <f t="shared" si="35"/>
        <v>-0.32130379999999997</v>
      </c>
      <c r="AK103" s="6">
        <f t="shared" si="35"/>
        <v>-0.34963939999999999</v>
      </c>
      <c r="AL103" s="6">
        <f t="shared" si="35"/>
        <v>-0.54309839999999998</v>
      </c>
      <c r="AM103" s="6">
        <f t="shared" si="35"/>
        <v>-0.61580420000000002</v>
      </c>
    </row>
    <row r="104" spans="7:39" x14ac:dyDescent="0.25">
      <c r="G104" s="5">
        <v>13</v>
      </c>
      <c r="H104" s="6">
        <f t="shared" ref="H104:W104" si="36">G63</f>
        <v>-0.4684277</v>
      </c>
      <c r="I104" s="6">
        <f t="shared" si="36"/>
        <v>0.1042008</v>
      </c>
      <c r="J104" s="6">
        <f t="shared" si="36"/>
        <v>0.11708880000000001</v>
      </c>
      <c r="K104" s="6">
        <f t="shared" si="36"/>
        <v>9.4112870000000001E-2</v>
      </c>
      <c r="L104" s="6">
        <f t="shared" si="36"/>
        <v>7.2090150000000006E-2</v>
      </c>
      <c r="M104" s="6">
        <f t="shared" si="36"/>
        <v>3.5529139999999999E-3</v>
      </c>
      <c r="N104" s="6">
        <f t="shared" si="36"/>
        <v>2.715445E-2</v>
      </c>
      <c r="O104" s="6">
        <f t="shared" si="36"/>
        <v>1.7452240000000001E-2</v>
      </c>
      <c r="P104" s="6">
        <f t="shared" si="36"/>
        <v>6.128311E-3</v>
      </c>
      <c r="Q104" s="6">
        <f t="shared" si="36"/>
        <v>5.9581759999999998E-2</v>
      </c>
      <c r="R104" s="6">
        <f t="shared" si="36"/>
        <v>-1.2559890000000001E-2</v>
      </c>
      <c r="S104" s="6">
        <f t="shared" si="36"/>
        <v>-1.79472E-2</v>
      </c>
      <c r="T104" s="6">
        <f t="shared" si="36"/>
        <v>4.867077E-3</v>
      </c>
      <c r="U104" s="6">
        <f t="shared" si="36"/>
        <v>-2.4820800000000001E-2</v>
      </c>
      <c r="V104" s="6">
        <f t="shared" si="36"/>
        <v>-2.4242400000000001E-2</v>
      </c>
      <c r="W104" s="6">
        <f t="shared" si="36"/>
        <v>-2.5499339999999999E-2</v>
      </c>
      <c r="X104" s="6">
        <f t="shared" ref="X104:AM104" si="37">G64</f>
        <v>-3.1476499999999998E-2</v>
      </c>
      <c r="Y104" s="6">
        <f t="shared" si="37"/>
        <v>-3.1831739999999997E-2</v>
      </c>
      <c r="Z104" s="6">
        <f t="shared" si="37"/>
        <v>-3.3792969999999999E-2</v>
      </c>
      <c r="AA104" s="6">
        <f t="shared" si="37"/>
        <v>-4.0225030000000002E-2</v>
      </c>
      <c r="AB104" s="6">
        <f t="shared" si="37"/>
        <v>-5.1517010000000002E-2</v>
      </c>
      <c r="AC104" s="6">
        <f t="shared" si="37"/>
        <v>-7.0128919999999997E-2</v>
      </c>
      <c r="AD104" s="6">
        <f t="shared" si="37"/>
        <v>-0.13803579999999999</v>
      </c>
      <c r="AE104" s="6">
        <f t="shared" si="37"/>
        <v>-0.1685777</v>
      </c>
      <c r="AF104" s="6">
        <f t="shared" si="37"/>
        <v>-0.19195889999999999</v>
      </c>
      <c r="AG104" s="6">
        <f t="shared" si="37"/>
        <v>-0.21660090000000001</v>
      </c>
      <c r="AH104" s="6">
        <f t="shared" si="37"/>
        <v>-0.25605869999999997</v>
      </c>
      <c r="AI104" s="6">
        <f t="shared" si="37"/>
        <v>-0.30749270000000001</v>
      </c>
      <c r="AJ104" s="6">
        <f t="shared" si="37"/>
        <v>-0.33851389999999998</v>
      </c>
      <c r="AK104" s="6">
        <f t="shared" si="37"/>
        <v>-0.36732340000000002</v>
      </c>
      <c r="AL104" s="6">
        <f t="shared" si="37"/>
        <v>-0.60246560000000005</v>
      </c>
      <c r="AM104" s="6">
        <f t="shared" si="37"/>
        <v>-0.64160059999999997</v>
      </c>
    </row>
    <row r="105" spans="7:39" x14ac:dyDescent="0.25">
      <c r="G105" s="5">
        <v>14</v>
      </c>
      <c r="H105" s="6">
        <f t="shared" ref="H105:W105" si="38">G66</f>
        <v>-0.55729249999999997</v>
      </c>
      <c r="I105" s="6">
        <f t="shared" si="38"/>
        <v>9.3287469999999997E-2</v>
      </c>
      <c r="J105" s="6">
        <f t="shared" si="38"/>
        <v>0.1168733</v>
      </c>
      <c r="K105" s="6">
        <f t="shared" si="38"/>
        <v>9.9445820000000004E-2</v>
      </c>
      <c r="L105" s="6">
        <f t="shared" si="38"/>
        <v>7.8980449999999994E-2</v>
      </c>
      <c r="M105" s="6">
        <f t="shared" si="38"/>
        <v>4.2471890000000002E-3</v>
      </c>
      <c r="N105" s="6">
        <f t="shared" si="38"/>
        <v>3.4528730000000001E-2</v>
      </c>
      <c r="O105" s="6">
        <f t="shared" si="38"/>
        <v>2.342033E-2</v>
      </c>
      <c r="P105" s="6">
        <f t="shared" si="38"/>
        <v>1.170206E-2</v>
      </c>
      <c r="Q105" s="6">
        <f t="shared" si="38"/>
        <v>5.9755799999999998E-2</v>
      </c>
      <c r="R105" s="6">
        <f t="shared" si="38"/>
        <v>-9.598255E-3</v>
      </c>
      <c r="S105" s="6">
        <f t="shared" si="38"/>
        <v>-1.534367E-2</v>
      </c>
      <c r="T105" s="6">
        <f t="shared" si="38"/>
        <v>5.0454139999999998E-3</v>
      </c>
      <c r="U105" s="6">
        <f t="shared" si="38"/>
        <v>-2.4473189999999999E-2</v>
      </c>
      <c r="V105" s="6">
        <f t="shared" si="38"/>
        <v>-2.5690560000000001E-2</v>
      </c>
      <c r="W105" s="6">
        <f t="shared" si="38"/>
        <v>-2.9207230000000001E-2</v>
      </c>
      <c r="X105" s="6">
        <f t="shared" ref="X105:AM105" si="39">G67</f>
        <v>-3.6589150000000001E-2</v>
      </c>
      <c r="Y105" s="6">
        <f t="shared" si="39"/>
        <v>-3.885508E-2</v>
      </c>
      <c r="Z105" s="6">
        <f t="shared" si="39"/>
        <v>-3.9623739999999998E-2</v>
      </c>
      <c r="AA105" s="6">
        <f t="shared" si="39"/>
        <v>-4.404831E-2</v>
      </c>
      <c r="AB105" s="6">
        <f t="shared" si="39"/>
        <v>-5.2424909999999998E-2</v>
      </c>
      <c r="AC105" s="6">
        <f t="shared" si="39"/>
        <v>-6.8157200000000001E-2</v>
      </c>
      <c r="AD105" s="6">
        <f t="shared" si="39"/>
        <v>-0.13803579999999999</v>
      </c>
      <c r="AE105" s="6">
        <f t="shared" si="39"/>
        <v>-0.1716838</v>
      </c>
      <c r="AF105" s="6">
        <f t="shared" si="39"/>
        <v>-0.1963396</v>
      </c>
      <c r="AG105" s="6">
        <f t="shared" si="39"/>
        <v>-0.22287889999999999</v>
      </c>
      <c r="AH105" s="6">
        <f t="shared" si="39"/>
        <v>-0.26531979999999999</v>
      </c>
      <c r="AI105" s="6">
        <f t="shared" si="39"/>
        <v>-0.32111450000000002</v>
      </c>
      <c r="AJ105" s="6">
        <f t="shared" si="39"/>
        <v>-0.35662840000000001</v>
      </c>
      <c r="AK105" s="6">
        <f t="shared" si="39"/>
        <v>-0.39631319999999998</v>
      </c>
      <c r="AL105" s="6">
        <f t="shared" si="39"/>
        <v>-0.66312499999999996</v>
      </c>
      <c r="AM105" s="6">
        <f t="shared" si="39"/>
        <v>-0.68726589999999999</v>
      </c>
    </row>
    <row r="106" spans="7:39" x14ac:dyDescent="0.25">
      <c r="G106" s="5">
        <v>15</v>
      </c>
      <c r="H106" s="6">
        <f t="shared" ref="H106:W106" si="40">G69</f>
        <v>-0.62698980000000004</v>
      </c>
      <c r="I106" s="6">
        <f t="shared" si="40"/>
        <v>8.113194E-2</v>
      </c>
      <c r="J106" s="6">
        <f t="shared" si="40"/>
        <v>0.114759</v>
      </c>
      <c r="K106" s="6">
        <f t="shared" si="40"/>
        <v>0.10305880000000001</v>
      </c>
      <c r="L106" s="6">
        <f t="shared" si="40"/>
        <v>8.4148410000000007E-2</v>
      </c>
      <c r="M106" s="6">
        <f t="shared" si="40"/>
        <v>4.420757E-3</v>
      </c>
      <c r="N106" s="6">
        <f t="shared" si="40"/>
        <v>3.9834979999999999E-2</v>
      </c>
      <c r="O106" s="6">
        <f t="shared" si="40"/>
        <v>2.833128E-2</v>
      </c>
      <c r="P106" s="6">
        <f t="shared" si="40"/>
        <v>1.6757970000000001E-2</v>
      </c>
      <c r="Q106" s="6">
        <f t="shared" si="40"/>
        <v>5.9755799999999998E-2</v>
      </c>
      <c r="R106" s="6">
        <f t="shared" si="40"/>
        <v>-6.1097149999999999E-3</v>
      </c>
      <c r="S106" s="6">
        <f t="shared" si="40"/>
        <v>-1.2562749999999999E-2</v>
      </c>
      <c r="T106" s="6">
        <f t="shared" si="40"/>
        <v>5.223274E-3</v>
      </c>
      <c r="U106" s="6">
        <f t="shared" si="40"/>
        <v>-2.4473189999999999E-2</v>
      </c>
      <c r="V106" s="6">
        <f t="shared" si="40"/>
        <v>-2.715731E-2</v>
      </c>
      <c r="W106" s="6">
        <f t="shared" si="40"/>
        <v>-3.2844539999999998E-2</v>
      </c>
      <c r="X106" s="5">
        <f t="shared" ref="X106:AM106" si="41">G70</f>
        <v>-4.261351E-2</v>
      </c>
      <c r="Y106" s="5">
        <f t="shared" si="41"/>
        <v>-4.8944950000000001E-2</v>
      </c>
      <c r="Z106" s="5">
        <f t="shared" si="41"/>
        <v>-4.836178E-2</v>
      </c>
      <c r="AA106" s="5">
        <f t="shared" si="41"/>
        <v>-5.204868E-2</v>
      </c>
      <c r="AB106" s="5">
        <f t="shared" si="41"/>
        <v>-5.5330280000000003E-2</v>
      </c>
      <c r="AC106" s="5">
        <f t="shared" si="41"/>
        <v>-6.4922809999999997E-2</v>
      </c>
      <c r="AD106" s="5">
        <f t="shared" si="41"/>
        <v>-0.1308899</v>
      </c>
      <c r="AE106" s="5">
        <f t="shared" si="41"/>
        <v>-0.1665683</v>
      </c>
      <c r="AF106" s="5">
        <f t="shared" si="41"/>
        <v>-0.19273709999999999</v>
      </c>
      <c r="AG106" s="5">
        <f t="shared" si="41"/>
        <v>-0.22103310000000001</v>
      </c>
      <c r="AH106" s="5">
        <f t="shared" si="41"/>
        <v>-0.26477580000000001</v>
      </c>
      <c r="AI106" s="5">
        <f t="shared" si="41"/>
        <v>-0.3240132</v>
      </c>
      <c r="AJ106" s="5">
        <f t="shared" si="41"/>
        <v>-0.36277720000000002</v>
      </c>
      <c r="AK106" s="5">
        <f t="shared" si="41"/>
        <v>-0.41290280000000001</v>
      </c>
      <c r="AL106" s="5">
        <f t="shared" si="41"/>
        <v>-0.70508000000000004</v>
      </c>
      <c r="AM106" s="5">
        <f t="shared" si="41"/>
        <v>-0.7216439</v>
      </c>
    </row>
    <row r="107" spans="7:39" x14ac:dyDescent="0.25">
      <c r="G107" s="5">
        <v>16</v>
      </c>
      <c r="H107" s="6">
        <f t="shared" ref="H107:W107" si="42">G72</f>
        <v>-0.18205450000000001</v>
      </c>
      <c r="I107" s="6">
        <f t="shared" si="42"/>
        <v>0.1173368</v>
      </c>
      <c r="J107" s="6">
        <f t="shared" si="42"/>
        <v>0.110568</v>
      </c>
      <c r="K107" s="6">
        <f t="shared" si="42"/>
        <v>8.2047460000000003E-2</v>
      </c>
      <c r="L107" s="6">
        <f t="shared" si="42"/>
        <v>6.0030939999999998E-2</v>
      </c>
      <c r="M107" s="6">
        <f t="shared" si="42"/>
        <v>3.0455590000000002E-3</v>
      </c>
      <c r="N107" s="6">
        <f t="shared" si="42"/>
        <v>1.7240519999999999E-2</v>
      </c>
      <c r="O107" s="6">
        <f t="shared" si="42"/>
        <v>7.6355930000000004E-3</v>
      </c>
      <c r="P107" s="6">
        <f t="shared" si="42"/>
        <v>-3.3831600000000001E-3</v>
      </c>
      <c r="Q107" s="6">
        <f t="shared" si="42"/>
        <v>5.8885100000000003E-2</v>
      </c>
      <c r="R107" s="6">
        <f t="shared" si="42"/>
        <v>-2.49505E-2</v>
      </c>
      <c r="S107" s="6">
        <f t="shared" si="42"/>
        <v>-3.110456E-2</v>
      </c>
      <c r="T107" s="6">
        <f t="shared" si="42"/>
        <v>5.580425E-3</v>
      </c>
      <c r="U107" s="6">
        <f t="shared" si="42"/>
        <v>-4.499388E-2</v>
      </c>
      <c r="V107" s="6">
        <f t="shared" si="42"/>
        <v>-5.0807480000000002E-2</v>
      </c>
      <c r="W107" s="6">
        <f t="shared" si="42"/>
        <v>-5.9751510000000001E-2</v>
      </c>
      <c r="X107" s="6">
        <f t="shared" ref="X107:AM107" si="43">G73</f>
        <v>-7.802916E-2</v>
      </c>
      <c r="Y107" s="6">
        <f t="shared" si="43"/>
        <v>-8.9657310000000004E-2</v>
      </c>
      <c r="Z107" s="6">
        <f t="shared" si="43"/>
        <v>-9.58643E-2</v>
      </c>
      <c r="AA107" s="6">
        <f t="shared" si="43"/>
        <v>-0.10265730000000001</v>
      </c>
      <c r="AB107" s="6">
        <f t="shared" si="43"/>
        <v>-0.1141624</v>
      </c>
      <c r="AC107" s="6">
        <f t="shared" si="43"/>
        <v>-0.1265588</v>
      </c>
      <c r="AD107" s="6">
        <f t="shared" si="43"/>
        <v>-0.1723671</v>
      </c>
      <c r="AE107" s="6">
        <f t="shared" si="43"/>
        <v>-0.18118429999999999</v>
      </c>
      <c r="AF107" s="6">
        <f t="shared" si="43"/>
        <v>-0.18241260000000001</v>
      </c>
      <c r="AG107" s="6">
        <f t="shared" si="43"/>
        <v>-0.182445</v>
      </c>
      <c r="AH107" s="6">
        <f t="shared" si="43"/>
        <v>-0.18955420000000001</v>
      </c>
      <c r="AI107" s="6">
        <f t="shared" si="43"/>
        <v>-0.19935659999999999</v>
      </c>
      <c r="AJ107" s="6">
        <f t="shared" si="43"/>
        <v>-0.20003650000000001</v>
      </c>
      <c r="AK107" s="6">
        <f t="shared" si="43"/>
        <v>-0.1942797</v>
      </c>
      <c r="AL107" s="6">
        <f t="shared" si="43"/>
        <v>-0.18712899999999999</v>
      </c>
      <c r="AM107" s="6">
        <f t="shared" si="43"/>
        <v>-0.17363020000000001</v>
      </c>
    </row>
    <row r="108" spans="7:39" x14ac:dyDescent="0.25">
      <c r="G108" s="5">
        <v>17</v>
      </c>
      <c r="H108" s="6">
        <f t="shared" ref="H108:W108" si="44">G75</f>
        <v>-0.1162057</v>
      </c>
      <c r="I108" s="6">
        <f t="shared" si="44"/>
        <v>0.1188912</v>
      </c>
      <c r="J108" s="6">
        <f t="shared" si="44"/>
        <v>0.1068344</v>
      </c>
      <c r="K108" s="6">
        <f t="shared" si="44"/>
        <v>7.7598570000000006E-2</v>
      </c>
      <c r="L108" s="6">
        <f t="shared" si="44"/>
        <v>5.6758879999999998E-2</v>
      </c>
      <c r="M108" s="6">
        <f t="shared" si="44"/>
        <v>2.6965140000000001E-3</v>
      </c>
      <c r="N108" s="6">
        <f t="shared" si="44"/>
        <v>1.495171E-2</v>
      </c>
      <c r="O108" s="6">
        <f t="shared" si="44"/>
        <v>5.1794049999999998E-3</v>
      </c>
      <c r="P108" s="6">
        <f t="shared" si="44"/>
        <v>-5.6309699999999999E-3</v>
      </c>
      <c r="Q108" s="6">
        <f t="shared" si="44"/>
        <v>5.8904169999999999E-2</v>
      </c>
      <c r="R108" s="6">
        <f t="shared" si="44"/>
        <v>-2.7729509999999999E-2</v>
      </c>
      <c r="S108" s="6">
        <f t="shared" si="44"/>
        <v>-3.5667900000000002E-2</v>
      </c>
      <c r="T108" s="6">
        <f t="shared" si="44"/>
        <v>4.6892169999999999E-3</v>
      </c>
      <c r="U108" s="6">
        <f t="shared" si="44"/>
        <v>-5.2645209999999998E-2</v>
      </c>
      <c r="V108" s="6">
        <f t="shared" si="44"/>
        <v>-5.9602259999999997E-2</v>
      </c>
      <c r="W108" s="6">
        <f t="shared" si="44"/>
        <v>-7.2915079999999993E-2</v>
      </c>
      <c r="X108" s="6">
        <f t="shared" ref="X108:AM108" si="45">G76</f>
        <v>-9.2811580000000005E-2</v>
      </c>
      <c r="Y108" s="6">
        <f t="shared" si="45"/>
        <v>-0.11796470000000001</v>
      </c>
      <c r="Z108" s="6">
        <f t="shared" si="45"/>
        <v>-0.13008790000000001</v>
      </c>
      <c r="AA108" s="6">
        <f t="shared" si="45"/>
        <v>-0.13952020000000001</v>
      </c>
      <c r="AB108" s="6">
        <f t="shared" si="45"/>
        <v>-0.1457601</v>
      </c>
      <c r="AC108" s="6">
        <f t="shared" si="45"/>
        <v>-0.15261079999999999</v>
      </c>
      <c r="AD108" s="6">
        <f t="shared" si="45"/>
        <v>-0.14605090000000001</v>
      </c>
      <c r="AE108" s="6">
        <f t="shared" si="45"/>
        <v>-0.1406202</v>
      </c>
      <c r="AF108" s="6">
        <f t="shared" si="45"/>
        <v>-0.1393218</v>
      </c>
      <c r="AG108" s="6">
        <f t="shared" si="45"/>
        <v>-0.1366482</v>
      </c>
      <c r="AH108" s="6">
        <f t="shared" si="45"/>
        <v>-0.13554430000000001</v>
      </c>
      <c r="AI108" s="6">
        <f t="shared" si="45"/>
        <v>-0.1370401</v>
      </c>
      <c r="AJ108" s="6">
        <f t="shared" si="45"/>
        <v>-0.1320152</v>
      </c>
      <c r="AK108" s="6">
        <f t="shared" si="45"/>
        <v>-0.1340942</v>
      </c>
      <c r="AL108" s="6">
        <f t="shared" si="45"/>
        <v>-0.13121369999999999</v>
      </c>
      <c r="AM108" s="6">
        <f t="shared" si="45"/>
        <v>-0.12864110000000001</v>
      </c>
    </row>
    <row r="109" spans="7:39" x14ac:dyDescent="0.25">
      <c r="G109" s="5">
        <v>18</v>
      </c>
      <c r="H109" s="6">
        <f t="shared" ref="H109:W109" si="46">G78</f>
        <v>-0.11549570000000001</v>
      </c>
      <c r="I109" s="6">
        <f t="shared" si="46"/>
        <v>0.1203008</v>
      </c>
      <c r="J109" s="6">
        <f t="shared" si="46"/>
        <v>0.1096535</v>
      </c>
      <c r="K109" s="6">
        <f t="shared" si="46"/>
        <v>8.1383230000000001E-2</v>
      </c>
      <c r="L109" s="6">
        <f t="shared" si="46"/>
        <v>5.9859750000000003E-2</v>
      </c>
      <c r="M109" s="6">
        <f t="shared" si="46"/>
        <v>2.522945E-3</v>
      </c>
      <c r="N109" s="6">
        <f t="shared" si="46"/>
        <v>1.742792E-2</v>
      </c>
      <c r="O109" s="6">
        <f t="shared" si="46"/>
        <v>7.8101159999999998E-3</v>
      </c>
      <c r="P109" s="6">
        <f t="shared" si="46"/>
        <v>-3.8871769999999999E-3</v>
      </c>
      <c r="Q109" s="6">
        <f t="shared" si="46"/>
        <v>5.8904169999999999E-2</v>
      </c>
      <c r="R109" s="6">
        <f t="shared" si="46"/>
        <v>-2.7031900000000001E-2</v>
      </c>
      <c r="S109" s="6">
        <f t="shared" si="46"/>
        <v>-3.5841459999999999E-2</v>
      </c>
      <c r="T109" s="6">
        <f t="shared" si="46"/>
        <v>4.1546819999999998E-3</v>
      </c>
      <c r="U109" s="6">
        <f t="shared" si="46"/>
        <v>-5.403662E-2</v>
      </c>
      <c r="V109" s="6">
        <f t="shared" si="46"/>
        <v>-6.2719349999999993E-2</v>
      </c>
      <c r="W109" s="6">
        <f t="shared" si="46"/>
        <v>-7.7279089999999995E-2</v>
      </c>
      <c r="X109" s="5">
        <f t="shared" ref="X109:AM109" si="47">G79</f>
        <v>-9.7192290000000001E-2</v>
      </c>
      <c r="Y109" s="5">
        <f t="shared" si="47"/>
        <v>-0.1219287</v>
      </c>
      <c r="Z109" s="5">
        <f t="shared" si="47"/>
        <v>-0.13281770000000001</v>
      </c>
      <c r="AA109" s="5">
        <f t="shared" si="47"/>
        <v>-0.14195440000000001</v>
      </c>
      <c r="AB109" s="5">
        <f t="shared" si="47"/>
        <v>-0.1477571</v>
      </c>
      <c r="AC109" s="5">
        <f t="shared" si="47"/>
        <v>-0.15440699999999999</v>
      </c>
      <c r="AD109" s="5">
        <f t="shared" si="47"/>
        <v>-0.1436114</v>
      </c>
      <c r="AE109" s="5">
        <f t="shared" si="47"/>
        <v>-0.13696620000000001</v>
      </c>
      <c r="AF109" s="5">
        <f t="shared" si="47"/>
        <v>-0.1344581</v>
      </c>
      <c r="AG109" s="5">
        <f t="shared" si="47"/>
        <v>-0.13166330000000001</v>
      </c>
      <c r="AH109" s="5">
        <f t="shared" si="47"/>
        <v>-0.13119459999999999</v>
      </c>
      <c r="AI109" s="5">
        <f t="shared" si="47"/>
        <v>-0.12997249999999999</v>
      </c>
      <c r="AJ109" s="5">
        <f t="shared" si="47"/>
        <v>-0.12832399999999999</v>
      </c>
      <c r="AK109" s="5">
        <f t="shared" si="47"/>
        <v>-0.1286225</v>
      </c>
      <c r="AL109" s="5">
        <f t="shared" si="47"/>
        <v>-0.126996</v>
      </c>
      <c r="AM109" s="5">
        <f t="shared" si="47"/>
        <v>-0.12505579999999999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M109"/>
  <sheetViews>
    <sheetView workbookViewId="0">
      <selection activeCell="A110" sqref="A110:XFD230"/>
    </sheetView>
  </sheetViews>
  <sheetFormatPr defaultRowHeight="15" x14ac:dyDescent="0.25"/>
  <sheetData>
    <row r="1" spans="1:22" x14ac:dyDescent="0.25">
      <c r="B1">
        <v>9116</v>
      </c>
      <c r="C1">
        <v>6742</v>
      </c>
      <c r="D1">
        <v>1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</row>
    <row r="3" spans="1:22" x14ac:dyDescent="0.25">
      <c r="B3">
        <v>9116</v>
      </c>
      <c r="C3">
        <v>6744</v>
      </c>
      <c r="D3">
        <v>1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29</v>
      </c>
    </row>
    <row r="4" spans="1:22" x14ac:dyDescent="0.25">
      <c r="A4" t="s">
        <v>30</v>
      </c>
      <c r="B4" t="s">
        <v>31</v>
      </c>
      <c r="C4" t="s">
        <v>32</v>
      </c>
      <c r="D4" t="s">
        <v>33</v>
      </c>
      <c r="E4" t="s">
        <v>34</v>
      </c>
      <c r="F4" t="s">
        <v>35</v>
      </c>
    </row>
    <row r="5" spans="1:22" x14ac:dyDescent="0.25">
      <c r="A5" t="s">
        <v>36</v>
      </c>
    </row>
    <row r="6" spans="1:22" x14ac:dyDescent="0.25">
      <c r="A6" t="s">
        <v>36</v>
      </c>
    </row>
    <row r="7" spans="1:22" x14ac:dyDescent="0.25">
      <c r="A7" t="s">
        <v>43</v>
      </c>
    </row>
    <row r="8" spans="1:22" x14ac:dyDescent="0.25">
      <c r="A8" t="s">
        <v>98</v>
      </c>
    </row>
    <row r="9" spans="1:22" x14ac:dyDescent="0.25">
      <c r="A9">
        <v>11.244999999999999</v>
      </c>
      <c r="B9">
        <v>9116</v>
      </c>
      <c r="C9">
        <v>6742</v>
      </c>
      <c r="D9">
        <v>1</v>
      </c>
      <c r="E9">
        <v>1</v>
      </c>
      <c r="F9" t="s">
        <v>13</v>
      </c>
      <c r="G9" s="3">
        <v>-6.1464310000000004E-4</v>
      </c>
      <c r="H9" s="3">
        <v>-6.4849850000000002E-4</v>
      </c>
      <c r="I9" s="3">
        <v>-4.6157840000000001E-4</v>
      </c>
      <c r="J9" s="3">
        <v>3.9632319999999999E-2</v>
      </c>
      <c r="K9" s="3">
        <v>-2.5653839999999998E-4</v>
      </c>
      <c r="L9" s="3">
        <v>-6.1178209999999998E-4</v>
      </c>
      <c r="M9" s="3">
        <v>-1.2450219999999999E-3</v>
      </c>
      <c r="N9" s="3">
        <v>-1.192093E-4</v>
      </c>
      <c r="O9" s="3">
        <v>4.3630600000000002E-4</v>
      </c>
      <c r="P9" s="3">
        <v>4.3742179999999999E-2</v>
      </c>
      <c r="Q9" s="3">
        <v>7.2145460000000005E-4</v>
      </c>
      <c r="R9" s="3">
        <v>9.8705290000000004E-5</v>
      </c>
      <c r="S9" s="3">
        <v>1.8774030000000001E-2</v>
      </c>
      <c r="T9" s="3">
        <v>-3.0565259999999999E-4</v>
      </c>
      <c r="U9" s="3">
        <v>2.3031230000000001E-4</v>
      </c>
      <c r="V9" s="3">
        <v>-1.416206E-4</v>
      </c>
    </row>
    <row r="10" spans="1:22" x14ac:dyDescent="0.25">
      <c r="A10">
        <v>11.268000000000001</v>
      </c>
      <c r="B10">
        <v>9116</v>
      </c>
      <c r="C10">
        <v>6744</v>
      </c>
      <c r="D10">
        <v>1</v>
      </c>
      <c r="E10">
        <v>1</v>
      </c>
      <c r="F10" t="s">
        <v>13</v>
      </c>
      <c r="G10" s="3">
        <v>-6.5183639999999996E-4</v>
      </c>
      <c r="H10" s="3">
        <v>-1.280308E-3</v>
      </c>
      <c r="I10" s="3">
        <v>-8.8691710000000004E-5</v>
      </c>
      <c r="J10" s="3">
        <v>3.4039020000000003E-2</v>
      </c>
      <c r="K10" s="3">
        <v>-3.2901760000000001E-5</v>
      </c>
      <c r="L10" s="3">
        <v>-5.0067899999999997E-4</v>
      </c>
      <c r="M10" s="3">
        <v>-1.240253E-3</v>
      </c>
      <c r="N10" s="3">
        <v>9.9182129999999996E-5</v>
      </c>
      <c r="O10" s="3">
        <v>-9.5558169999999997E-4</v>
      </c>
      <c r="P10" s="3">
        <v>3.7574769999999997E-4</v>
      </c>
      <c r="Q10" s="3">
        <v>2.7942659999999998E-4</v>
      </c>
      <c r="R10" s="3">
        <v>-3.8957599999999998E-4</v>
      </c>
      <c r="S10" s="3">
        <v>-1.029968E-3</v>
      </c>
      <c r="T10" s="3">
        <v>3.9672850000000001E-4</v>
      </c>
      <c r="U10" s="3">
        <v>1.037121E-3</v>
      </c>
      <c r="V10" s="3">
        <v>2.0885470000000001E-4</v>
      </c>
    </row>
    <row r="11" spans="1:22" x14ac:dyDescent="0.25">
      <c r="A11" t="s">
        <v>219</v>
      </c>
    </row>
    <row r="12" spans="1:22" x14ac:dyDescent="0.25">
      <c r="A12">
        <v>11257.34</v>
      </c>
      <c r="B12">
        <v>9116</v>
      </c>
      <c r="C12">
        <v>6742</v>
      </c>
      <c r="D12">
        <v>1</v>
      </c>
      <c r="E12">
        <v>1</v>
      </c>
      <c r="F12" t="s">
        <v>13</v>
      </c>
      <c r="G12" s="3">
        <v>-7.2000980000000006E-2</v>
      </c>
      <c r="H12">
        <v>-0.51029630000000004</v>
      </c>
      <c r="I12">
        <v>-0.44122509999999998</v>
      </c>
      <c r="J12">
        <v>-0.36054940000000002</v>
      </c>
      <c r="K12">
        <v>-0.31434250000000002</v>
      </c>
      <c r="L12" s="3">
        <v>-2.524185E-2</v>
      </c>
      <c r="M12">
        <v>-0.26066830000000002</v>
      </c>
      <c r="N12">
        <v>-0.21980330000000001</v>
      </c>
      <c r="O12">
        <v>-0.20212359999999999</v>
      </c>
      <c r="P12" s="3">
        <v>5.1607609999999998E-2</v>
      </c>
      <c r="Q12">
        <v>-0.15998319999999999</v>
      </c>
      <c r="R12">
        <v>-0.1334071</v>
      </c>
      <c r="S12" s="3">
        <v>3.7999150000000001E-3</v>
      </c>
      <c r="T12" s="3">
        <v>-9.4731330000000002E-2</v>
      </c>
      <c r="U12" s="3">
        <v>-7.2966580000000003E-2</v>
      </c>
      <c r="V12" s="3">
        <v>-5.2055360000000002E-2</v>
      </c>
    </row>
    <row r="13" spans="1:22" x14ac:dyDescent="0.25">
      <c r="A13">
        <v>11257.37</v>
      </c>
      <c r="B13">
        <v>9116</v>
      </c>
      <c r="C13">
        <v>6744</v>
      </c>
      <c r="D13">
        <v>1</v>
      </c>
      <c r="E13">
        <v>1</v>
      </c>
      <c r="F13" t="s">
        <v>13</v>
      </c>
      <c r="G13" s="3">
        <v>-4.390144E-2</v>
      </c>
      <c r="H13" s="3">
        <v>-3.646278E-2</v>
      </c>
      <c r="I13">
        <v>-3.5628800000000002E-2</v>
      </c>
      <c r="J13">
        <v>-4.2481900000000003E-2</v>
      </c>
      <c r="K13">
        <v>-4.5532700000000002E-2</v>
      </c>
      <c r="L13" s="3">
        <v>-5.3251270000000003E-2</v>
      </c>
      <c r="M13" s="3">
        <v>-5.853415E-2</v>
      </c>
      <c r="N13" s="3">
        <v>-5.2936549999999999E-2</v>
      </c>
      <c r="O13" s="3">
        <v>-5.1139829999999997E-2</v>
      </c>
      <c r="P13" s="3">
        <v>-4.3035030000000002E-2</v>
      </c>
      <c r="Q13" s="3">
        <v>-3.351498E-2</v>
      </c>
      <c r="R13" s="3">
        <v>-1.1443139999999999E-2</v>
      </c>
      <c r="S13" s="3">
        <v>8.1543919999999999E-3</v>
      </c>
      <c r="T13">
        <v>3.5721299999999997E-2</v>
      </c>
      <c r="U13" s="3">
        <v>7.9891680000000007E-2</v>
      </c>
      <c r="V13">
        <v>0.1235332</v>
      </c>
    </row>
    <row r="14" spans="1:22" x14ac:dyDescent="0.25">
      <c r="A14" t="s">
        <v>220</v>
      </c>
    </row>
    <row r="15" spans="1:22" x14ac:dyDescent="0.25">
      <c r="A15">
        <v>11268.12</v>
      </c>
      <c r="B15">
        <v>9116</v>
      </c>
      <c r="C15">
        <v>6742</v>
      </c>
      <c r="D15">
        <v>1</v>
      </c>
      <c r="E15">
        <v>1</v>
      </c>
      <c r="F15" t="s">
        <v>13</v>
      </c>
      <c r="G15" s="3">
        <v>3.8104060000000001E-3</v>
      </c>
      <c r="H15">
        <v>-0.42142869999999999</v>
      </c>
      <c r="I15">
        <v>-0.38138290000000002</v>
      </c>
      <c r="J15">
        <v>-0.3216987</v>
      </c>
      <c r="K15">
        <v>-0.2812886</v>
      </c>
      <c r="L15" s="3">
        <v>-2.1943089999999998E-2</v>
      </c>
      <c r="M15">
        <v>-0.2373314</v>
      </c>
      <c r="N15">
        <v>-0.21191409999999999</v>
      </c>
      <c r="O15">
        <v>-0.19253780000000001</v>
      </c>
      <c r="P15" s="3">
        <v>5.1781649999999999E-2</v>
      </c>
      <c r="Q15">
        <v>-0.1521354</v>
      </c>
      <c r="R15">
        <v>-0.1276727</v>
      </c>
      <c r="S15" s="3">
        <v>2.908707E-3</v>
      </c>
      <c r="T15" s="3">
        <v>-9.1948509999999997E-2</v>
      </c>
      <c r="U15" s="3">
        <v>-7.0399279999999995E-2</v>
      </c>
      <c r="V15">
        <v>-4.9691199999999998E-2</v>
      </c>
    </row>
    <row r="16" spans="1:22" x14ac:dyDescent="0.25">
      <c r="A16">
        <v>11268.14</v>
      </c>
      <c r="B16">
        <v>9116</v>
      </c>
      <c r="C16">
        <v>6744</v>
      </c>
      <c r="D16">
        <v>1</v>
      </c>
      <c r="E16">
        <v>1</v>
      </c>
      <c r="F16" t="s">
        <v>13</v>
      </c>
      <c r="G16" s="3">
        <v>-4.0797710000000001E-2</v>
      </c>
      <c r="H16" s="3">
        <v>-3.087664E-2</v>
      </c>
      <c r="I16" s="3">
        <v>-4.0908340000000001E-2</v>
      </c>
      <c r="J16" s="3">
        <v>-4.6482559999999999E-2</v>
      </c>
      <c r="K16" s="3">
        <v>-5.0799370000000003E-2</v>
      </c>
      <c r="L16" s="3">
        <v>-5.9001919999999999E-2</v>
      </c>
      <c r="M16" s="3">
        <v>-6.8644520000000001E-2</v>
      </c>
      <c r="N16" s="3">
        <v>-6.5363879999999999E-2</v>
      </c>
      <c r="O16" s="3">
        <v>-6.4653870000000002E-2</v>
      </c>
      <c r="P16" s="3">
        <v>-5.7995320000000003E-2</v>
      </c>
      <c r="Q16" s="3">
        <v>-5.1644330000000002E-2</v>
      </c>
      <c r="R16" s="3">
        <v>-3.2287120000000002E-2</v>
      </c>
      <c r="S16" s="3">
        <v>-1.417589E-2</v>
      </c>
      <c r="T16" s="3">
        <v>1.1454580000000001E-2</v>
      </c>
      <c r="U16" s="3">
        <v>5.3291320000000003E-2</v>
      </c>
      <c r="V16" s="3">
        <v>9.9853990000000004E-2</v>
      </c>
    </row>
    <row r="17" spans="1:22" x14ac:dyDescent="0.25">
      <c r="A17" t="s">
        <v>221</v>
      </c>
    </row>
    <row r="18" spans="1:22" x14ac:dyDescent="0.25">
      <c r="A18">
        <v>11276.19</v>
      </c>
      <c r="B18">
        <v>9116</v>
      </c>
      <c r="C18">
        <v>6742</v>
      </c>
      <c r="D18">
        <v>1</v>
      </c>
      <c r="E18">
        <v>1</v>
      </c>
      <c r="F18" t="s">
        <v>13</v>
      </c>
      <c r="G18" s="3">
        <v>6.6844459999999994E-2</v>
      </c>
      <c r="H18">
        <v>-0.33763500000000002</v>
      </c>
      <c r="I18">
        <v>-0.32399030000000001</v>
      </c>
      <c r="J18">
        <v>-0.28147319999999998</v>
      </c>
      <c r="K18">
        <v>-0.2511582</v>
      </c>
      <c r="L18" s="3">
        <v>-1.951218E-2</v>
      </c>
      <c r="M18">
        <v>-0.2201514</v>
      </c>
      <c r="N18">
        <v>-0.1938677</v>
      </c>
      <c r="O18">
        <v>-0.17773059999999999</v>
      </c>
      <c r="P18" s="3">
        <v>5.247831E-2</v>
      </c>
      <c r="Q18">
        <v>-0.1406307</v>
      </c>
      <c r="R18">
        <v>-0.12223580000000001</v>
      </c>
      <c r="S18" s="3">
        <v>2.3746489999999999E-3</v>
      </c>
      <c r="T18" s="3">
        <v>-8.9340210000000003E-2</v>
      </c>
      <c r="U18" s="3">
        <v>-6.8383219999999995E-2</v>
      </c>
      <c r="V18">
        <v>-4.68955E-2</v>
      </c>
    </row>
    <row r="19" spans="1:22" x14ac:dyDescent="0.25">
      <c r="A19">
        <v>11276.21</v>
      </c>
      <c r="B19">
        <v>9116</v>
      </c>
      <c r="C19">
        <v>6744</v>
      </c>
      <c r="D19">
        <v>1</v>
      </c>
      <c r="E19">
        <v>1</v>
      </c>
      <c r="F19" t="s">
        <v>13</v>
      </c>
      <c r="G19" s="3">
        <v>-3.7694449999999997E-2</v>
      </c>
      <c r="H19" s="3">
        <v>-2.2539139999999999E-2</v>
      </c>
      <c r="I19" s="3">
        <v>-4.5824530000000002E-2</v>
      </c>
      <c r="J19" s="3">
        <v>-5.2049159999999997E-2</v>
      </c>
      <c r="K19" s="3">
        <v>-5.606556E-2</v>
      </c>
      <c r="L19" s="3">
        <v>-6.5473080000000003E-2</v>
      </c>
      <c r="M19" s="3">
        <v>-7.9101560000000001E-2</v>
      </c>
      <c r="N19">
        <v>-7.8339099999999995E-2</v>
      </c>
      <c r="O19" s="3">
        <v>-7.9124929999999996E-2</v>
      </c>
      <c r="P19" s="3">
        <v>-7.4433330000000006E-2</v>
      </c>
      <c r="Q19" s="3">
        <v>-7.0317270000000001E-2</v>
      </c>
      <c r="R19" s="3">
        <v>-5.513287E-2</v>
      </c>
      <c r="S19" s="3">
        <v>-3.8258550000000002E-2</v>
      </c>
      <c r="T19" s="3">
        <v>-1.6095160000000001E-2</v>
      </c>
      <c r="U19">
        <v>2.28405E-2</v>
      </c>
      <c r="V19" s="3">
        <v>6.8106169999999994E-2</v>
      </c>
    </row>
    <row r="20" spans="1:22" x14ac:dyDescent="0.25">
      <c r="A20" t="s">
        <v>222</v>
      </c>
    </row>
    <row r="21" spans="1:22" x14ac:dyDescent="0.25">
      <c r="A21">
        <v>11285.96</v>
      </c>
      <c r="B21">
        <v>9116</v>
      </c>
      <c r="C21">
        <v>6742</v>
      </c>
      <c r="D21">
        <v>1</v>
      </c>
      <c r="E21">
        <v>1</v>
      </c>
      <c r="F21" t="s">
        <v>13</v>
      </c>
      <c r="G21">
        <v>0.11533590000000001</v>
      </c>
      <c r="H21">
        <v>-0.26012659999999999</v>
      </c>
      <c r="I21">
        <v>-0.2675033</v>
      </c>
      <c r="J21">
        <v>-0.2424412</v>
      </c>
      <c r="K21">
        <v>-0.22068599999999999</v>
      </c>
      <c r="L21" s="3">
        <v>-1.6908650000000001E-2</v>
      </c>
      <c r="M21">
        <v>-0.2013807</v>
      </c>
      <c r="N21">
        <v>-0.1779213</v>
      </c>
      <c r="O21">
        <v>-0.1652904</v>
      </c>
      <c r="P21" s="3">
        <v>5.247831E-2</v>
      </c>
      <c r="Q21">
        <v>-0.1366262</v>
      </c>
      <c r="R21">
        <v>-0.11146929999999999</v>
      </c>
      <c r="S21" s="3">
        <v>2.7289390000000001E-3</v>
      </c>
      <c r="T21" s="3">
        <v>-8.6732390000000006E-2</v>
      </c>
      <c r="U21" s="3">
        <v>-6.6917420000000005E-2</v>
      </c>
      <c r="V21" s="3">
        <v>-4.5151709999999998E-2</v>
      </c>
    </row>
    <row r="22" spans="1:22" x14ac:dyDescent="0.25">
      <c r="A22">
        <v>11285.98</v>
      </c>
      <c r="B22">
        <v>9116</v>
      </c>
      <c r="C22">
        <v>6744</v>
      </c>
      <c r="D22">
        <v>1</v>
      </c>
      <c r="E22">
        <v>1</v>
      </c>
      <c r="F22" t="s">
        <v>13</v>
      </c>
      <c r="G22" s="3">
        <v>-3.5685540000000002E-2</v>
      </c>
      <c r="H22" s="3">
        <v>-1.6600609999999998E-2</v>
      </c>
      <c r="I22" s="3">
        <v>-4.7645569999999998E-2</v>
      </c>
      <c r="J22" s="3">
        <v>-5.6395050000000002E-2</v>
      </c>
      <c r="K22" s="3">
        <v>-6.0969830000000003E-2</v>
      </c>
      <c r="L22" s="3">
        <v>-7.1043969999999998E-2</v>
      </c>
      <c r="M22" s="3">
        <v>-9.0084079999999997E-2</v>
      </c>
      <c r="N22" s="3">
        <v>-9.131765E-2</v>
      </c>
      <c r="O22" s="3">
        <v>-9.3999390000000002E-2</v>
      </c>
      <c r="P22">
        <v>-9.1425900000000004E-2</v>
      </c>
      <c r="Q22" s="3">
        <v>-9.1156479999999998E-2</v>
      </c>
      <c r="R22" s="3">
        <v>-7.8516009999999997E-2</v>
      </c>
      <c r="S22">
        <v>-6.4999100000000004E-2</v>
      </c>
      <c r="T22" s="3">
        <v>-4.6378139999999998E-2</v>
      </c>
      <c r="U22" s="3">
        <v>-1.293278E-2</v>
      </c>
      <c r="V22" s="3">
        <v>3.0625820000000002E-2</v>
      </c>
    </row>
    <row r="23" spans="1:22" x14ac:dyDescent="0.25">
      <c r="A23" t="s">
        <v>223</v>
      </c>
    </row>
    <row r="24" spans="1:22" x14ac:dyDescent="0.25">
      <c r="A24">
        <v>11295.38</v>
      </c>
      <c r="B24">
        <v>9116</v>
      </c>
      <c r="C24">
        <v>6742</v>
      </c>
      <c r="D24">
        <v>1</v>
      </c>
      <c r="E24">
        <v>1</v>
      </c>
      <c r="F24" t="s">
        <v>13</v>
      </c>
      <c r="G24">
        <v>0.14783859999999999</v>
      </c>
      <c r="H24">
        <v>-0.18864539999999999</v>
      </c>
      <c r="I24">
        <v>-0.21415709999999999</v>
      </c>
      <c r="J24">
        <v>-0.20530129999999999</v>
      </c>
      <c r="K24">
        <v>-0.19210340000000001</v>
      </c>
      <c r="L24" s="3">
        <v>-1.430416E-2</v>
      </c>
      <c r="M24">
        <v>-0.18369869999999999</v>
      </c>
      <c r="N24">
        <v>-0.16284180000000001</v>
      </c>
      <c r="O24">
        <v>-0.1530881</v>
      </c>
      <c r="P24" s="3">
        <v>5.2652360000000002E-2</v>
      </c>
      <c r="Q24">
        <v>-0.12825539999999999</v>
      </c>
      <c r="R24">
        <v>-0.11146929999999999</v>
      </c>
      <c r="S24" s="3">
        <v>3.2639499999999998E-3</v>
      </c>
      <c r="T24">
        <v>-8.3776000000000003E-2</v>
      </c>
      <c r="U24">
        <v>-6.4900399999999997E-2</v>
      </c>
      <c r="V24" s="3">
        <v>-4.4424060000000001E-2</v>
      </c>
    </row>
    <row r="25" spans="1:22" x14ac:dyDescent="0.25">
      <c r="A25">
        <v>11295.4</v>
      </c>
      <c r="B25">
        <v>9116</v>
      </c>
      <c r="C25">
        <v>6744</v>
      </c>
      <c r="D25">
        <v>1</v>
      </c>
      <c r="E25">
        <v>1</v>
      </c>
      <c r="F25" t="s">
        <v>13</v>
      </c>
      <c r="G25" s="3">
        <v>-3.4407140000000003E-2</v>
      </c>
      <c r="H25" s="3">
        <v>-1.227522E-2</v>
      </c>
      <c r="I25" s="3">
        <v>-4.8920150000000003E-2</v>
      </c>
      <c r="J25" s="3">
        <v>-5.8830260000000002E-2</v>
      </c>
      <c r="K25" s="3">
        <v>-6.5872669999999994E-2</v>
      </c>
      <c r="L25">
        <v>-7.6795100000000005E-2</v>
      </c>
      <c r="M25">
        <v>-0.10019400000000001</v>
      </c>
      <c r="N25">
        <v>-0.1044755</v>
      </c>
      <c r="O25">
        <v>-0.1091342</v>
      </c>
      <c r="P25">
        <v>-0.10823199999999999</v>
      </c>
      <c r="Q25">
        <v>-0.1110954</v>
      </c>
      <c r="R25">
        <v>-0.1033463</v>
      </c>
      <c r="S25" s="3">
        <v>-9.2072490000000007E-2</v>
      </c>
      <c r="T25" s="3">
        <v>-7.8302380000000005E-2</v>
      </c>
      <c r="U25" s="3">
        <v>-5.1452159999999997E-2</v>
      </c>
      <c r="V25" s="3">
        <v>-1.474953E-2</v>
      </c>
    </row>
    <row r="26" spans="1:22" x14ac:dyDescent="0.25">
      <c r="A26" t="s">
        <v>224</v>
      </c>
    </row>
    <row r="27" spans="1:22" x14ac:dyDescent="0.25">
      <c r="A27">
        <v>11304.59</v>
      </c>
      <c r="B27">
        <v>9116</v>
      </c>
      <c r="C27">
        <v>6742</v>
      </c>
      <c r="D27">
        <v>1</v>
      </c>
      <c r="E27">
        <v>1</v>
      </c>
      <c r="F27" t="s">
        <v>13</v>
      </c>
      <c r="G27">
        <v>0.16524359999999999</v>
      </c>
      <c r="H27">
        <v>-0.12549109999999999</v>
      </c>
      <c r="I27">
        <v>-0.1652207</v>
      </c>
      <c r="J27">
        <v>-0.17090459999999999</v>
      </c>
      <c r="K27">
        <v>-0.1652412</v>
      </c>
      <c r="L27">
        <v>-1.25556E-2</v>
      </c>
      <c r="M27">
        <v>-0.16787530000000001</v>
      </c>
      <c r="N27">
        <v>-0.15004010000000001</v>
      </c>
      <c r="O27">
        <v>-0.1424627</v>
      </c>
      <c r="P27" s="3">
        <v>5.247831E-2</v>
      </c>
      <c r="Q27">
        <v>-0.12221</v>
      </c>
      <c r="R27">
        <v>-0.1062555</v>
      </c>
      <c r="S27" s="3">
        <v>3.4446720000000002E-3</v>
      </c>
      <c r="T27" s="3">
        <v>-8.0993179999999998E-2</v>
      </c>
      <c r="U27" s="3">
        <v>-6.4533709999999994E-2</v>
      </c>
      <c r="V27" s="3">
        <v>-4.497147E-2</v>
      </c>
    </row>
    <row r="28" spans="1:22" x14ac:dyDescent="0.25">
      <c r="A28">
        <v>11304.61</v>
      </c>
      <c r="B28">
        <v>9116</v>
      </c>
      <c r="C28">
        <v>6744</v>
      </c>
      <c r="D28">
        <v>1</v>
      </c>
      <c r="E28">
        <v>1</v>
      </c>
      <c r="F28" t="s">
        <v>13</v>
      </c>
      <c r="G28" s="3">
        <v>-3.5321239999999997E-2</v>
      </c>
      <c r="H28" s="3">
        <v>-1.1374469999999999E-2</v>
      </c>
      <c r="I28" s="3">
        <v>-5.091619E-2</v>
      </c>
      <c r="J28" s="3">
        <v>-5.900478E-2</v>
      </c>
      <c r="K28" s="3">
        <v>-6.8778989999999998E-2</v>
      </c>
      <c r="L28" s="3">
        <v>-8.2007410000000003E-2</v>
      </c>
      <c r="M28">
        <v>-0.1109996</v>
      </c>
      <c r="N28">
        <v>-0.11745070000000001</v>
      </c>
      <c r="O28">
        <v>-0.1243238</v>
      </c>
      <c r="P28">
        <v>-0.12596180000000001</v>
      </c>
      <c r="Q28">
        <v>-0.13176160000000001</v>
      </c>
      <c r="R28">
        <v>-0.1283484</v>
      </c>
      <c r="S28">
        <v>-0.1201921</v>
      </c>
      <c r="T28">
        <v>-0.11150359999999999</v>
      </c>
      <c r="U28" s="3">
        <v>-9.3266489999999994E-2</v>
      </c>
      <c r="V28" s="3">
        <v>-6.4069269999999998E-2</v>
      </c>
    </row>
    <row r="29" spans="1:22" x14ac:dyDescent="0.25">
      <c r="A29" t="s">
        <v>225</v>
      </c>
    </row>
    <row r="30" spans="1:22" x14ac:dyDescent="0.25">
      <c r="A30">
        <v>11313.99</v>
      </c>
      <c r="B30">
        <v>9116</v>
      </c>
      <c r="C30">
        <v>6742</v>
      </c>
      <c r="D30">
        <v>1</v>
      </c>
      <c r="E30">
        <v>1</v>
      </c>
      <c r="F30" t="s">
        <v>13</v>
      </c>
      <c r="G30">
        <v>0.16861870000000001</v>
      </c>
      <c r="H30" s="3">
        <v>-6.7023750000000007E-2</v>
      </c>
      <c r="I30">
        <v>-0.1180282</v>
      </c>
      <c r="J30">
        <v>-0.1365104</v>
      </c>
      <c r="K30">
        <v>-0.1380334</v>
      </c>
      <c r="L30" s="3">
        <v>-1.012468E-2</v>
      </c>
      <c r="M30">
        <v>-0.14948610000000001</v>
      </c>
      <c r="N30">
        <v>-0.13425870000000001</v>
      </c>
      <c r="O30">
        <v>-0.1302605</v>
      </c>
      <c r="P30" s="3">
        <v>5.3349489999999999E-2</v>
      </c>
      <c r="Q30">
        <v>-0.1143618</v>
      </c>
      <c r="R30" s="3">
        <v>-9.9651809999999993E-2</v>
      </c>
      <c r="S30" s="3">
        <v>3.9792059999999999E-3</v>
      </c>
      <c r="T30" s="3">
        <v>-7.6819419999999999E-2</v>
      </c>
      <c r="U30" s="3">
        <v>-6.2150480000000001E-2</v>
      </c>
      <c r="V30" s="3">
        <v>-4.4425489999999998E-2</v>
      </c>
    </row>
    <row r="31" spans="1:22" x14ac:dyDescent="0.25">
      <c r="A31">
        <v>11314.01</v>
      </c>
      <c r="B31">
        <v>9116</v>
      </c>
      <c r="C31">
        <v>6744</v>
      </c>
      <c r="D31">
        <v>1</v>
      </c>
      <c r="E31">
        <v>1</v>
      </c>
      <c r="F31" t="s">
        <v>13</v>
      </c>
      <c r="G31" s="3">
        <v>-3.5321239999999997E-2</v>
      </c>
      <c r="H31" s="3">
        <v>-1.1374469999999999E-2</v>
      </c>
      <c r="I31" s="3">
        <v>-5.037022E-2</v>
      </c>
      <c r="J31" s="3">
        <v>-6.0744289999999999E-2</v>
      </c>
      <c r="K31" s="3">
        <v>-6.7871089999999995E-2</v>
      </c>
      <c r="L31" s="3">
        <v>-8.5241789999999998E-2</v>
      </c>
      <c r="M31">
        <v>-0.1183205</v>
      </c>
      <c r="N31">
        <v>-0.127501</v>
      </c>
      <c r="O31">
        <v>-0.13621469999999999</v>
      </c>
      <c r="P31">
        <v>-0.13999700000000001</v>
      </c>
      <c r="Q31">
        <v>-0.1495242</v>
      </c>
      <c r="R31">
        <v>-0.151001</v>
      </c>
      <c r="S31">
        <v>-0.1456809</v>
      </c>
      <c r="T31">
        <v>-0.14360709999999999</v>
      </c>
      <c r="U31">
        <v>-0.13508029999999999</v>
      </c>
      <c r="V31">
        <v>-0.11624719999999999</v>
      </c>
    </row>
    <row r="32" spans="1:22" x14ac:dyDescent="0.25">
      <c r="A32" t="s">
        <v>226</v>
      </c>
    </row>
    <row r="33" spans="1:22" x14ac:dyDescent="0.25">
      <c r="A33">
        <v>11323.47</v>
      </c>
      <c r="B33">
        <v>9116</v>
      </c>
      <c r="C33">
        <v>6742</v>
      </c>
      <c r="D33">
        <v>1</v>
      </c>
      <c r="E33">
        <v>1</v>
      </c>
      <c r="F33" t="s">
        <v>13</v>
      </c>
      <c r="G33">
        <v>0.16417599999999999</v>
      </c>
      <c r="H33" s="3">
        <v>-1.2077330000000001E-2</v>
      </c>
      <c r="I33" s="3">
        <v>-7.1002480000000007E-2</v>
      </c>
      <c r="J33">
        <v>-0.1002297</v>
      </c>
      <c r="K33">
        <v>-0.1089287</v>
      </c>
      <c r="L33" s="3">
        <v>-8.4013939999999995E-3</v>
      </c>
      <c r="M33">
        <v>-0.1285896</v>
      </c>
      <c r="N33">
        <v>-0.11812350000000001</v>
      </c>
      <c r="O33">
        <v>-0.1156335</v>
      </c>
      <c r="P33" s="3">
        <v>5.3698059999999999E-2</v>
      </c>
      <c r="Q33">
        <v>-0.1046667</v>
      </c>
      <c r="R33" s="3">
        <v>-9.1488360000000005E-2</v>
      </c>
      <c r="S33" s="3">
        <v>4.690647E-3</v>
      </c>
      <c r="T33" s="3">
        <v>-7.3514940000000001E-2</v>
      </c>
      <c r="U33" s="3">
        <v>-5.8283330000000001E-2</v>
      </c>
      <c r="V33" s="3">
        <v>-4.3153289999999997E-2</v>
      </c>
    </row>
    <row r="34" spans="1:22" x14ac:dyDescent="0.25">
      <c r="A34">
        <v>11323.49</v>
      </c>
      <c r="B34">
        <v>9116</v>
      </c>
      <c r="C34">
        <v>6744</v>
      </c>
      <c r="D34">
        <v>1</v>
      </c>
      <c r="E34">
        <v>1</v>
      </c>
      <c r="F34" t="s">
        <v>13</v>
      </c>
      <c r="G34" s="3">
        <v>-3.5690310000000003E-2</v>
      </c>
      <c r="H34" s="3">
        <v>-1.173592E-2</v>
      </c>
      <c r="I34">
        <v>-4.8373699999999999E-2</v>
      </c>
      <c r="J34" s="3">
        <v>-6.0570239999999997E-2</v>
      </c>
      <c r="K34" s="3">
        <v>-7.1139339999999995E-2</v>
      </c>
      <c r="L34" s="3">
        <v>-9.027433E-2</v>
      </c>
      <c r="M34">
        <v>-0.12598899999999999</v>
      </c>
      <c r="N34">
        <v>-0.13791990000000001</v>
      </c>
      <c r="O34">
        <v>-0.1483874</v>
      </c>
      <c r="P34">
        <v>-0.15477279999999999</v>
      </c>
      <c r="Q34">
        <v>-0.1678357</v>
      </c>
      <c r="R34">
        <v>-0.17473269999999999</v>
      </c>
      <c r="S34">
        <v>-0.1737638</v>
      </c>
      <c r="T34">
        <v>-0.17808579999999999</v>
      </c>
      <c r="U34">
        <v>-0.18110660000000001</v>
      </c>
      <c r="V34">
        <v>-0.17595669999999999</v>
      </c>
    </row>
    <row r="35" spans="1:22" x14ac:dyDescent="0.25">
      <c r="A35" t="s">
        <v>227</v>
      </c>
    </row>
    <row r="36" spans="1:22" x14ac:dyDescent="0.25">
      <c r="A36">
        <v>11332.88</v>
      </c>
      <c r="B36">
        <v>9116</v>
      </c>
      <c r="C36">
        <v>6742</v>
      </c>
      <c r="D36">
        <v>1</v>
      </c>
      <c r="E36">
        <v>1</v>
      </c>
      <c r="F36" t="s">
        <v>13</v>
      </c>
      <c r="G36">
        <v>0.14250760000000001</v>
      </c>
      <c r="H36" s="3">
        <v>3.6414149999999999E-2</v>
      </c>
      <c r="I36" s="3">
        <v>-2.695179E-2</v>
      </c>
      <c r="J36" s="3">
        <v>-6.5148349999999994E-2</v>
      </c>
      <c r="K36" s="3">
        <v>-7.9823489999999997E-2</v>
      </c>
      <c r="L36" s="3">
        <v>-6.3171390000000003E-3</v>
      </c>
      <c r="M36">
        <v>-0.1079073</v>
      </c>
      <c r="N36">
        <v>-0.10058590000000001</v>
      </c>
      <c r="O36">
        <v>-0.1013503</v>
      </c>
      <c r="P36" s="3">
        <v>5.3698059999999999E-2</v>
      </c>
      <c r="Q36" s="3">
        <v>-9.4555379999999994E-2</v>
      </c>
      <c r="R36" s="3">
        <v>-8.4367280000000003E-2</v>
      </c>
      <c r="S36" s="3">
        <v>4.3354029999999998E-3</v>
      </c>
      <c r="T36" s="3">
        <v>-6.934071E-2</v>
      </c>
      <c r="U36">
        <v>-5.6284899999999999E-2</v>
      </c>
      <c r="V36" s="3">
        <v>-4.1880609999999999E-2</v>
      </c>
    </row>
    <row r="37" spans="1:22" x14ac:dyDescent="0.25">
      <c r="A37">
        <v>11332.91</v>
      </c>
      <c r="B37">
        <v>9116</v>
      </c>
      <c r="C37">
        <v>6744</v>
      </c>
      <c r="D37">
        <v>1</v>
      </c>
      <c r="E37">
        <v>1</v>
      </c>
      <c r="F37" t="s">
        <v>13</v>
      </c>
      <c r="G37">
        <v>-3.6050800000000001E-2</v>
      </c>
      <c r="H37" s="3">
        <v>-1.2815480000000001E-2</v>
      </c>
      <c r="I37" s="3">
        <v>-4.7098639999999997E-2</v>
      </c>
      <c r="J37" s="3">
        <v>-6.0917850000000003E-2</v>
      </c>
      <c r="K37" s="3">
        <v>-7.2592260000000006E-2</v>
      </c>
      <c r="L37" s="3">
        <v>-9.4408039999999999E-2</v>
      </c>
      <c r="M37">
        <v>-0.13383149999999999</v>
      </c>
      <c r="N37">
        <v>-0.14868780000000001</v>
      </c>
      <c r="O37">
        <v>-0.16099450000000001</v>
      </c>
      <c r="P37">
        <v>-0.1702776</v>
      </c>
      <c r="Q37">
        <v>-0.18668789999999999</v>
      </c>
      <c r="R37">
        <v>-0.19940330000000001</v>
      </c>
      <c r="S37">
        <v>-0.20243549999999999</v>
      </c>
      <c r="T37">
        <v>-0.21474699999999999</v>
      </c>
      <c r="U37">
        <v>-0.2311687</v>
      </c>
      <c r="V37">
        <v>-0.24281220000000001</v>
      </c>
    </row>
    <row r="38" spans="1:22" x14ac:dyDescent="0.25">
      <c r="A38" t="s">
        <v>228</v>
      </c>
    </row>
    <row r="39" spans="1:22" x14ac:dyDescent="0.25">
      <c r="A39">
        <v>11342.97</v>
      </c>
      <c r="B39">
        <v>9116</v>
      </c>
      <c r="C39">
        <v>6742</v>
      </c>
      <c r="D39">
        <v>1</v>
      </c>
      <c r="E39">
        <v>1</v>
      </c>
      <c r="F39" t="s">
        <v>13</v>
      </c>
      <c r="G39">
        <v>0.1057434</v>
      </c>
      <c r="H39" s="3">
        <v>7.6403620000000005E-2</v>
      </c>
      <c r="I39" s="3">
        <v>1.232815E-2</v>
      </c>
      <c r="J39">
        <v>-3.2295699999999997E-2</v>
      </c>
      <c r="K39" s="3">
        <v>-5.1232809999999997E-2</v>
      </c>
      <c r="L39" s="3">
        <v>-4.0597919999999996E-3</v>
      </c>
      <c r="M39" s="3">
        <v>-8.6863040000000002E-2</v>
      </c>
      <c r="N39" s="3">
        <v>-8.3049769999999995E-2</v>
      </c>
      <c r="O39">
        <v>-8.5834499999999994E-2</v>
      </c>
      <c r="P39" s="3">
        <v>5.422068E-2</v>
      </c>
      <c r="Q39" s="3">
        <v>-8.3741189999999993E-2</v>
      </c>
      <c r="R39" s="3">
        <v>-7.5677389999999997E-2</v>
      </c>
      <c r="S39" s="3">
        <v>4.3354029999999998E-3</v>
      </c>
      <c r="T39">
        <v>-6.3428399999999996E-2</v>
      </c>
      <c r="U39" s="3">
        <v>-5.353451E-2</v>
      </c>
      <c r="V39" s="3">
        <v>-4.1335110000000001E-2</v>
      </c>
    </row>
    <row r="40" spans="1:22" x14ac:dyDescent="0.25">
      <c r="A40">
        <v>11343</v>
      </c>
      <c r="B40">
        <v>9116</v>
      </c>
      <c r="C40">
        <v>6744</v>
      </c>
      <c r="D40">
        <v>1</v>
      </c>
      <c r="E40">
        <v>1</v>
      </c>
      <c r="F40" t="s">
        <v>13</v>
      </c>
      <c r="G40" s="3">
        <v>-3.5686019999999999E-2</v>
      </c>
      <c r="H40" s="3">
        <v>-1.3716219999999999E-2</v>
      </c>
      <c r="I40" s="3">
        <v>-4.4549940000000003E-2</v>
      </c>
      <c r="J40" s="3">
        <v>-5.9178830000000002E-2</v>
      </c>
      <c r="K40" s="3">
        <v>-7.2773930000000001E-2</v>
      </c>
      <c r="L40" s="3">
        <v>-9.548616E-2</v>
      </c>
      <c r="M40">
        <v>-0.141675</v>
      </c>
      <c r="N40">
        <v>-0.15818879999999999</v>
      </c>
      <c r="O40">
        <v>-0.1723442</v>
      </c>
      <c r="P40">
        <v>-0.18357280000000001</v>
      </c>
      <c r="Q40">
        <v>-0.20336199999999999</v>
      </c>
      <c r="R40">
        <v>-0.22241639999999999</v>
      </c>
      <c r="S40">
        <v>-0.22967770000000001</v>
      </c>
      <c r="T40">
        <v>-0.25012780000000001</v>
      </c>
      <c r="U40">
        <v>-0.2814064</v>
      </c>
      <c r="V40">
        <v>-0.3110967</v>
      </c>
    </row>
    <row r="41" spans="1:22" x14ac:dyDescent="0.25">
      <c r="A41" t="s">
        <v>229</v>
      </c>
    </row>
    <row r="42" spans="1:22" x14ac:dyDescent="0.25">
      <c r="A42">
        <v>11351.79</v>
      </c>
      <c r="B42">
        <v>9116</v>
      </c>
      <c r="C42">
        <v>6742</v>
      </c>
      <c r="D42">
        <v>1</v>
      </c>
      <c r="E42">
        <v>1</v>
      </c>
      <c r="F42" t="s">
        <v>13</v>
      </c>
      <c r="G42" s="3">
        <v>5.1221370000000002E-2</v>
      </c>
      <c r="H42">
        <v>0.1090207</v>
      </c>
      <c r="I42" s="3">
        <v>4.7569269999999997E-2</v>
      </c>
      <c r="J42" s="3">
        <v>-2.0136830000000001E-3</v>
      </c>
      <c r="K42" s="3">
        <v>-2.5914670000000001E-2</v>
      </c>
      <c r="L42" s="3">
        <v>-2.8448100000000001E-3</v>
      </c>
      <c r="M42" s="3">
        <v>-6.7910670000000006E-2</v>
      </c>
      <c r="N42" s="3">
        <v>-6.7264560000000001E-2</v>
      </c>
      <c r="O42" s="3">
        <v>-7.1387290000000006E-2</v>
      </c>
      <c r="P42" s="3">
        <v>5.4394249999999998E-2</v>
      </c>
      <c r="Q42" s="3">
        <v>-7.4506279999999994E-2</v>
      </c>
      <c r="R42" s="3">
        <v>-6.8329810000000005E-2</v>
      </c>
      <c r="S42" s="3">
        <v>4.6916010000000001E-3</v>
      </c>
      <c r="T42" s="3">
        <v>-5.890608E-2</v>
      </c>
      <c r="U42">
        <v>-4.9685E-2</v>
      </c>
      <c r="V42" s="3">
        <v>-4.0245530000000002E-2</v>
      </c>
    </row>
    <row r="43" spans="1:22" x14ac:dyDescent="0.25">
      <c r="A43">
        <v>11351.82</v>
      </c>
      <c r="B43">
        <v>9116</v>
      </c>
      <c r="C43">
        <v>6744</v>
      </c>
      <c r="D43">
        <v>1</v>
      </c>
      <c r="E43">
        <v>1</v>
      </c>
      <c r="F43" t="s">
        <v>13</v>
      </c>
      <c r="G43" s="3">
        <v>-3.6781309999999998E-2</v>
      </c>
      <c r="H43" s="3">
        <v>-1.7730240000000001E-2</v>
      </c>
      <c r="I43" s="3">
        <v>-4.3644910000000002E-2</v>
      </c>
      <c r="J43" s="3">
        <v>-5.9003350000000003E-2</v>
      </c>
      <c r="K43" s="3">
        <v>-7.4594969999999997E-2</v>
      </c>
      <c r="L43" s="3">
        <v>-9.854889E-2</v>
      </c>
      <c r="M43">
        <v>-0.1509113</v>
      </c>
      <c r="N43">
        <v>-0.1698856</v>
      </c>
      <c r="O43">
        <v>-0.18824389999999999</v>
      </c>
      <c r="P43">
        <v>-0.20148559999999999</v>
      </c>
      <c r="Q43">
        <v>-0.2243733</v>
      </c>
      <c r="R43">
        <v>-0.24976870000000001</v>
      </c>
      <c r="S43">
        <v>-0.26200289999999998</v>
      </c>
      <c r="T43">
        <v>-0.29114250000000003</v>
      </c>
      <c r="U43">
        <v>-0.33877279999999999</v>
      </c>
      <c r="V43">
        <v>-0.3899436</v>
      </c>
    </row>
    <row r="44" spans="1:22" x14ac:dyDescent="0.25">
      <c r="A44" t="s">
        <v>230</v>
      </c>
    </row>
    <row r="45" spans="1:22" x14ac:dyDescent="0.25">
      <c r="A45">
        <v>11361.3</v>
      </c>
      <c r="B45">
        <v>9116</v>
      </c>
      <c r="C45">
        <v>6742</v>
      </c>
      <c r="D45">
        <v>1</v>
      </c>
      <c r="E45">
        <v>1</v>
      </c>
      <c r="F45" t="s">
        <v>13</v>
      </c>
      <c r="G45" s="3">
        <v>-2.1219249999999999E-2</v>
      </c>
      <c r="H45">
        <v>0.13294790000000001</v>
      </c>
      <c r="I45" s="3">
        <v>7.7330109999999994E-2</v>
      </c>
      <c r="J45" s="3">
        <v>2.602053E-2</v>
      </c>
      <c r="K45" s="3">
        <v>-1.283646E-3</v>
      </c>
      <c r="L45" s="3">
        <v>-1.618385E-3</v>
      </c>
      <c r="M45" s="3">
        <v>-4.7403340000000002E-2</v>
      </c>
      <c r="N45" s="3">
        <v>-4.9557690000000001E-2</v>
      </c>
      <c r="O45" s="3">
        <v>-5.6142810000000001E-2</v>
      </c>
      <c r="P45" s="3">
        <v>5.5091380000000002E-2</v>
      </c>
      <c r="Q45" s="3">
        <v>-6.3405989999999995E-2</v>
      </c>
      <c r="R45" s="3">
        <v>-5.8775420000000002E-2</v>
      </c>
      <c r="S45" s="3">
        <v>2.908707E-3</v>
      </c>
      <c r="T45" s="3">
        <v>-5.2644730000000001E-2</v>
      </c>
      <c r="U45" s="3">
        <v>-4.471779E-2</v>
      </c>
      <c r="V45" s="3">
        <v>-3.8175109999999998E-2</v>
      </c>
    </row>
    <row r="46" spans="1:22" x14ac:dyDescent="0.25">
      <c r="A46">
        <v>11361.32</v>
      </c>
      <c r="B46">
        <v>9116</v>
      </c>
      <c r="C46">
        <v>6744</v>
      </c>
      <c r="D46">
        <v>1</v>
      </c>
      <c r="E46">
        <v>1</v>
      </c>
      <c r="F46" t="s">
        <v>13</v>
      </c>
      <c r="G46" s="3">
        <v>-3.623295E-2</v>
      </c>
      <c r="H46">
        <v>-2.0563600000000001E-2</v>
      </c>
      <c r="I46" s="3">
        <v>-4.3275359999999999E-2</v>
      </c>
      <c r="J46" s="3">
        <v>-5.8657649999999999E-2</v>
      </c>
      <c r="K46">
        <v>-7.5321200000000005E-2</v>
      </c>
      <c r="L46" s="3">
        <v>-9.9447729999999998E-2</v>
      </c>
      <c r="M46">
        <v>-0.15857270000000001</v>
      </c>
      <c r="N46">
        <v>-0.18232680000000001</v>
      </c>
      <c r="O46">
        <v>-0.19904520000000001</v>
      </c>
      <c r="P46">
        <v>-0.21219679999999999</v>
      </c>
      <c r="Q46">
        <v>-0.24449209999999999</v>
      </c>
      <c r="R46">
        <v>-0.27459480000000003</v>
      </c>
      <c r="S46">
        <v>-0.29224679999999997</v>
      </c>
      <c r="T46">
        <v>-0.32998509999999998</v>
      </c>
      <c r="U46">
        <v>-0.39247369999999998</v>
      </c>
      <c r="V46">
        <v>-0.46770669999999998</v>
      </c>
    </row>
    <row r="47" spans="1:22" x14ac:dyDescent="0.25">
      <c r="A47" t="s">
        <v>231</v>
      </c>
    </row>
    <row r="48" spans="1:22" x14ac:dyDescent="0.25">
      <c r="A48">
        <v>11371.19</v>
      </c>
      <c r="B48">
        <v>9116</v>
      </c>
      <c r="C48">
        <v>6742</v>
      </c>
      <c r="D48">
        <v>1</v>
      </c>
      <c r="E48">
        <v>1</v>
      </c>
      <c r="F48" t="s">
        <v>13</v>
      </c>
      <c r="G48">
        <v>-0.10803409999999999</v>
      </c>
      <c r="H48">
        <v>0.14757200000000001</v>
      </c>
      <c r="I48">
        <v>0.101995</v>
      </c>
      <c r="J48" s="3">
        <v>5.0277229999999999E-2</v>
      </c>
      <c r="K48" s="3">
        <v>2.1626469999999998E-2</v>
      </c>
      <c r="L48" s="3">
        <v>-2.293587E-4</v>
      </c>
      <c r="M48" s="3">
        <v>-2.8655529999999999E-2</v>
      </c>
      <c r="N48" s="3">
        <v>-3.3597469999999997E-2</v>
      </c>
      <c r="O48" s="3">
        <v>-4.2368889999999999E-2</v>
      </c>
      <c r="P48" s="3">
        <v>5.4742810000000003E-2</v>
      </c>
      <c r="Q48" s="3">
        <v>-5.3463459999999997E-2</v>
      </c>
      <c r="R48" s="3">
        <v>-5.0259110000000003E-2</v>
      </c>
      <c r="S48" s="3">
        <v>2.0170209999999999E-3</v>
      </c>
      <c r="T48" s="3">
        <v>-4.6731950000000001E-2</v>
      </c>
      <c r="U48" s="3">
        <v>-3.976727E-2</v>
      </c>
      <c r="V48" s="3">
        <v>-3.344631E-2</v>
      </c>
    </row>
    <row r="49" spans="1:22" x14ac:dyDescent="0.25">
      <c r="A49">
        <v>11371.21</v>
      </c>
      <c r="B49">
        <v>9116</v>
      </c>
      <c r="C49">
        <v>6744</v>
      </c>
      <c r="D49">
        <v>1</v>
      </c>
      <c r="E49">
        <v>1</v>
      </c>
      <c r="F49" t="s">
        <v>13</v>
      </c>
      <c r="G49" s="3">
        <v>-3.3129220000000001E-2</v>
      </c>
      <c r="H49" s="3">
        <v>-2.3627280000000001E-2</v>
      </c>
      <c r="I49" s="3">
        <v>-4.4549940000000003E-2</v>
      </c>
      <c r="J49">
        <v>-5.9527400000000001E-2</v>
      </c>
      <c r="K49" s="3">
        <v>-7.6592919999999995E-2</v>
      </c>
      <c r="L49">
        <v>-0.10142420000000001</v>
      </c>
      <c r="M49">
        <v>-0.16519590000000001</v>
      </c>
      <c r="N49">
        <v>-0.19219349999999999</v>
      </c>
      <c r="O49">
        <v>-0.21291589999999999</v>
      </c>
      <c r="P49">
        <v>-0.23269219999999999</v>
      </c>
      <c r="Q49">
        <v>-0.26551340000000001</v>
      </c>
      <c r="R49">
        <v>-0.29198839999999998</v>
      </c>
      <c r="S49">
        <v>-0.3273916</v>
      </c>
      <c r="T49">
        <v>-0.37593270000000001</v>
      </c>
      <c r="U49">
        <v>-0.44709349999999998</v>
      </c>
      <c r="V49">
        <v>-0.54258870000000003</v>
      </c>
    </row>
    <row r="50" spans="1:22" x14ac:dyDescent="0.25">
      <c r="A50" t="s">
        <v>232</v>
      </c>
    </row>
    <row r="51" spans="1:22" x14ac:dyDescent="0.25">
      <c r="A51">
        <v>11380.49</v>
      </c>
      <c r="B51">
        <v>9116</v>
      </c>
      <c r="C51">
        <v>6742</v>
      </c>
      <c r="D51">
        <v>1</v>
      </c>
      <c r="E51">
        <v>1</v>
      </c>
      <c r="F51" t="s">
        <v>13</v>
      </c>
      <c r="G51">
        <v>-0.19643550000000001</v>
      </c>
      <c r="H51">
        <v>0.1539884</v>
      </c>
      <c r="I51">
        <v>0.1191072</v>
      </c>
      <c r="J51" s="3">
        <v>6.9749829999999999E-2</v>
      </c>
      <c r="K51" s="3">
        <v>3.954506E-2</v>
      </c>
      <c r="L51" s="3">
        <v>1.150131E-3</v>
      </c>
      <c r="M51" s="3">
        <v>-1.424837E-2</v>
      </c>
      <c r="N51" s="3">
        <v>-2.1318440000000001E-2</v>
      </c>
      <c r="O51" s="3">
        <v>-3.070927E-2</v>
      </c>
      <c r="P51" s="3">
        <v>5.5459019999999998E-2</v>
      </c>
      <c r="Q51" s="3">
        <v>-4.5218939999999999E-2</v>
      </c>
      <c r="R51" s="3">
        <v>-4.5344830000000003E-2</v>
      </c>
      <c r="S51" s="3">
        <v>1.125336E-3</v>
      </c>
      <c r="T51" s="3">
        <v>-4.3601040000000001E-2</v>
      </c>
      <c r="U51" s="3">
        <v>-3.7568570000000003E-2</v>
      </c>
      <c r="V51" s="3">
        <v>-3.1088350000000001E-2</v>
      </c>
    </row>
    <row r="52" spans="1:22" x14ac:dyDescent="0.25">
      <c r="A52">
        <v>11380.52</v>
      </c>
      <c r="B52">
        <v>9116</v>
      </c>
      <c r="C52">
        <v>6744</v>
      </c>
      <c r="D52">
        <v>1</v>
      </c>
      <c r="E52">
        <v>1</v>
      </c>
      <c r="F52" t="s">
        <v>13</v>
      </c>
      <c r="G52" s="3">
        <v>-2.8747559999999998E-2</v>
      </c>
      <c r="H52" s="3">
        <v>-2.5245190000000001E-2</v>
      </c>
      <c r="I52" s="3">
        <v>-4.2001249999999997E-2</v>
      </c>
      <c r="J52" s="3">
        <v>-5.6742670000000002E-2</v>
      </c>
      <c r="K52">
        <v>-7.6047900000000002E-2</v>
      </c>
      <c r="L52">
        <v>-0.10141749999999999</v>
      </c>
      <c r="M52">
        <v>-0.17043069999999999</v>
      </c>
      <c r="N52">
        <v>-0.20023579999999999</v>
      </c>
      <c r="O52">
        <v>-0.22298999999999999</v>
      </c>
      <c r="P52">
        <v>-0.24543519999999999</v>
      </c>
      <c r="Q52">
        <v>-0.2831168</v>
      </c>
      <c r="R52">
        <v>-0.32259510000000002</v>
      </c>
      <c r="S52">
        <v>-0.33054349999999999</v>
      </c>
      <c r="T52">
        <v>-0.448689</v>
      </c>
      <c r="U52">
        <v>-0.50028039999999996</v>
      </c>
      <c r="V52">
        <v>-0.61690279999999997</v>
      </c>
    </row>
    <row r="53" spans="1:22" x14ac:dyDescent="0.25">
      <c r="A53" t="s">
        <v>233</v>
      </c>
    </row>
    <row r="54" spans="1:22" x14ac:dyDescent="0.25">
      <c r="A54">
        <v>11389.66</v>
      </c>
      <c r="B54">
        <v>9116</v>
      </c>
      <c r="C54">
        <v>6742</v>
      </c>
      <c r="D54">
        <v>1</v>
      </c>
      <c r="E54">
        <v>1</v>
      </c>
      <c r="F54" t="s">
        <v>13</v>
      </c>
      <c r="G54">
        <v>-0.2910295</v>
      </c>
      <c r="H54">
        <v>0.15415719999999999</v>
      </c>
      <c r="I54">
        <v>0.13231129999999999</v>
      </c>
      <c r="J54" s="3">
        <v>8.5399149999999993E-2</v>
      </c>
      <c r="K54" s="3">
        <v>5.4875849999999997E-2</v>
      </c>
      <c r="L54" s="3">
        <v>2.0146370000000001E-3</v>
      </c>
      <c r="M54" s="3">
        <v>-5.1069259999999997E-4</v>
      </c>
      <c r="N54" s="3">
        <v>-9.7475050000000001E-3</v>
      </c>
      <c r="O54" s="3">
        <v>-2.1134380000000001E-2</v>
      </c>
      <c r="P54" s="3">
        <v>5.5459019999999998E-2</v>
      </c>
      <c r="Q54" s="3">
        <v>-3.807402E-2</v>
      </c>
      <c r="R54" s="3">
        <v>-3.949594E-2</v>
      </c>
      <c r="S54" s="3">
        <v>2.3460390000000001E-4</v>
      </c>
      <c r="T54" s="3">
        <v>-4.099274E-2</v>
      </c>
      <c r="U54" s="3">
        <v>-3.5735129999999997E-2</v>
      </c>
      <c r="V54" s="3">
        <v>-3.1161310000000001E-2</v>
      </c>
    </row>
    <row r="55" spans="1:22" x14ac:dyDescent="0.25">
      <c r="A55">
        <v>11389.69</v>
      </c>
      <c r="B55">
        <v>9116</v>
      </c>
      <c r="C55">
        <v>6744</v>
      </c>
      <c r="D55">
        <v>1</v>
      </c>
      <c r="E55">
        <v>1</v>
      </c>
      <c r="F55" t="s">
        <v>13</v>
      </c>
      <c r="G55" s="3">
        <v>-3.0943390000000001E-2</v>
      </c>
      <c r="H55" s="3">
        <v>-2.7947429999999999E-2</v>
      </c>
      <c r="I55" s="3">
        <v>-4.1273120000000003E-2</v>
      </c>
      <c r="J55" s="3">
        <v>-5.4828639999999998E-2</v>
      </c>
      <c r="K55" s="3">
        <v>-7.4595449999999994E-2</v>
      </c>
      <c r="L55" s="3">
        <v>-9.9980349999999996E-2</v>
      </c>
      <c r="M55">
        <v>-0.17426920000000001</v>
      </c>
      <c r="N55">
        <v>-0.20698259999999999</v>
      </c>
      <c r="O55">
        <v>-0.23162749999999999</v>
      </c>
      <c r="P55">
        <v>-0.2567005</v>
      </c>
      <c r="Q55">
        <v>-0.29798170000000002</v>
      </c>
      <c r="R55">
        <v>-0.34669879999999997</v>
      </c>
      <c r="S55">
        <v>-0.37290190000000001</v>
      </c>
      <c r="T55">
        <v>-0.40895130000000002</v>
      </c>
      <c r="U55">
        <v>-0.56662319999999999</v>
      </c>
      <c r="V55">
        <v>-0.68873019999999996</v>
      </c>
    </row>
    <row r="56" spans="1:22" x14ac:dyDescent="0.25">
      <c r="A56" t="s">
        <v>234</v>
      </c>
    </row>
    <row r="57" spans="1:22" x14ac:dyDescent="0.25">
      <c r="A57">
        <v>11399.71</v>
      </c>
      <c r="B57">
        <v>9116</v>
      </c>
      <c r="C57">
        <v>6742</v>
      </c>
      <c r="D57">
        <v>1</v>
      </c>
      <c r="E57">
        <v>1</v>
      </c>
      <c r="F57" t="s">
        <v>13</v>
      </c>
      <c r="G57">
        <v>-0.39749669999999998</v>
      </c>
      <c r="H57">
        <v>0.15116209999999999</v>
      </c>
      <c r="I57">
        <v>0.14129729999999999</v>
      </c>
      <c r="J57" s="3">
        <v>9.9680420000000006E-2</v>
      </c>
      <c r="K57" s="3">
        <v>6.9174769999999997E-2</v>
      </c>
      <c r="L57" s="3">
        <v>2.8824810000000001E-3</v>
      </c>
      <c r="M57" s="3">
        <v>1.2225150000000001E-2</v>
      </c>
      <c r="N57" s="3">
        <v>1.653671E-3</v>
      </c>
      <c r="O57">
        <v>-1.0499E-2</v>
      </c>
      <c r="P57">
        <v>5.52845E-2</v>
      </c>
      <c r="Q57" s="3">
        <v>-3.109694E-2</v>
      </c>
      <c r="R57" s="3">
        <v>-3.3760070000000003E-2</v>
      </c>
      <c r="S57" s="3">
        <v>-2.083302E-3</v>
      </c>
      <c r="T57" s="3">
        <v>-3.8209920000000001E-2</v>
      </c>
      <c r="U57" s="3">
        <v>-3.4635069999999997E-2</v>
      </c>
      <c r="V57" s="3">
        <v>-3.1706810000000002E-2</v>
      </c>
    </row>
    <row r="58" spans="1:22" x14ac:dyDescent="0.25">
      <c r="A58">
        <v>11399.74</v>
      </c>
      <c r="B58">
        <v>9116</v>
      </c>
      <c r="C58">
        <v>6744</v>
      </c>
      <c r="D58">
        <v>1</v>
      </c>
      <c r="E58">
        <v>1</v>
      </c>
      <c r="F58" t="s">
        <v>13</v>
      </c>
      <c r="G58" s="3">
        <v>-3.3134459999999998E-2</v>
      </c>
      <c r="H58" s="3">
        <v>-3.0469889999999999E-2</v>
      </c>
      <c r="I58" s="3">
        <v>-4.0180680000000003E-2</v>
      </c>
      <c r="J58" s="3">
        <v>-5.2741530000000002E-2</v>
      </c>
      <c r="K58" s="3">
        <v>-7.2416309999999998E-2</v>
      </c>
      <c r="L58" s="3">
        <v>-9.8542210000000005E-2</v>
      </c>
      <c r="M58">
        <v>-0.17723230000000001</v>
      </c>
      <c r="N58">
        <v>-0.21282960000000001</v>
      </c>
      <c r="O58">
        <v>-0.23901320000000001</v>
      </c>
      <c r="P58">
        <v>-0.26685569999999997</v>
      </c>
      <c r="Q58">
        <v>-0.3113918</v>
      </c>
      <c r="R58">
        <v>-0.3669887</v>
      </c>
      <c r="S58">
        <v>-0.39820240000000001</v>
      </c>
      <c r="T58">
        <v>-0.44030950000000002</v>
      </c>
      <c r="U58">
        <v>-0.63992210000000005</v>
      </c>
      <c r="V58">
        <v>-0.75784830000000003</v>
      </c>
    </row>
    <row r="59" spans="1:22" x14ac:dyDescent="0.25">
      <c r="A59" t="s">
        <v>235</v>
      </c>
    </row>
    <row r="60" spans="1:22" x14ac:dyDescent="0.25">
      <c r="A60">
        <v>11408.73</v>
      </c>
      <c r="B60">
        <v>9116</v>
      </c>
      <c r="C60">
        <v>6742</v>
      </c>
      <c r="D60">
        <v>1</v>
      </c>
      <c r="E60">
        <v>1</v>
      </c>
      <c r="F60" t="s">
        <v>13</v>
      </c>
      <c r="G60">
        <v>-0.51015330000000003</v>
      </c>
      <c r="H60">
        <v>0.14341209999999999</v>
      </c>
      <c r="I60">
        <v>0.1467571</v>
      </c>
      <c r="J60">
        <v>0.111702</v>
      </c>
      <c r="K60" s="3">
        <v>8.1923010000000004E-2</v>
      </c>
      <c r="L60" s="3">
        <v>3.7655829999999999E-3</v>
      </c>
      <c r="M60" s="3">
        <v>2.4425510000000001E-2</v>
      </c>
      <c r="N60" s="3">
        <v>1.218414E-2</v>
      </c>
      <c r="O60" s="3">
        <v>-1.6136169999999999E-3</v>
      </c>
      <c r="P60" s="3">
        <v>5.5265429999999997E-2</v>
      </c>
      <c r="Q60" s="3">
        <v>-2.499533E-2</v>
      </c>
      <c r="R60" s="3">
        <v>-2.9417510000000001E-2</v>
      </c>
      <c r="S60" s="3">
        <v>-3.5095209999999998E-3</v>
      </c>
      <c r="T60" s="3">
        <v>-3.5948279999999999E-2</v>
      </c>
      <c r="U60" s="3">
        <v>-3.3516879999999999E-2</v>
      </c>
      <c r="V60" s="3">
        <v>-3.3707620000000001E-2</v>
      </c>
    </row>
    <row r="61" spans="1:22" x14ac:dyDescent="0.25">
      <c r="A61">
        <v>11408.75</v>
      </c>
      <c r="B61">
        <v>9116</v>
      </c>
      <c r="C61">
        <v>6744</v>
      </c>
      <c r="D61">
        <v>1</v>
      </c>
      <c r="E61">
        <v>1</v>
      </c>
      <c r="F61" t="s">
        <v>13</v>
      </c>
      <c r="G61" s="3">
        <v>-3.6781790000000002E-2</v>
      </c>
      <c r="H61">
        <v>-3.4922599999999998E-2</v>
      </c>
      <c r="I61" s="3">
        <v>-4.1636939999999997E-2</v>
      </c>
      <c r="J61">
        <v>-5.2046299999999997E-2</v>
      </c>
      <c r="K61" s="3">
        <v>-7.0599560000000006E-2</v>
      </c>
      <c r="L61" s="3">
        <v>-9.6393110000000004E-2</v>
      </c>
      <c r="M61">
        <v>-0.18036269999999999</v>
      </c>
      <c r="N61">
        <v>-0.21832850000000001</v>
      </c>
      <c r="O61">
        <v>-0.24693300000000001</v>
      </c>
      <c r="P61">
        <v>-0.27701140000000002</v>
      </c>
      <c r="Q61">
        <v>-0.32587100000000002</v>
      </c>
      <c r="R61">
        <v>-0.3876424</v>
      </c>
      <c r="S61">
        <v>-0.42580030000000002</v>
      </c>
      <c r="T61">
        <v>-0.47347349999999999</v>
      </c>
      <c r="U61">
        <v>-0.71485279999999995</v>
      </c>
      <c r="V61">
        <v>-0.81909180000000004</v>
      </c>
    </row>
    <row r="62" spans="1:22" x14ac:dyDescent="0.25">
      <c r="A62" t="s">
        <v>236</v>
      </c>
    </row>
    <row r="63" spans="1:22" x14ac:dyDescent="0.25">
      <c r="A63">
        <v>11418.16</v>
      </c>
      <c r="B63">
        <v>9116</v>
      </c>
      <c r="C63">
        <v>6742</v>
      </c>
      <c r="D63">
        <v>1</v>
      </c>
      <c r="E63">
        <v>1</v>
      </c>
      <c r="F63" t="s">
        <v>13</v>
      </c>
      <c r="G63">
        <v>-0.62385029999999997</v>
      </c>
      <c r="H63">
        <v>0.13143060000000001</v>
      </c>
      <c r="I63">
        <v>0.1490474</v>
      </c>
      <c r="J63">
        <v>0.1213374</v>
      </c>
      <c r="K63" s="3">
        <v>9.2776780000000003E-2</v>
      </c>
      <c r="L63" s="3">
        <v>5.1546099999999996E-3</v>
      </c>
      <c r="M63" s="3">
        <v>3.5216329999999997E-2</v>
      </c>
      <c r="N63" s="3">
        <v>2.1656040000000001E-2</v>
      </c>
      <c r="O63" s="3">
        <v>6.7558289999999997E-3</v>
      </c>
      <c r="P63" s="3">
        <v>5.5613990000000002E-2</v>
      </c>
      <c r="Q63" s="3">
        <v>-1.8017769999999999E-2</v>
      </c>
      <c r="R63" s="3">
        <v>-2.4029249999999999E-2</v>
      </c>
      <c r="S63" s="3">
        <v>-4.7578810000000003E-3</v>
      </c>
      <c r="T63" s="3">
        <v>-3.3513550000000003E-2</v>
      </c>
      <c r="U63">
        <v>-3.3333300000000003E-2</v>
      </c>
      <c r="V63" s="3">
        <v>-3.461695E-2</v>
      </c>
    </row>
    <row r="64" spans="1:22" x14ac:dyDescent="0.25">
      <c r="A64">
        <v>11418.18</v>
      </c>
      <c r="B64">
        <v>9116</v>
      </c>
      <c r="C64">
        <v>6744</v>
      </c>
      <c r="D64">
        <v>1</v>
      </c>
      <c r="E64">
        <v>1</v>
      </c>
      <c r="F64" t="s">
        <v>13</v>
      </c>
      <c r="G64" s="3">
        <v>-4.0802959999999999E-2</v>
      </c>
      <c r="H64" s="3">
        <v>-4.0735720000000003E-2</v>
      </c>
      <c r="I64" s="3">
        <v>-4.4373990000000002E-2</v>
      </c>
      <c r="J64">
        <v>-5.23963E-2</v>
      </c>
      <c r="K64" s="3">
        <v>-6.8238740000000006E-2</v>
      </c>
      <c r="L64" s="3">
        <v>-9.2611310000000002E-2</v>
      </c>
      <c r="M64">
        <v>-0.18071319999999999</v>
      </c>
      <c r="N64">
        <v>-0.2214189</v>
      </c>
      <c r="O64">
        <v>-0.25179240000000003</v>
      </c>
      <c r="P64">
        <v>-0.28421350000000001</v>
      </c>
      <c r="Q64">
        <v>-0.33620309999999998</v>
      </c>
      <c r="R64">
        <v>-0.40377000000000002</v>
      </c>
      <c r="S64">
        <v>-0.44705060000000002</v>
      </c>
      <c r="T64">
        <v>-0.50082870000000002</v>
      </c>
      <c r="U64">
        <v>-0.79913520000000005</v>
      </c>
      <c r="V64">
        <v>-0.85897210000000002</v>
      </c>
    </row>
    <row r="65" spans="1:22" x14ac:dyDescent="0.25">
      <c r="A65" t="s">
        <v>237</v>
      </c>
    </row>
    <row r="66" spans="1:22" x14ac:dyDescent="0.25">
      <c r="A66">
        <v>11428.05</v>
      </c>
      <c r="B66">
        <v>9116</v>
      </c>
      <c r="C66">
        <v>6742</v>
      </c>
      <c r="D66">
        <v>1</v>
      </c>
      <c r="E66">
        <v>1</v>
      </c>
      <c r="F66" t="s">
        <v>13</v>
      </c>
      <c r="G66">
        <v>-0.7391162</v>
      </c>
      <c r="H66">
        <v>0.1159439</v>
      </c>
      <c r="I66">
        <v>0.14798739999999999</v>
      </c>
      <c r="J66">
        <v>0.1277218</v>
      </c>
      <c r="K66">
        <v>0.1010523</v>
      </c>
      <c r="L66" s="3">
        <v>5.1536560000000004E-3</v>
      </c>
      <c r="M66">
        <v>4.4227599999999999E-2</v>
      </c>
      <c r="N66" s="3">
        <v>2.9720779999999999E-2</v>
      </c>
      <c r="O66" s="3">
        <v>1.458836E-2</v>
      </c>
      <c r="P66" s="3">
        <v>5.563307E-2</v>
      </c>
      <c r="Q66" s="3">
        <v>-1.2907979999999999E-2</v>
      </c>
      <c r="R66" s="3">
        <v>-2.0210269999999999E-2</v>
      </c>
      <c r="S66" s="3">
        <v>-6.3600540000000004E-3</v>
      </c>
      <c r="T66" s="3">
        <v>-3.212214E-2</v>
      </c>
      <c r="U66" s="3">
        <v>-3.3700939999999999E-2</v>
      </c>
      <c r="V66" s="3">
        <v>-3.7452220000000001E-2</v>
      </c>
    </row>
    <row r="67" spans="1:22" x14ac:dyDescent="0.25">
      <c r="A67">
        <v>11428.08</v>
      </c>
      <c r="B67">
        <v>9116</v>
      </c>
      <c r="C67">
        <v>6744</v>
      </c>
      <c r="D67">
        <v>1</v>
      </c>
      <c r="E67">
        <v>1</v>
      </c>
      <c r="F67" t="s">
        <v>13</v>
      </c>
      <c r="G67" s="3">
        <v>-4.6645159999999998E-2</v>
      </c>
      <c r="H67" s="3">
        <v>-4.9024579999999998E-2</v>
      </c>
      <c r="I67" s="3">
        <v>-5.1110269999999999E-2</v>
      </c>
      <c r="J67" s="3">
        <v>-5.6744580000000003E-2</v>
      </c>
      <c r="K67" s="3">
        <v>-6.805754E-2</v>
      </c>
      <c r="L67" s="3">
        <v>-8.9197159999999998E-2</v>
      </c>
      <c r="M67">
        <v>-0.17966789999999999</v>
      </c>
      <c r="N67">
        <v>-0.22306300000000001</v>
      </c>
      <c r="O67">
        <v>-0.25539539999999999</v>
      </c>
      <c r="P67">
        <v>-0.29030610000000001</v>
      </c>
      <c r="Q67">
        <v>-0.34562490000000001</v>
      </c>
      <c r="R67">
        <v>-0.41898580000000002</v>
      </c>
      <c r="S67">
        <v>-0.46778009999999998</v>
      </c>
      <c r="T67">
        <v>-0.53473380000000004</v>
      </c>
      <c r="U67">
        <v>-0.87753820000000005</v>
      </c>
      <c r="V67">
        <v>-0.91535659999999996</v>
      </c>
    </row>
    <row r="68" spans="1:22" x14ac:dyDescent="0.25">
      <c r="A68" t="s">
        <v>238</v>
      </c>
    </row>
    <row r="69" spans="1:22" x14ac:dyDescent="0.25">
      <c r="A69">
        <v>11437.46</v>
      </c>
      <c r="B69">
        <v>9116</v>
      </c>
      <c r="C69">
        <v>6742</v>
      </c>
      <c r="D69">
        <v>1</v>
      </c>
      <c r="E69">
        <v>1</v>
      </c>
      <c r="F69" t="s">
        <v>13</v>
      </c>
      <c r="G69">
        <v>-0.84494780000000003</v>
      </c>
      <c r="H69">
        <v>0.1009803</v>
      </c>
      <c r="I69">
        <v>0.1479869</v>
      </c>
      <c r="J69">
        <v>0.13356879999999999</v>
      </c>
      <c r="K69">
        <v>0.10914989999999999</v>
      </c>
      <c r="L69" s="3">
        <v>5.8355330000000004E-3</v>
      </c>
      <c r="M69" s="3">
        <v>5.2538389999999997E-2</v>
      </c>
      <c r="N69" s="3">
        <v>3.6912920000000002E-2</v>
      </c>
      <c r="O69" s="3">
        <v>2.0949840000000001E-2</v>
      </c>
      <c r="P69" s="3">
        <v>5.5788039999999997E-2</v>
      </c>
      <c r="Q69" s="3">
        <v>-8.8977810000000004E-3</v>
      </c>
      <c r="R69" s="3">
        <v>-1.743078E-2</v>
      </c>
      <c r="S69" s="3">
        <v>-6.8936350000000004E-3</v>
      </c>
      <c r="T69">
        <v>-3.2295699999999997E-2</v>
      </c>
      <c r="U69" s="3">
        <v>-3.5735610000000001E-2</v>
      </c>
      <c r="V69" s="3">
        <v>-4.2723659999999997E-2</v>
      </c>
    </row>
    <row r="70" spans="1:22" x14ac:dyDescent="0.25">
      <c r="A70">
        <v>11437.49</v>
      </c>
      <c r="B70">
        <v>9116</v>
      </c>
      <c r="C70">
        <v>6744</v>
      </c>
      <c r="D70">
        <v>1</v>
      </c>
      <c r="E70">
        <v>1</v>
      </c>
      <c r="F70" t="s">
        <v>13</v>
      </c>
      <c r="G70" s="3">
        <v>-5.5957319999999998E-2</v>
      </c>
      <c r="H70">
        <v>-6.2532900000000002E-2</v>
      </c>
      <c r="I70" s="3">
        <v>-6.3848020000000005E-2</v>
      </c>
      <c r="J70" s="3">
        <v>-6.7352289999999995E-2</v>
      </c>
      <c r="K70" s="3">
        <v>-7.2416309999999998E-2</v>
      </c>
      <c r="L70" s="3">
        <v>-8.5608959999999998E-2</v>
      </c>
      <c r="M70">
        <v>-0.17374129999999999</v>
      </c>
      <c r="N70">
        <v>-0.22105359999999999</v>
      </c>
      <c r="O70">
        <v>-0.25497199999999998</v>
      </c>
      <c r="P70">
        <v>-0.2923384</v>
      </c>
      <c r="Q70">
        <v>-0.35104180000000001</v>
      </c>
      <c r="R70">
        <v>-0.43040129999999999</v>
      </c>
      <c r="S70">
        <v>-0.48443219999999998</v>
      </c>
      <c r="T70">
        <v>-0.56627459999999996</v>
      </c>
      <c r="U70">
        <v>-0.95079420000000003</v>
      </c>
      <c r="V70">
        <v>-0.98056600000000005</v>
      </c>
    </row>
    <row r="71" spans="1:22" x14ac:dyDescent="0.25">
      <c r="A71" t="s">
        <v>239</v>
      </c>
    </row>
    <row r="72" spans="1:22" x14ac:dyDescent="0.25">
      <c r="A72">
        <v>11446.92</v>
      </c>
      <c r="B72">
        <v>9116</v>
      </c>
      <c r="C72">
        <v>6742</v>
      </c>
      <c r="D72">
        <v>1</v>
      </c>
      <c r="E72">
        <v>1</v>
      </c>
      <c r="F72" t="s">
        <v>13</v>
      </c>
      <c r="G72">
        <v>-0.83927439999999998</v>
      </c>
      <c r="H72" s="3">
        <v>9.9923129999999999E-2</v>
      </c>
      <c r="I72">
        <v>0.14869209999999999</v>
      </c>
      <c r="J72">
        <v>0.1351175</v>
      </c>
      <c r="K72">
        <v>0.1107006</v>
      </c>
      <c r="L72" s="3">
        <v>6.0091019999999997E-3</v>
      </c>
      <c r="M72" s="3">
        <v>5.4306979999999998E-2</v>
      </c>
      <c r="N72">
        <v>3.79653E-2</v>
      </c>
      <c r="O72" s="3">
        <v>2.1647449999999999E-2</v>
      </c>
      <c r="P72" s="3">
        <v>5.5613990000000002E-2</v>
      </c>
      <c r="Q72" s="3">
        <v>-1.011896E-2</v>
      </c>
      <c r="R72" s="3">
        <v>-2.0559310000000001E-2</v>
      </c>
      <c r="S72" s="3">
        <v>-8.1415180000000004E-3</v>
      </c>
      <c r="T72" s="3">
        <v>-3.9601329999999997E-2</v>
      </c>
      <c r="U72" s="3">
        <v>-4.6186919999999999E-2</v>
      </c>
      <c r="V72" s="3">
        <v>-6.0363769999999997E-2</v>
      </c>
    </row>
    <row r="73" spans="1:22" x14ac:dyDescent="0.25">
      <c r="A73">
        <v>11446.94</v>
      </c>
      <c r="B73">
        <v>9116</v>
      </c>
      <c r="C73">
        <v>6744</v>
      </c>
      <c r="D73">
        <v>1</v>
      </c>
      <c r="E73">
        <v>1</v>
      </c>
      <c r="F73" t="s">
        <v>13</v>
      </c>
      <c r="G73" s="3">
        <v>-8.279562E-2</v>
      </c>
      <c r="H73" s="3">
        <v>-9.3163969999999999E-2</v>
      </c>
      <c r="I73">
        <v>-0.1069908</v>
      </c>
      <c r="J73">
        <v>-0.1148314</v>
      </c>
      <c r="K73">
        <v>-0.12489699999999999</v>
      </c>
      <c r="L73">
        <v>-0.13700680000000001</v>
      </c>
      <c r="M73">
        <v>-0.14620259999999999</v>
      </c>
      <c r="N73">
        <v>-0.16331619999999999</v>
      </c>
      <c r="O73">
        <v>-0.1908417</v>
      </c>
      <c r="P73">
        <v>-0.22882369999999999</v>
      </c>
      <c r="Q73">
        <v>-0.28871010000000003</v>
      </c>
      <c r="R73">
        <v>-0.3711662</v>
      </c>
      <c r="S73">
        <v>-0.42452190000000001</v>
      </c>
      <c r="T73">
        <v>-0.50466350000000004</v>
      </c>
      <c r="U73">
        <v>-0.87972740000000005</v>
      </c>
      <c r="V73">
        <v>-0.89590020000000004</v>
      </c>
    </row>
    <row r="74" spans="1:22" x14ac:dyDescent="0.25">
      <c r="A74" t="s">
        <v>240</v>
      </c>
    </row>
    <row r="75" spans="1:22" x14ac:dyDescent="0.25">
      <c r="A75">
        <v>11456.54</v>
      </c>
      <c r="B75">
        <v>9116</v>
      </c>
      <c r="C75">
        <v>6742</v>
      </c>
      <c r="D75">
        <v>1</v>
      </c>
      <c r="E75">
        <v>1</v>
      </c>
      <c r="F75" t="s">
        <v>13</v>
      </c>
      <c r="G75">
        <v>-0.1627073</v>
      </c>
      <c r="H75">
        <v>0.153142</v>
      </c>
      <c r="I75">
        <v>0.13953109999999999</v>
      </c>
      <c r="J75">
        <v>0.10173649999999999</v>
      </c>
      <c r="K75" s="3">
        <v>7.3996069999999997E-2</v>
      </c>
      <c r="L75" s="3">
        <v>3.0694009999999998E-3</v>
      </c>
      <c r="M75" s="3">
        <v>1.9504069999999998E-2</v>
      </c>
      <c r="N75" s="3">
        <v>6.9179530000000001E-3</v>
      </c>
      <c r="O75" s="3">
        <v>-7.0443149999999998E-3</v>
      </c>
      <c r="P75" s="3">
        <v>5.5091380000000002E-2</v>
      </c>
      <c r="Q75" s="3">
        <v>-3.6519049999999997E-2</v>
      </c>
      <c r="R75" s="3">
        <v>-4.5936110000000002E-2</v>
      </c>
      <c r="S75" s="3">
        <v>-9.3903540000000001E-3</v>
      </c>
      <c r="T75" s="3">
        <v>-6.7254540000000002E-2</v>
      </c>
      <c r="U75" s="3">
        <v>-7.6803679999999999E-2</v>
      </c>
      <c r="V75" s="3">
        <v>-9.3584059999999997E-2</v>
      </c>
    </row>
    <row r="76" spans="1:22" x14ac:dyDescent="0.25">
      <c r="A76">
        <v>11456.56</v>
      </c>
      <c r="B76">
        <v>9116</v>
      </c>
      <c r="C76">
        <v>6744</v>
      </c>
      <c r="D76">
        <v>1</v>
      </c>
      <c r="E76">
        <v>1</v>
      </c>
      <c r="F76" t="s">
        <v>13</v>
      </c>
      <c r="G76">
        <v>-0.1194849</v>
      </c>
      <c r="H76">
        <v>-0.14935970000000001</v>
      </c>
      <c r="I76">
        <v>-0.16414119999999999</v>
      </c>
      <c r="J76">
        <v>-0.17570069999999999</v>
      </c>
      <c r="K76">
        <v>-0.18862490000000001</v>
      </c>
      <c r="L76">
        <v>-0.20043279999999999</v>
      </c>
      <c r="M76">
        <v>-0.203546</v>
      </c>
      <c r="N76">
        <v>-0.19840530000000001</v>
      </c>
      <c r="O76">
        <v>-0.19393869999999999</v>
      </c>
      <c r="P76">
        <v>-0.18986510000000001</v>
      </c>
      <c r="Q76">
        <v>-0.1901178</v>
      </c>
      <c r="R76">
        <v>-0.1899767</v>
      </c>
      <c r="S76">
        <v>-0.18643570000000001</v>
      </c>
      <c r="T76">
        <v>-0.18629309999999999</v>
      </c>
      <c r="U76">
        <v>-0.18165829999999999</v>
      </c>
      <c r="V76">
        <v>-0.1766634</v>
      </c>
    </row>
    <row r="77" spans="1:22" x14ac:dyDescent="0.25">
      <c r="A77" t="s">
        <v>241</v>
      </c>
    </row>
    <row r="78" spans="1:22" x14ac:dyDescent="0.25">
      <c r="A78">
        <v>11465.89</v>
      </c>
      <c r="B78">
        <v>9116</v>
      </c>
      <c r="C78">
        <v>6742</v>
      </c>
      <c r="D78">
        <v>1</v>
      </c>
      <c r="E78">
        <v>1</v>
      </c>
      <c r="F78" t="s">
        <v>13</v>
      </c>
      <c r="G78">
        <v>-0.14424709999999999</v>
      </c>
      <c r="H78">
        <v>0.15373329999999999</v>
      </c>
      <c r="I78">
        <v>0.1395335</v>
      </c>
      <c r="J78">
        <v>0.10225869999999999</v>
      </c>
      <c r="K78" s="3">
        <v>7.5037960000000001E-2</v>
      </c>
      <c r="L78" s="3">
        <v>3.9525029999999996E-3</v>
      </c>
      <c r="M78">
        <v>1.9824499999999998E-2</v>
      </c>
      <c r="N78" s="3">
        <v>7.799149E-3</v>
      </c>
      <c r="O78" s="3">
        <v>-7.3690409999999998E-3</v>
      </c>
      <c r="P78">
        <v>5.52845E-2</v>
      </c>
      <c r="Q78" s="3">
        <v>-3.749371E-2</v>
      </c>
      <c r="R78" s="3">
        <v>-4.8703669999999998E-2</v>
      </c>
      <c r="S78" s="3">
        <v>-1.0637280000000001E-2</v>
      </c>
      <c r="T78">
        <v>-7.3167800000000005E-2</v>
      </c>
      <c r="U78" s="3">
        <v>-8.3548549999999999E-2</v>
      </c>
      <c r="V78">
        <v>-0.1026764</v>
      </c>
    </row>
    <row r="79" spans="1:22" x14ac:dyDescent="0.25">
      <c r="A79">
        <v>11465.91</v>
      </c>
      <c r="B79">
        <v>9116</v>
      </c>
      <c r="C79">
        <v>6744</v>
      </c>
      <c r="D79">
        <v>1</v>
      </c>
      <c r="E79">
        <v>1</v>
      </c>
      <c r="F79" t="s">
        <v>13</v>
      </c>
      <c r="G79">
        <v>-0.1287971</v>
      </c>
      <c r="H79">
        <v>-0.16482830000000001</v>
      </c>
      <c r="I79">
        <v>-0.17544129999999999</v>
      </c>
      <c r="J79">
        <v>-0.1849132</v>
      </c>
      <c r="K79">
        <v>-0.18862960000000001</v>
      </c>
      <c r="L79">
        <v>-0.1896572</v>
      </c>
      <c r="M79">
        <v>-0.17025419999999999</v>
      </c>
      <c r="N79">
        <v>-0.16405529999999999</v>
      </c>
      <c r="O79">
        <v>-0.16260240000000001</v>
      </c>
      <c r="P79">
        <v>-0.15994549999999999</v>
      </c>
      <c r="Q79">
        <v>-0.159502</v>
      </c>
      <c r="R79">
        <v>-0.15953539999999999</v>
      </c>
      <c r="S79">
        <v>-0.1556826</v>
      </c>
      <c r="T79">
        <v>-0.15911719999999999</v>
      </c>
      <c r="U79">
        <v>-0.1570859</v>
      </c>
      <c r="V79">
        <v>-0.15658520000000001</v>
      </c>
    </row>
    <row r="84" spans="7:39" x14ac:dyDescent="0.25">
      <c r="G84" s="5"/>
      <c r="H84" s="5" t="s">
        <v>44</v>
      </c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</row>
    <row r="85" spans="7:39" x14ac:dyDescent="0.25">
      <c r="G85" s="5" t="s">
        <v>45</v>
      </c>
      <c r="H85" s="5" t="s">
        <v>14</v>
      </c>
      <c r="I85" s="5" t="s">
        <v>15</v>
      </c>
      <c r="J85" s="5" t="s">
        <v>16</v>
      </c>
      <c r="K85" s="5" t="s">
        <v>17</v>
      </c>
      <c r="L85" s="5" t="s">
        <v>18</v>
      </c>
      <c r="M85" s="5" t="s">
        <v>19</v>
      </c>
      <c r="N85" s="5" t="s">
        <v>20</v>
      </c>
      <c r="O85" s="5" t="s">
        <v>21</v>
      </c>
      <c r="P85" s="5" t="s">
        <v>22</v>
      </c>
      <c r="Q85" s="5" t="s">
        <v>23</v>
      </c>
      <c r="R85" s="5" t="s">
        <v>24</v>
      </c>
      <c r="S85" s="5" t="s">
        <v>25</v>
      </c>
      <c r="T85" s="5" t="s">
        <v>26</v>
      </c>
      <c r="U85" s="5" t="s">
        <v>27</v>
      </c>
      <c r="V85" s="5" t="s">
        <v>28</v>
      </c>
      <c r="W85" s="5" t="s">
        <v>29</v>
      </c>
      <c r="X85" s="5" t="s">
        <v>46</v>
      </c>
      <c r="Y85" s="5" t="s">
        <v>47</v>
      </c>
      <c r="Z85" s="5" t="s">
        <v>48</v>
      </c>
      <c r="AA85" s="5" t="s">
        <v>49</v>
      </c>
      <c r="AB85" s="5" t="s">
        <v>50</v>
      </c>
      <c r="AC85" s="5" t="s">
        <v>51</v>
      </c>
      <c r="AD85" s="5" t="s">
        <v>52</v>
      </c>
      <c r="AE85" s="5" t="s">
        <v>53</v>
      </c>
      <c r="AF85" s="5" t="s">
        <v>54</v>
      </c>
      <c r="AG85" s="5" t="s">
        <v>55</v>
      </c>
      <c r="AH85" s="5" t="s">
        <v>56</v>
      </c>
      <c r="AI85" s="5" t="s">
        <v>57</v>
      </c>
      <c r="AJ85" s="5" t="s">
        <v>58</v>
      </c>
      <c r="AK85" s="5" t="s">
        <v>59</v>
      </c>
      <c r="AL85" s="5" t="s">
        <v>60</v>
      </c>
      <c r="AM85" s="5" t="s">
        <v>61</v>
      </c>
    </row>
    <row r="86" spans="7:39" x14ac:dyDescent="0.25">
      <c r="G86" s="5" t="s">
        <v>62</v>
      </c>
      <c r="H86" s="6">
        <f>G9</f>
        <v>-6.1464310000000004E-4</v>
      </c>
      <c r="I86" s="6">
        <f t="shared" ref="I86:W86" si="0">H9</f>
        <v>-6.4849850000000002E-4</v>
      </c>
      <c r="J86" s="6">
        <f t="shared" si="0"/>
        <v>-4.6157840000000001E-4</v>
      </c>
      <c r="K86" s="6">
        <f t="shared" si="0"/>
        <v>3.9632319999999999E-2</v>
      </c>
      <c r="L86" s="6">
        <f t="shared" si="0"/>
        <v>-2.5653839999999998E-4</v>
      </c>
      <c r="M86" s="6">
        <f t="shared" si="0"/>
        <v>-6.1178209999999998E-4</v>
      </c>
      <c r="N86" s="6">
        <f t="shared" si="0"/>
        <v>-1.2450219999999999E-3</v>
      </c>
      <c r="O86" s="6">
        <f t="shared" si="0"/>
        <v>-1.192093E-4</v>
      </c>
      <c r="P86" s="6">
        <f t="shared" si="0"/>
        <v>4.3630600000000002E-4</v>
      </c>
      <c r="Q86" s="6">
        <f t="shared" si="0"/>
        <v>4.3742179999999999E-2</v>
      </c>
      <c r="R86" s="6">
        <f t="shared" si="0"/>
        <v>7.2145460000000005E-4</v>
      </c>
      <c r="S86" s="6">
        <f t="shared" si="0"/>
        <v>9.8705290000000004E-5</v>
      </c>
      <c r="T86" s="6">
        <f t="shared" si="0"/>
        <v>1.8774030000000001E-2</v>
      </c>
      <c r="U86" s="6">
        <f t="shared" si="0"/>
        <v>-3.0565259999999999E-4</v>
      </c>
      <c r="V86" s="6">
        <f t="shared" si="0"/>
        <v>2.3031230000000001E-4</v>
      </c>
      <c r="W86" s="6">
        <f t="shared" si="0"/>
        <v>-1.416206E-4</v>
      </c>
      <c r="X86" s="6">
        <f>G10</f>
        <v>-6.5183639999999996E-4</v>
      </c>
      <c r="Y86" s="6">
        <f t="shared" ref="Y86:AM86" si="1">H10</f>
        <v>-1.280308E-3</v>
      </c>
      <c r="Z86" s="6">
        <f t="shared" si="1"/>
        <v>-8.8691710000000004E-5</v>
      </c>
      <c r="AA86" s="6">
        <f t="shared" si="1"/>
        <v>3.4039020000000003E-2</v>
      </c>
      <c r="AB86" s="6">
        <f t="shared" si="1"/>
        <v>-3.2901760000000001E-5</v>
      </c>
      <c r="AC86" s="6">
        <f t="shared" si="1"/>
        <v>-5.0067899999999997E-4</v>
      </c>
      <c r="AD86" s="6">
        <f t="shared" si="1"/>
        <v>-1.240253E-3</v>
      </c>
      <c r="AE86" s="6">
        <f t="shared" si="1"/>
        <v>9.9182129999999996E-5</v>
      </c>
      <c r="AF86" s="6">
        <f t="shared" si="1"/>
        <v>-9.5558169999999997E-4</v>
      </c>
      <c r="AG86" s="6">
        <f t="shared" si="1"/>
        <v>3.7574769999999997E-4</v>
      </c>
      <c r="AH86" s="6">
        <f t="shared" si="1"/>
        <v>2.7942659999999998E-4</v>
      </c>
      <c r="AI86" s="6">
        <f t="shared" si="1"/>
        <v>-3.8957599999999998E-4</v>
      </c>
      <c r="AJ86" s="6">
        <f t="shared" si="1"/>
        <v>-1.029968E-3</v>
      </c>
      <c r="AK86" s="6">
        <f t="shared" si="1"/>
        <v>3.9672850000000001E-4</v>
      </c>
      <c r="AL86" s="6">
        <f t="shared" si="1"/>
        <v>1.037121E-3</v>
      </c>
      <c r="AM86" s="6">
        <f t="shared" si="1"/>
        <v>2.0885470000000001E-4</v>
      </c>
    </row>
    <row r="87" spans="7:39" x14ac:dyDescent="0.25">
      <c r="G87" s="5">
        <v>-4</v>
      </c>
      <c r="H87" s="6">
        <f>G12</f>
        <v>-7.2000980000000006E-2</v>
      </c>
      <c r="I87" s="6">
        <f t="shared" ref="I87:W87" si="2">H12</f>
        <v>-0.51029630000000004</v>
      </c>
      <c r="J87" s="6">
        <f t="shared" si="2"/>
        <v>-0.44122509999999998</v>
      </c>
      <c r="K87" s="6">
        <f t="shared" si="2"/>
        <v>-0.36054940000000002</v>
      </c>
      <c r="L87" s="6">
        <f t="shared" si="2"/>
        <v>-0.31434250000000002</v>
      </c>
      <c r="M87" s="6">
        <f t="shared" si="2"/>
        <v>-2.524185E-2</v>
      </c>
      <c r="N87" s="6">
        <f t="shared" si="2"/>
        <v>-0.26066830000000002</v>
      </c>
      <c r="O87" s="6">
        <f t="shared" si="2"/>
        <v>-0.21980330000000001</v>
      </c>
      <c r="P87" s="6">
        <f t="shared" si="2"/>
        <v>-0.20212359999999999</v>
      </c>
      <c r="Q87" s="6">
        <f t="shared" si="2"/>
        <v>5.1607609999999998E-2</v>
      </c>
      <c r="R87" s="6">
        <f t="shared" si="2"/>
        <v>-0.15998319999999999</v>
      </c>
      <c r="S87" s="6">
        <f t="shared" si="2"/>
        <v>-0.1334071</v>
      </c>
      <c r="T87" s="6">
        <f t="shared" si="2"/>
        <v>3.7999150000000001E-3</v>
      </c>
      <c r="U87" s="6">
        <f t="shared" si="2"/>
        <v>-9.4731330000000002E-2</v>
      </c>
      <c r="V87" s="6">
        <f t="shared" si="2"/>
        <v>-7.2966580000000003E-2</v>
      </c>
      <c r="W87" s="6">
        <f t="shared" si="2"/>
        <v>-5.2055360000000002E-2</v>
      </c>
      <c r="X87" s="6">
        <f>G13</f>
        <v>-4.390144E-2</v>
      </c>
      <c r="Y87" s="6">
        <f t="shared" ref="Y87:AM87" si="3">H13</f>
        <v>-3.646278E-2</v>
      </c>
      <c r="Z87" s="6">
        <f t="shared" si="3"/>
        <v>-3.5628800000000002E-2</v>
      </c>
      <c r="AA87" s="6">
        <f t="shared" si="3"/>
        <v>-4.2481900000000003E-2</v>
      </c>
      <c r="AB87" s="6">
        <f t="shared" si="3"/>
        <v>-4.5532700000000002E-2</v>
      </c>
      <c r="AC87" s="6">
        <f t="shared" si="3"/>
        <v>-5.3251270000000003E-2</v>
      </c>
      <c r="AD87" s="6">
        <f t="shared" si="3"/>
        <v>-5.853415E-2</v>
      </c>
      <c r="AE87" s="6">
        <f t="shared" si="3"/>
        <v>-5.2936549999999999E-2</v>
      </c>
      <c r="AF87" s="6">
        <f t="shared" si="3"/>
        <v>-5.1139829999999997E-2</v>
      </c>
      <c r="AG87" s="6">
        <f t="shared" si="3"/>
        <v>-4.3035030000000002E-2</v>
      </c>
      <c r="AH87" s="6">
        <f t="shared" si="3"/>
        <v>-3.351498E-2</v>
      </c>
      <c r="AI87" s="6">
        <f t="shared" si="3"/>
        <v>-1.1443139999999999E-2</v>
      </c>
      <c r="AJ87" s="6">
        <f t="shared" si="3"/>
        <v>8.1543919999999999E-3</v>
      </c>
      <c r="AK87" s="6">
        <f t="shared" si="3"/>
        <v>3.5721299999999997E-2</v>
      </c>
      <c r="AL87" s="6">
        <f t="shared" si="3"/>
        <v>7.9891680000000007E-2</v>
      </c>
      <c r="AM87" s="6">
        <f t="shared" si="3"/>
        <v>0.1235332</v>
      </c>
    </row>
    <row r="88" spans="7:39" x14ac:dyDescent="0.25">
      <c r="G88" s="5">
        <v>-3</v>
      </c>
      <c r="H88" s="6">
        <f>G15</f>
        <v>3.8104060000000001E-3</v>
      </c>
      <c r="I88" s="6">
        <f t="shared" ref="I88:W88" si="4">H15</f>
        <v>-0.42142869999999999</v>
      </c>
      <c r="J88" s="6">
        <f t="shared" si="4"/>
        <v>-0.38138290000000002</v>
      </c>
      <c r="K88" s="6">
        <f t="shared" si="4"/>
        <v>-0.3216987</v>
      </c>
      <c r="L88" s="6">
        <f t="shared" si="4"/>
        <v>-0.2812886</v>
      </c>
      <c r="M88" s="6">
        <f t="shared" si="4"/>
        <v>-2.1943089999999998E-2</v>
      </c>
      <c r="N88" s="6">
        <f t="shared" si="4"/>
        <v>-0.2373314</v>
      </c>
      <c r="O88" s="6">
        <f t="shared" si="4"/>
        <v>-0.21191409999999999</v>
      </c>
      <c r="P88" s="6">
        <f t="shared" si="4"/>
        <v>-0.19253780000000001</v>
      </c>
      <c r="Q88" s="6">
        <f t="shared" si="4"/>
        <v>5.1781649999999999E-2</v>
      </c>
      <c r="R88" s="6">
        <f t="shared" si="4"/>
        <v>-0.1521354</v>
      </c>
      <c r="S88" s="6">
        <f t="shared" si="4"/>
        <v>-0.1276727</v>
      </c>
      <c r="T88" s="6">
        <f t="shared" si="4"/>
        <v>2.908707E-3</v>
      </c>
      <c r="U88" s="6">
        <f t="shared" si="4"/>
        <v>-9.1948509999999997E-2</v>
      </c>
      <c r="V88" s="6">
        <f t="shared" si="4"/>
        <v>-7.0399279999999995E-2</v>
      </c>
      <c r="W88" s="6">
        <f t="shared" si="4"/>
        <v>-4.9691199999999998E-2</v>
      </c>
      <c r="X88" s="6">
        <f>G16</f>
        <v>-4.0797710000000001E-2</v>
      </c>
      <c r="Y88" s="6">
        <f t="shared" ref="Y88:AM88" si="5">H16</f>
        <v>-3.087664E-2</v>
      </c>
      <c r="Z88" s="6">
        <f t="shared" si="5"/>
        <v>-4.0908340000000001E-2</v>
      </c>
      <c r="AA88" s="6">
        <f t="shared" si="5"/>
        <v>-4.6482559999999999E-2</v>
      </c>
      <c r="AB88" s="6">
        <f t="shared" si="5"/>
        <v>-5.0799370000000003E-2</v>
      </c>
      <c r="AC88" s="6">
        <f t="shared" si="5"/>
        <v>-5.9001919999999999E-2</v>
      </c>
      <c r="AD88" s="6">
        <f t="shared" si="5"/>
        <v>-6.8644520000000001E-2</v>
      </c>
      <c r="AE88" s="6">
        <f t="shared" si="5"/>
        <v>-6.5363879999999999E-2</v>
      </c>
      <c r="AF88" s="6">
        <f t="shared" si="5"/>
        <v>-6.4653870000000002E-2</v>
      </c>
      <c r="AG88" s="6">
        <f t="shared" si="5"/>
        <v>-5.7995320000000003E-2</v>
      </c>
      <c r="AH88" s="6">
        <f t="shared" si="5"/>
        <v>-5.1644330000000002E-2</v>
      </c>
      <c r="AI88" s="6">
        <f t="shared" si="5"/>
        <v>-3.2287120000000002E-2</v>
      </c>
      <c r="AJ88" s="6">
        <f t="shared" si="5"/>
        <v>-1.417589E-2</v>
      </c>
      <c r="AK88" s="6">
        <f t="shared" si="5"/>
        <v>1.1454580000000001E-2</v>
      </c>
      <c r="AL88" s="6">
        <f t="shared" si="5"/>
        <v>5.3291320000000003E-2</v>
      </c>
      <c r="AM88" s="6">
        <f t="shared" si="5"/>
        <v>9.9853990000000004E-2</v>
      </c>
    </row>
    <row r="89" spans="7:39" x14ac:dyDescent="0.25">
      <c r="G89" s="5">
        <v>-2</v>
      </c>
      <c r="H89" s="6">
        <f>G18</f>
        <v>6.6844459999999994E-2</v>
      </c>
      <c r="I89" s="6">
        <f t="shared" ref="I89:W89" si="6">H18</f>
        <v>-0.33763500000000002</v>
      </c>
      <c r="J89" s="6">
        <f t="shared" si="6"/>
        <v>-0.32399030000000001</v>
      </c>
      <c r="K89" s="6">
        <f t="shared" si="6"/>
        <v>-0.28147319999999998</v>
      </c>
      <c r="L89" s="6">
        <f t="shared" si="6"/>
        <v>-0.2511582</v>
      </c>
      <c r="M89" s="6">
        <f t="shared" si="6"/>
        <v>-1.951218E-2</v>
      </c>
      <c r="N89" s="6">
        <f t="shared" si="6"/>
        <v>-0.2201514</v>
      </c>
      <c r="O89" s="6">
        <f t="shared" si="6"/>
        <v>-0.1938677</v>
      </c>
      <c r="P89" s="6">
        <f t="shared" si="6"/>
        <v>-0.17773059999999999</v>
      </c>
      <c r="Q89" s="6">
        <f t="shared" si="6"/>
        <v>5.247831E-2</v>
      </c>
      <c r="R89" s="6">
        <f t="shared" si="6"/>
        <v>-0.1406307</v>
      </c>
      <c r="S89" s="6">
        <f t="shared" si="6"/>
        <v>-0.12223580000000001</v>
      </c>
      <c r="T89" s="6">
        <f t="shared" si="6"/>
        <v>2.3746489999999999E-3</v>
      </c>
      <c r="U89" s="6">
        <f t="shared" si="6"/>
        <v>-8.9340210000000003E-2</v>
      </c>
      <c r="V89" s="6">
        <f t="shared" si="6"/>
        <v>-6.8383219999999995E-2</v>
      </c>
      <c r="W89" s="6">
        <f t="shared" si="6"/>
        <v>-4.68955E-2</v>
      </c>
      <c r="X89" s="6">
        <f>G19</f>
        <v>-3.7694449999999997E-2</v>
      </c>
      <c r="Y89" s="6">
        <f t="shared" ref="Y89:AM89" si="7">H19</f>
        <v>-2.2539139999999999E-2</v>
      </c>
      <c r="Z89" s="6">
        <f t="shared" si="7"/>
        <v>-4.5824530000000002E-2</v>
      </c>
      <c r="AA89" s="6">
        <f t="shared" si="7"/>
        <v>-5.2049159999999997E-2</v>
      </c>
      <c r="AB89" s="6">
        <f t="shared" si="7"/>
        <v>-5.606556E-2</v>
      </c>
      <c r="AC89" s="6">
        <f t="shared" si="7"/>
        <v>-6.5473080000000003E-2</v>
      </c>
      <c r="AD89" s="6">
        <f t="shared" si="7"/>
        <v>-7.9101560000000001E-2</v>
      </c>
      <c r="AE89" s="6">
        <f t="shared" si="7"/>
        <v>-7.8339099999999995E-2</v>
      </c>
      <c r="AF89" s="6">
        <f t="shared" si="7"/>
        <v>-7.9124929999999996E-2</v>
      </c>
      <c r="AG89" s="6">
        <f t="shared" si="7"/>
        <v>-7.4433330000000006E-2</v>
      </c>
      <c r="AH89" s="6">
        <f t="shared" si="7"/>
        <v>-7.0317270000000001E-2</v>
      </c>
      <c r="AI89" s="6">
        <f t="shared" si="7"/>
        <v>-5.513287E-2</v>
      </c>
      <c r="AJ89" s="6">
        <f t="shared" si="7"/>
        <v>-3.8258550000000002E-2</v>
      </c>
      <c r="AK89" s="6">
        <f t="shared" si="7"/>
        <v>-1.6095160000000001E-2</v>
      </c>
      <c r="AL89" s="6">
        <f t="shared" si="7"/>
        <v>2.28405E-2</v>
      </c>
      <c r="AM89" s="6">
        <f t="shared" si="7"/>
        <v>6.8106169999999994E-2</v>
      </c>
    </row>
    <row r="90" spans="7:39" x14ac:dyDescent="0.25">
      <c r="G90" s="5">
        <v>-1</v>
      </c>
      <c r="H90" s="6">
        <f>G21</f>
        <v>0.11533590000000001</v>
      </c>
      <c r="I90" s="6">
        <f t="shared" ref="I90:W90" si="8">H21</f>
        <v>-0.26012659999999999</v>
      </c>
      <c r="J90" s="6">
        <f t="shared" si="8"/>
        <v>-0.2675033</v>
      </c>
      <c r="K90" s="6">
        <f t="shared" si="8"/>
        <v>-0.2424412</v>
      </c>
      <c r="L90" s="6">
        <f t="shared" si="8"/>
        <v>-0.22068599999999999</v>
      </c>
      <c r="M90" s="6">
        <f t="shared" si="8"/>
        <v>-1.6908650000000001E-2</v>
      </c>
      <c r="N90" s="6">
        <f t="shared" si="8"/>
        <v>-0.2013807</v>
      </c>
      <c r="O90" s="6">
        <f t="shared" si="8"/>
        <v>-0.1779213</v>
      </c>
      <c r="P90" s="6">
        <f t="shared" si="8"/>
        <v>-0.1652904</v>
      </c>
      <c r="Q90" s="6">
        <f t="shared" si="8"/>
        <v>5.247831E-2</v>
      </c>
      <c r="R90" s="6">
        <f t="shared" si="8"/>
        <v>-0.1366262</v>
      </c>
      <c r="S90" s="6">
        <f t="shared" si="8"/>
        <v>-0.11146929999999999</v>
      </c>
      <c r="T90" s="6">
        <f t="shared" si="8"/>
        <v>2.7289390000000001E-3</v>
      </c>
      <c r="U90" s="6">
        <f t="shared" si="8"/>
        <v>-8.6732390000000006E-2</v>
      </c>
      <c r="V90" s="6">
        <f t="shared" si="8"/>
        <v>-6.6917420000000005E-2</v>
      </c>
      <c r="W90" s="6">
        <f t="shared" si="8"/>
        <v>-4.5151709999999998E-2</v>
      </c>
      <c r="X90" s="6">
        <f>G22</f>
        <v>-3.5685540000000002E-2</v>
      </c>
      <c r="Y90" s="6">
        <f t="shared" ref="Y90:AM90" si="9">H22</f>
        <v>-1.6600609999999998E-2</v>
      </c>
      <c r="Z90" s="6">
        <f t="shared" si="9"/>
        <v>-4.7645569999999998E-2</v>
      </c>
      <c r="AA90" s="6">
        <f t="shared" si="9"/>
        <v>-5.6395050000000002E-2</v>
      </c>
      <c r="AB90" s="6">
        <f t="shared" si="9"/>
        <v>-6.0969830000000003E-2</v>
      </c>
      <c r="AC90" s="6">
        <f t="shared" si="9"/>
        <v>-7.1043969999999998E-2</v>
      </c>
      <c r="AD90" s="6">
        <f t="shared" si="9"/>
        <v>-9.0084079999999997E-2</v>
      </c>
      <c r="AE90" s="6">
        <f t="shared" si="9"/>
        <v>-9.131765E-2</v>
      </c>
      <c r="AF90" s="6">
        <f t="shared" si="9"/>
        <v>-9.3999390000000002E-2</v>
      </c>
      <c r="AG90" s="6">
        <f t="shared" si="9"/>
        <v>-9.1425900000000004E-2</v>
      </c>
      <c r="AH90" s="6">
        <f t="shared" si="9"/>
        <v>-9.1156479999999998E-2</v>
      </c>
      <c r="AI90" s="6">
        <f t="shared" si="9"/>
        <v>-7.8516009999999997E-2</v>
      </c>
      <c r="AJ90" s="6">
        <f t="shared" si="9"/>
        <v>-6.4999100000000004E-2</v>
      </c>
      <c r="AK90" s="6">
        <f t="shared" si="9"/>
        <v>-4.6378139999999998E-2</v>
      </c>
      <c r="AL90" s="6">
        <f t="shared" si="9"/>
        <v>-1.293278E-2</v>
      </c>
      <c r="AM90" s="6">
        <f t="shared" si="9"/>
        <v>3.0625820000000002E-2</v>
      </c>
    </row>
    <row r="91" spans="7:39" x14ac:dyDescent="0.25">
      <c r="G91" s="5">
        <v>0</v>
      </c>
      <c r="H91" s="6">
        <f>G24</f>
        <v>0.14783859999999999</v>
      </c>
      <c r="I91" s="6">
        <f t="shared" ref="I91:W91" si="10">H24</f>
        <v>-0.18864539999999999</v>
      </c>
      <c r="J91" s="6">
        <f t="shared" si="10"/>
        <v>-0.21415709999999999</v>
      </c>
      <c r="K91" s="6">
        <f t="shared" si="10"/>
        <v>-0.20530129999999999</v>
      </c>
      <c r="L91" s="6">
        <f t="shared" si="10"/>
        <v>-0.19210340000000001</v>
      </c>
      <c r="M91" s="6">
        <f t="shared" si="10"/>
        <v>-1.430416E-2</v>
      </c>
      <c r="N91" s="6">
        <f t="shared" si="10"/>
        <v>-0.18369869999999999</v>
      </c>
      <c r="O91" s="6">
        <f t="shared" si="10"/>
        <v>-0.16284180000000001</v>
      </c>
      <c r="P91" s="6">
        <f t="shared" si="10"/>
        <v>-0.1530881</v>
      </c>
      <c r="Q91" s="6">
        <f t="shared" si="10"/>
        <v>5.2652360000000002E-2</v>
      </c>
      <c r="R91" s="6">
        <f t="shared" si="10"/>
        <v>-0.12825539999999999</v>
      </c>
      <c r="S91" s="6">
        <f t="shared" si="10"/>
        <v>-0.11146929999999999</v>
      </c>
      <c r="T91" s="6">
        <f t="shared" si="10"/>
        <v>3.2639499999999998E-3</v>
      </c>
      <c r="U91" s="6">
        <f t="shared" si="10"/>
        <v>-8.3776000000000003E-2</v>
      </c>
      <c r="V91" s="6">
        <f t="shared" si="10"/>
        <v>-6.4900399999999997E-2</v>
      </c>
      <c r="W91" s="6">
        <f t="shared" si="10"/>
        <v>-4.4424060000000001E-2</v>
      </c>
      <c r="X91" s="6">
        <f>G25</f>
        <v>-3.4407140000000003E-2</v>
      </c>
      <c r="Y91" s="6">
        <f t="shared" ref="Y91:AM91" si="11">H25</f>
        <v>-1.227522E-2</v>
      </c>
      <c r="Z91" s="6">
        <f t="shared" si="11"/>
        <v>-4.8920150000000003E-2</v>
      </c>
      <c r="AA91" s="6">
        <f t="shared" si="11"/>
        <v>-5.8830260000000002E-2</v>
      </c>
      <c r="AB91" s="6">
        <f t="shared" si="11"/>
        <v>-6.5872669999999994E-2</v>
      </c>
      <c r="AC91" s="6">
        <f t="shared" si="11"/>
        <v>-7.6795100000000005E-2</v>
      </c>
      <c r="AD91" s="6">
        <f t="shared" si="11"/>
        <v>-0.10019400000000001</v>
      </c>
      <c r="AE91" s="6">
        <f t="shared" si="11"/>
        <v>-0.1044755</v>
      </c>
      <c r="AF91" s="6">
        <f t="shared" si="11"/>
        <v>-0.1091342</v>
      </c>
      <c r="AG91" s="6">
        <f t="shared" si="11"/>
        <v>-0.10823199999999999</v>
      </c>
      <c r="AH91" s="6">
        <f t="shared" si="11"/>
        <v>-0.1110954</v>
      </c>
      <c r="AI91" s="6">
        <f t="shared" si="11"/>
        <v>-0.1033463</v>
      </c>
      <c r="AJ91" s="6">
        <f t="shared" si="11"/>
        <v>-9.2072490000000007E-2</v>
      </c>
      <c r="AK91" s="6">
        <f t="shared" si="11"/>
        <v>-7.8302380000000005E-2</v>
      </c>
      <c r="AL91" s="6">
        <f t="shared" si="11"/>
        <v>-5.1452159999999997E-2</v>
      </c>
      <c r="AM91" s="6">
        <f t="shared" si="11"/>
        <v>-1.474953E-2</v>
      </c>
    </row>
    <row r="92" spans="7:39" x14ac:dyDescent="0.25">
      <c r="G92" s="5">
        <v>1</v>
      </c>
      <c r="H92" s="6">
        <f>G27</f>
        <v>0.16524359999999999</v>
      </c>
      <c r="I92" s="6">
        <f t="shared" ref="I92:W92" si="12">H27</f>
        <v>-0.12549109999999999</v>
      </c>
      <c r="J92" s="6">
        <f t="shared" si="12"/>
        <v>-0.1652207</v>
      </c>
      <c r="K92" s="6">
        <f t="shared" si="12"/>
        <v>-0.17090459999999999</v>
      </c>
      <c r="L92" s="6">
        <f t="shared" si="12"/>
        <v>-0.1652412</v>
      </c>
      <c r="M92" s="6">
        <f t="shared" si="12"/>
        <v>-1.25556E-2</v>
      </c>
      <c r="N92" s="6">
        <f t="shared" si="12"/>
        <v>-0.16787530000000001</v>
      </c>
      <c r="O92" s="6">
        <f t="shared" si="12"/>
        <v>-0.15004010000000001</v>
      </c>
      <c r="P92" s="6">
        <f t="shared" si="12"/>
        <v>-0.1424627</v>
      </c>
      <c r="Q92" s="6">
        <f t="shared" si="12"/>
        <v>5.247831E-2</v>
      </c>
      <c r="R92" s="6">
        <f t="shared" si="12"/>
        <v>-0.12221</v>
      </c>
      <c r="S92" s="6">
        <f t="shared" si="12"/>
        <v>-0.1062555</v>
      </c>
      <c r="T92" s="6">
        <f t="shared" si="12"/>
        <v>3.4446720000000002E-3</v>
      </c>
      <c r="U92" s="6">
        <f t="shared" si="12"/>
        <v>-8.0993179999999998E-2</v>
      </c>
      <c r="V92" s="6">
        <f t="shared" si="12"/>
        <v>-6.4533709999999994E-2</v>
      </c>
      <c r="W92" s="6">
        <f t="shared" si="12"/>
        <v>-4.497147E-2</v>
      </c>
      <c r="X92" s="6">
        <f>G28</f>
        <v>-3.5321239999999997E-2</v>
      </c>
      <c r="Y92" s="6">
        <f t="shared" ref="Y92:AM92" si="13">H28</f>
        <v>-1.1374469999999999E-2</v>
      </c>
      <c r="Z92" s="6">
        <f t="shared" si="13"/>
        <v>-5.091619E-2</v>
      </c>
      <c r="AA92" s="6">
        <f t="shared" si="13"/>
        <v>-5.900478E-2</v>
      </c>
      <c r="AB92" s="6">
        <f t="shared" si="13"/>
        <v>-6.8778989999999998E-2</v>
      </c>
      <c r="AC92" s="6">
        <f t="shared" si="13"/>
        <v>-8.2007410000000003E-2</v>
      </c>
      <c r="AD92" s="6">
        <f t="shared" si="13"/>
        <v>-0.1109996</v>
      </c>
      <c r="AE92" s="6">
        <f t="shared" si="13"/>
        <v>-0.11745070000000001</v>
      </c>
      <c r="AF92" s="6">
        <f t="shared" si="13"/>
        <v>-0.1243238</v>
      </c>
      <c r="AG92" s="6">
        <f t="shared" si="13"/>
        <v>-0.12596180000000001</v>
      </c>
      <c r="AH92" s="6">
        <f t="shared" si="13"/>
        <v>-0.13176160000000001</v>
      </c>
      <c r="AI92" s="6">
        <f t="shared" si="13"/>
        <v>-0.1283484</v>
      </c>
      <c r="AJ92" s="6">
        <f t="shared" si="13"/>
        <v>-0.1201921</v>
      </c>
      <c r="AK92" s="6">
        <f t="shared" si="13"/>
        <v>-0.11150359999999999</v>
      </c>
      <c r="AL92" s="6">
        <f t="shared" si="13"/>
        <v>-9.3266489999999994E-2</v>
      </c>
      <c r="AM92" s="6">
        <f t="shared" si="13"/>
        <v>-6.4069269999999998E-2</v>
      </c>
    </row>
    <row r="93" spans="7:39" x14ac:dyDescent="0.25">
      <c r="G93" s="5">
        <v>2</v>
      </c>
      <c r="H93" s="6">
        <f>G30</f>
        <v>0.16861870000000001</v>
      </c>
      <c r="I93" s="6">
        <f t="shared" ref="I93:W93" si="14">H30</f>
        <v>-6.7023750000000007E-2</v>
      </c>
      <c r="J93" s="6">
        <f t="shared" si="14"/>
        <v>-0.1180282</v>
      </c>
      <c r="K93" s="6">
        <f t="shared" si="14"/>
        <v>-0.1365104</v>
      </c>
      <c r="L93" s="6">
        <f t="shared" si="14"/>
        <v>-0.1380334</v>
      </c>
      <c r="M93" s="6">
        <f t="shared" si="14"/>
        <v>-1.012468E-2</v>
      </c>
      <c r="N93" s="6">
        <f t="shared" si="14"/>
        <v>-0.14948610000000001</v>
      </c>
      <c r="O93" s="6">
        <f t="shared" si="14"/>
        <v>-0.13425870000000001</v>
      </c>
      <c r="P93" s="6">
        <f t="shared" si="14"/>
        <v>-0.1302605</v>
      </c>
      <c r="Q93" s="6">
        <f t="shared" si="14"/>
        <v>5.3349489999999999E-2</v>
      </c>
      <c r="R93" s="6">
        <f t="shared" si="14"/>
        <v>-0.1143618</v>
      </c>
      <c r="S93" s="6">
        <f t="shared" si="14"/>
        <v>-9.9651809999999993E-2</v>
      </c>
      <c r="T93" s="6">
        <f t="shared" si="14"/>
        <v>3.9792059999999999E-3</v>
      </c>
      <c r="U93" s="6">
        <f t="shared" si="14"/>
        <v>-7.6819419999999999E-2</v>
      </c>
      <c r="V93" s="6">
        <f t="shared" si="14"/>
        <v>-6.2150480000000001E-2</v>
      </c>
      <c r="W93" s="6">
        <f t="shared" si="14"/>
        <v>-4.4425489999999998E-2</v>
      </c>
      <c r="X93" s="6">
        <f>G31</f>
        <v>-3.5321239999999997E-2</v>
      </c>
      <c r="Y93" s="6">
        <f t="shared" ref="Y93:AM93" si="15">H31</f>
        <v>-1.1374469999999999E-2</v>
      </c>
      <c r="Z93" s="6">
        <f t="shared" si="15"/>
        <v>-5.037022E-2</v>
      </c>
      <c r="AA93" s="6">
        <f t="shared" si="15"/>
        <v>-6.0744289999999999E-2</v>
      </c>
      <c r="AB93" s="6">
        <f t="shared" si="15"/>
        <v>-6.7871089999999995E-2</v>
      </c>
      <c r="AC93" s="6">
        <f t="shared" si="15"/>
        <v>-8.5241789999999998E-2</v>
      </c>
      <c r="AD93" s="6">
        <f t="shared" si="15"/>
        <v>-0.1183205</v>
      </c>
      <c r="AE93" s="6">
        <f t="shared" si="15"/>
        <v>-0.127501</v>
      </c>
      <c r="AF93" s="6">
        <f t="shared" si="15"/>
        <v>-0.13621469999999999</v>
      </c>
      <c r="AG93" s="6">
        <f t="shared" si="15"/>
        <v>-0.13999700000000001</v>
      </c>
      <c r="AH93" s="6">
        <f t="shared" si="15"/>
        <v>-0.1495242</v>
      </c>
      <c r="AI93" s="6">
        <f t="shared" si="15"/>
        <v>-0.151001</v>
      </c>
      <c r="AJ93" s="6">
        <f t="shared" si="15"/>
        <v>-0.1456809</v>
      </c>
      <c r="AK93" s="6">
        <f t="shared" si="15"/>
        <v>-0.14360709999999999</v>
      </c>
      <c r="AL93" s="6">
        <f t="shared" si="15"/>
        <v>-0.13508029999999999</v>
      </c>
      <c r="AM93" s="6">
        <f t="shared" si="15"/>
        <v>-0.11624719999999999</v>
      </c>
    </row>
    <row r="94" spans="7:39" x14ac:dyDescent="0.25">
      <c r="G94" s="5">
        <v>3</v>
      </c>
      <c r="H94" s="6">
        <f>G33</f>
        <v>0.16417599999999999</v>
      </c>
      <c r="I94" s="6">
        <f t="shared" ref="I94:W94" si="16">H33</f>
        <v>-1.2077330000000001E-2</v>
      </c>
      <c r="J94" s="6">
        <f t="shared" si="16"/>
        <v>-7.1002480000000007E-2</v>
      </c>
      <c r="K94" s="6">
        <f t="shared" si="16"/>
        <v>-0.1002297</v>
      </c>
      <c r="L94" s="6">
        <f t="shared" si="16"/>
        <v>-0.1089287</v>
      </c>
      <c r="M94" s="6">
        <f t="shared" si="16"/>
        <v>-8.4013939999999995E-3</v>
      </c>
      <c r="N94" s="6">
        <f t="shared" si="16"/>
        <v>-0.1285896</v>
      </c>
      <c r="O94" s="6">
        <f t="shared" si="16"/>
        <v>-0.11812350000000001</v>
      </c>
      <c r="P94" s="6">
        <f t="shared" si="16"/>
        <v>-0.1156335</v>
      </c>
      <c r="Q94" s="6">
        <f t="shared" si="16"/>
        <v>5.3698059999999999E-2</v>
      </c>
      <c r="R94" s="6">
        <f t="shared" si="16"/>
        <v>-0.1046667</v>
      </c>
      <c r="S94" s="6">
        <f t="shared" si="16"/>
        <v>-9.1488360000000005E-2</v>
      </c>
      <c r="T94" s="6">
        <f t="shared" si="16"/>
        <v>4.690647E-3</v>
      </c>
      <c r="U94" s="6">
        <f t="shared" si="16"/>
        <v>-7.3514940000000001E-2</v>
      </c>
      <c r="V94" s="6">
        <f t="shared" si="16"/>
        <v>-5.8283330000000001E-2</v>
      </c>
      <c r="W94" s="6">
        <f t="shared" si="16"/>
        <v>-4.3153289999999997E-2</v>
      </c>
      <c r="X94" s="6">
        <f>G34</f>
        <v>-3.5690310000000003E-2</v>
      </c>
      <c r="Y94" s="6">
        <f t="shared" ref="Y94:AM94" si="17">H34</f>
        <v>-1.173592E-2</v>
      </c>
      <c r="Z94" s="6">
        <f t="shared" si="17"/>
        <v>-4.8373699999999999E-2</v>
      </c>
      <c r="AA94" s="6">
        <f t="shared" si="17"/>
        <v>-6.0570239999999997E-2</v>
      </c>
      <c r="AB94" s="6">
        <f t="shared" si="17"/>
        <v>-7.1139339999999995E-2</v>
      </c>
      <c r="AC94" s="6">
        <f t="shared" si="17"/>
        <v>-9.027433E-2</v>
      </c>
      <c r="AD94" s="6">
        <f t="shared" si="17"/>
        <v>-0.12598899999999999</v>
      </c>
      <c r="AE94" s="6">
        <f t="shared" si="17"/>
        <v>-0.13791990000000001</v>
      </c>
      <c r="AF94" s="6">
        <f t="shared" si="17"/>
        <v>-0.1483874</v>
      </c>
      <c r="AG94" s="6">
        <f t="shared" si="17"/>
        <v>-0.15477279999999999</v>
      </c>
      <c r="AH94" s="6">
        <f t="shared" si="17"/>
        <v>-0.1678357</v>
      </c>
      <c r="AI94" s="6">
        <f t="shared" si="17"/>
        <v>-0.17473269999999999</v>
      </c>
      <c r="AJ94" s="6">
        <f t="shared" si="17"/>
        <v>-0.1737638</v>
      </c>
      <c r="AK94" s="6">
        <f t="shared" si="17"/>
        <v>-0.17808579999999999</v>
      </c>
      <c r="AL94" s="6">
        <f t="shared" si="17"/>
        <v>-0.18110660000000001</v>
      </c>
      <c r="AM94" s="6">
        <f t="shared" si="17"/>
        <v>-0.17595669999999999</v>
      </c>
    </row>
    <row r="95" spans="7:39" x14ac:dyDescent="0.25">
      <c r="G95" s="5">
        <v>4</v>
      </c>
      <c r="H95" s="6">
        <f>G36</f>
        <v>0.14250760000000001</v>
      </c>
      <c r="I95" s="6">
        <f t="shared" ref="I95:W95" si="18">H36</f>
        <v>3.6414149999999999E-2</v>
      </c>
      <c r="J95" s="6">
        <f t="shared" si="18"/>
        <v>-2.695179E-2</v>
      </c>
      <c r="K95" s="6">
        <f t="shared" si="18"/>
        <v>-6.5148349999999994E-2</v>
      </c>
      <c r="L95" s="6">
        <f t="shared" si="18"/>
        <v>-7.9823489999999997E-2</v>
      </c>
      <c r="M95" s="6">
        <f t="shared" si="18"/>
        <v>-6.3171390000000003E-3</v>
      </c>
      <c r="N95" s="6">
        <f t="shared" si="18"/>
        <v>-0.1079073</v>
      </c>
      <c r="O95" s="6">
        <f t="shared" si="18"/>
        <v>-0.10058590000000001</v>
      </c>
      <c r="P95" s="6">
        <f t="shared" si="18"/>
        <v>-0.1013503</v>
      </c>
      <c r="Q95" s="6">
        <f t="shared" si="18"/>
        <v>5.3698059999999999E-2</v>
      </c>
      <c r="R95" s="6">
        <f t="shared" si="18"/>
        <v>-9.4555379999999994E-2</v>
      </c>
      <c r="S95" s="6">
        <f t="shared" si="18"/>
        <v>-8.4367280000000003E-2</v>
      </c>
      <c r="T95" s="6">
        <f t="shared" si="18"/>
        <v>4.3354029999999998E-3</v>
      </c>
      <c r="U95" s="6">
        <f t="shared" si="18"/>
        <v>-6.934071E-2</v>
      </c>
      <c r="V95" s="6">
        <f t="shared" si="18"/>
        <v>-5.6284899999999999E-2</v>
      </c>
      <c r="W95" s="6">
        <f t="shared" si="18"/>
        <v>-4.1880609999999999E-2</v>
      </c>
      <c r="X95" s="6">
        <f>G37</f>
        <v>-3.6050800000000001E-2</v>
      </c>
      <c r="Y95" s="6">
        <f t="shared" ref="Y95:AM95" si="19">H37</f>
        <v>-1.2815480000000001E-2</v>
      </c>
      <c r="Z95" s="6">
        <f t="shared" si="19"/>
        <v>-4.7098639999999997E-2</v>
      </c>
      <c r="AA95" s="6">
        <f t="shared" si="19"/>
        <v>-6.0917850000000003E-2</v>
      </c>
      <c r="AB95" s="6">
        <f t="shared" si="19"/>
        <v>-7.2592260000000006E-2</v>
      </c>
      <c r="AC95" s="6">
        <f t="shared" si="19"/>
        <v>-9.4408039999999999E-2</v>
      </c>
      <c r="AD95" s="6">
        <f t="shared" si="19"/>
        <v>-0.13383149999999999</v>
      </c>
      <c r="AE95" s="6">
        <f t="shared" si="19"/>
        <v>-0.14868780000000001</v>
      </c>
      <c r="AF95" s="6">
        <f t="shared" si="19"/>
        <v>-0.16099450000000001</v>
      </c>
      <c r="AG95" s="6">
        <f t="shared" si="19"/>
        <v>-0.1702776</v>
      </c>
      <c r="AH95" s="6">
        <f t="shared" si="19"/>
        <v>-0.18668789999999999</v>
      </c>
      <c r="AI95" s="6">
        <f t="shared" si="19"/>
        <v>-0.19940330000000001</v>
      </c>
      <c r="AJ95" s="6">
        <f t="shared" si="19"/>
        <v>-0.20243549999999999</v>
      </c>
      <c r="AK95" s="6">
        <f t="shared" si="19"/>
        <v>-0.21474699999999999</v>
      </c>
      <c r="AL95" s="6">
        <f t="shared" si="19"/>
        <v>-0.2311687</v>
      </c>
      <c r="AM95" s="6">
        <f t="shared" si="19"/>
        <v>-0.24281220000000001</v>
      </c>
    </row>
    <row r="96" spans="7:39" x14ac:dyDescent="0.25">
      <c r="G96" s="5">
        <v>5</v>
      </c>
      <c r="H96" s="6">
        <f>G39</f>
        <v>0.1057434</v>
      </c>
      <c r="I96" s="6">
        <f t="shared" ref="I96:W96" si="20">H39</f>
        <v>7.6403620000000005E-2</v>
      </c>
      <c r="J96" s="6">
        <f t="shared" si="20"/>
        <v>1.232815E-2</v>
      </c>
      <c r="K96" s="6">
        <f t="shared" si="20"/>
        <v>-3.2295699999999997E-2</v>
      </c>
      <c r="L96" s="6">
        <f t="shared" si="20"/>
        <v>-5.1232809999999997E-2</v>
      </c>
      <c r="M96" s="6">
        <f t="shared" si="20"/>
        <v>-4.0597919999999996E-3</v>
      </c>
      <c r="N96" s="6">
        <f t="shared" si="20"/>
        <v>-8.6863040000000002E-2</v>
      </c>
      <c r="O96" s="6">
        <f t="shared" si="20"/>
        <v>-8.3049769999999995E-2</v>
      </c>
      <c r="P96" s="6">
        <f t="shared" si="20"/>
        <v>-8.5834499999999994E-2</v>
      </c>
      <c r="Q96" s="6">
        <f t="shared" si="20"/>
        <v>5.422068E-2</v>
      </c>
      <c r="R96" s="6">
        <f t="shared" si="20"/>
        <v>-8.3741189999999993E-2</v>
      </c>
      <c r="S96" s="6">
        <f t="shared" si="20"/>
        <v>-7.5677389999999997E-2</v>
      </c>
      <c r="T96" s="6">
        <f t="shared" si="20"/>
        <v>4.3354029999999998E-3</v>
      </c>
      <c r="U96" s="6">
        <f t="shared" si="20"/>
        <v>-6.3428399999999996E-2</v>
      </c>
      <c r="V96" s="6">
        <f t="shared" si="20"/>
        <v>-5.353451E-2</v>
      </c>
      <c r="W96" s="6">
        <f t="shared" si="20"/>
        <v>-4.1335110000000001E-2</v>
      </c>
      <c r="X96" s="6">
        <f>G40</f>
        <v>-3.5686019999999999E-2</v>
      </c>
      <c r="Y96" s="6">
        <f t="shared" ref="Y96:AM96" si="21">H40</f>
        <v>-1.3716219999999999E-2</v>
      </c>
      <c r="Z96" s="6">
        <f t="shared" si="21"/>
        <v>-4.4549940000000003E-2</v>
      </c>
      <c r="AA96" s="6">
        <f t="shared" si="21"/>
        <v>-5.9178830000000002E-2</v>
      </c>
      <c r="AB96" s="6">
        <f t="shared" si="21"/>
        <v>-7.2773930000000001E-2</v>
      </c>
      <c r="AC96" s="6">
        <f t="shared" si="21"/>
        <v>-9.548616E-2</v>
      </c>
      <c r="AD96" s="6">
        <f t="shared" si="21"/>
        <v>-0.141675</v>
      </c>
      <c r="AE96" s="6">
        <f t="shared" si="21"/>
        <v>-0.15818879999999999</v>
      </c>
      <c r="AF96" s="6">
        <f t="shared" si="21"/>
        <v>-0.1723442</v>
      </c>
      <c r="AG96" s="6">
        <f t="shared" si="21"/>
        <v>-0.18357280000000001</v>
      </c>
      <c r="AH96" s="6">
        <f t="shared" si="21"/>
        <v>-0.20336199999999999</v>
      </c>
      <c r="AI96" s="6">
        <f t="shared" si="21"/>
        <v>-0.22241639999999999</v>
      </c>
      <c r="AJ96" s="6">
        <f t="shared" si="21"/>
        <v>-0.22967770000000001</v>
      </c>
      <c r="AK96" s="6">
        <f t="shared" si="21"/>
        <v>-0.25012780000000001</v>
      </c>
      <c r="AL96" s="6">
        <f t="shared" si="21"/>
        <v>-0.2814064</v>
      </c>
      <c r="AM96" s="6">
        <f t="shared" si="21"/>
        <v>-0.3110967</v>
      </c>
    </row>
    <row r="97" spans="7:39" x14ac:dyDescent="0.25">
      <c r="G97" s="5">
        <v>6</v>
      </c>
      <c r="H97" s="6">
        <f>G42</f>
        <v>5.1221370000000002E-2</v>
      </c>
      <c r="I97" s="6">
        <f t="shared" ref="I97:W97" si="22">H42</f>
        <v>0.1090207</v>
      </c>
      <c r="J97" s="6">
        <f t="shared" si="22"/>
        <v>4.7569269999999997E-2</v>
      </c>
      <c r="K97" s="6">
        <f t="shared" si="22"/>
        <v>-2.0136830000000001E-3</v>
      </c>
      <c r="L97" s="6">
        <f t="shared" si="22"/>
        <v>-2.5914670000000001E-2</v>
      </c>
      <c r="M97" s="6">
        <f t="shared" si="22"/>
        <v>-2.8448100000000001E-3</v>
      </c>
      <c r="N97" s="6">
        <f t="shared" si="22"/>
        <v>-6.7910670000000006E-2</v>
      </c>
      <c r="O97" s="6">
        <f t="shared" si="22"/>
        <v>-6.7264560000000001E-2</v>
      </c>
      <c r="P97" s="6">
        <f t="shared" si="22"/>
        <v>-7.1387290000000006E-2</v>
      </c>
      <c r="Q97" s="6">
        <f t="shared" si="22"/>
        <v>5.4394249999999998E-2</v>
      </c>
      <c r="R97" s="6">
        <f t="shared" si="22"/>
        <v>-7.4506279999999994E-2</v>
      </c>
      <c r="S97" s="6">
        <f t="shared" si="22"/>
        <v>-6.8329810000000005E-2</v>
      </c>
      <c r="T97" s="6">
        <f t="shared" si="22"/>
        <v>4.6916010000000001E-3</v>
      </c>
      <c r="U97" s="6">
        <f t="shared" si="22"/>
        <v>-5.890608E-2</v>
      </c>
      <c r="V97" s="6">
        <f t="shared" si="22"/>
        <v>-4.9685E-2</v>
      </c>
      <c r="W97" s="6">
        <f t="shared" si="22"/>
        <v>-4.0245530000000002E-2</v>
      </c>
      <c r="X97" s="6">
        <f>G43</f>
        <v>-3.6781309999999998E-2</v>
      </c>
      <c r="Y97" s="6">
        <f t="shared" ref="Y97:AM97" si="23">H43</f>
        <v>-1.7730240000000001E-2</v>
      </c>
      <c r="Z97" s="6">
        <f t="shared" si="23"/>
        <v>-4.3644910000000002E-2</v>
      </c>
      <c r="AA97" s="6">
        <f t="shared" si="23"/>
        <v>-5.9003350000000003E-2</v>
      </c>
      <c r="AB97" s="6">
        <f t="shared" si="23"/>
        <v>-7.4594969999999997E-2</v>
      </c>
      <c r="AC97" s="6">
        <f t="shared" si="23"/>
        <v>-9.854889E-2</v>
      </c>
      <c r="AD97" s="6">
        <f t="shared" si="23"/>
        <v>-0.1509113</v>
      </c>
      <c r="AE97" s="6">
        <f t="shared" si="23"/>
        <v>-0.1698856</v>
      </c>
      <c r="AF97" s="6">
        <f t="shared" si="23"/>
        <v>-0.18824389999999999</v>
      </c>
      <c r="AG97" s="6">
        <f t="shared" si="23"/>
        <v>-0.20148559999999999</v>
      </c>
      <c r="AH97" s="6">
        <f t="shared" si="23"/>
        <v>-0.2243733</v>
      </c>
      <c r="AI97" s="6">
        <f t="shared" si="23"/>
        <v>-0.24976870000000001</v>
      </c>
      <c r="AJ97" s="6">
        <f t="shared" si="23"/>
        <v>-0.26200289999999998</v>
      </c>
      <c r="AK97" s="6">
        <f t="shared" si="23"/>
        <v>-0.29114250000000003</v>
      </c>
      <c r="AL97" s="6">
        <f t="shared" si="23"/>
        <v>-0.33877279999999999</v>
      </c>
      <c r="AM97" s="6">
        <f t="shared" si="23"/>
        <v>-0.3899436</v>
      </c>
    </row>
    <row r="98" spans="7:39" x14ac:dyDescent="0.25">
      <c r="G98" s="5">
        <v>7</v>
      </c>
      <c r="H98" s="6">
        <f>G45</f>
        <v>-2.1219249999999999E-2</v>
      </c>
      <c r="I98" s="6">
        <f t="shared" ref="I98:W98" si="24">H45</f>
        <v>0.13294790000000001</v>
      </c>
      <c r="J98" s="6">
        <f t="shared" si="24"/>
        <v>7.7330109999999994E-2</v>
      </c>
      <c r="K98" s="6">
        <f t="shared" si="24"/>
        <v>2.602053E-2</v>
      </c>
      <c r="L98" s="6">
        <f t="shared" si="24"/>
        <v>-1.283646E-3</v>
      </c>
      <c r="M98" s="6">
        <f t="shared" si="24"/>
        <v>-1.618385E-3</v>
      </c>
      <c r="N98" s="6">
        <f t="shared" si="24"/>
        <v>-4.7403340000000002E-2</v>
      </c>
      <c r="O98" s="6">
        <f t="shared" si="24"/>
        <v>-4.9557690000000001E-2</v>
      </c>
      <c r="P98" s="6">
        <f t="shared" si="24"/>
        <v>-5.6142810000000001E-2</v>
      </c>
      <c r="Q98" s="6">
        <f t="shared" si="24"/>
        <v>5.5091380000000002E-2</v>
      </c>
      <c r="R98" s="6">
        <f t="shared" si="24"/>
        <v>-6.3405989999999995E-2</v>
      </c>
      <c r="S98" s="6">
        <f t="shared" si="24"/>
        <v>-5.8775420000000002E-2</v>
      </c>
      <c r="T98" s="6">
        <f t="shared" si="24"/>
        <v>2.908707E-3</v>
      </c>
      <c r="U98" s="6">
        <f t="shared" si="24"/>
        <v>-5.2644730000000001E-2</v>
      </c>
      <c r="V98" s="6">
        <f t="shared" si="24"/>
        <v>-4.471779E-2</v>
      </c>
      <c r="W98" s="6">
        <f t="shared" si="24"/>
        <v>-3.8175109999999998E-2</v>
      </c>
      <c r="X98" s="6">
        <f>G46</f>
        <v>-3.623295E-2</v>
      </c>
      <c r="Y98" s="6">
        <f t="shared" ref="Y98:AM98" si="25">H46</f>
        <v>-2.0563600000000001E-2</v>
      </c>
      <c r="Z98" s="6">
        <f t="shared" si="25"/>
        <v>-4.3275359999999999E-2</v>
      </c>
      <c r="AA98" s="6">
        <f t="shared" si="25"/>
        <v>-5.8657649999999999E-2</v>
      </c>
      <c r="AB98" s="6">
        <f t="shared" si="25"/>
        <v>-7.5321200000000005E-2</v>
      </c>
      <c r="AC98" s="6">
        <f t="shared" si="25"/>
        <v>-9.9447729999999998E-2</v>
      </c>
      <c r="AD98" s="6">
        <f t="shared" si="25"/>
        <v>-0.15857270000000001</v>
      </c>
      <c r="AE98" s="6">
        <f t="shared" si="25"/>
        <v>-0.18232680000000001</v>
      </c>
      <c r="AF98" s="6">
        <f t="shared" si="25"/>
        <v>-0.19904520000000001</v>
      </c>
      <c r="AG98" s="6">
        <f t="shared" si="25"/>
        <v>-0.21219679999999999</v>
      </c>
      <c r="AH98" s="6">
        <f t="shared" si="25"/>
        <v>-0.24449209999999999</v>
      </c>
      <c r="AI98" s="6">
        <f t="shared" si="25"/>
        <v>-0.27459480000000003</v>
      </c>
      <c r="AJ98" s="6">
        <f t="shared" si="25"/>
        <v>-0.29224679999999997</v>
      </c>
      <c r="AK98" s="6">
        <f t="shared" si="25"/>
        <v>-0.32998509999999998</v>
      </c>
      <c r="AL98" s="6">
        <f t="shared" si="25"/>
        <v>-0.39247369999999998</v>
      </c>
      <c r="AM98" s="6">
        <f t="shared" si="25"/>
        <v>-0.46770669999999998</v>
      </c>
    </row>
    <row r="99" spans="7:39" x14ac:dyDescent="0.25">
      <c r="G99" s="5">
        <v>8</v>
      </c>
      <c r="H99" s="6">
        <f>G48</f>
        <v>-0.10803409999999999</v>
      </c>
      <c r="I99" s="6">
        <f t="shared" ref="I99:W99" si="26">H48</f>
        <v>0.14757200000000001</v>
      </c>
      <c r="J99" s="6">
        <f t="shared" si="26"/>
        <v>0.101995</v>
      </c>
      <c r="K99" s="6">
        <f t="shared" si="26"/>
        <v>5.0277229999999999E-2</v>
      </c>
      <c r="L99" s="6">
        <f t="shared" si="26"/>
        <v>2.1626469999999998E-2</v>
      </c>
      <c r="M99" s="6">
        <f t="shared" si="26"/>
        <v>-2.293587E-4</v>
      </c>
      <c r="N99" s="6">
        <f t="shared" si="26"/>
        <v>-2.8655529999999999E-2</v>
      </c>
      <c r="O99" s="6">
        <f t="shared" si="26"/>
        <v>-3.3597469999999997E-2</v>
      </c>
      <c r="P99" s="6">
        <f t="shared" si="26"/>
        <v>-4.2368889999999999E-2</v>
      </c>
      <c r="Q99" s="6">
        <f t="shared" si="26"/>
        <v>5.4742810000000003E-2</v>
      </c>
      <c r="R99" s="6">
        <f t="shared" si="26"/>
        <v>-5.3463459999999997E-2</v>
      </c>
      <c r="S99" s="6">
        <f t="shared" si="26"/>
        <v>-5.0259110000000003E-2</v>
      </c>
      <c r="T99" s="6">
        <f t="shared" si="26"/>
        <v>2.0170209999999999E-3</v>
      </c>
      <c r="U99" s="6">
        <f t="shared" si="26"/>
        <v>-4.6731950000000001E-2</v>
      </c>
      <c r="V99" s="6">
        <f t="shared" si="26"/>
        <v>-3.976727E-2</v>
      </c>
      <c r="W99" s="6">
        <f t="shared" si="26"/>
        <v>-3.344631E-2</v>
      </c>
      <c r="X99" s="6">
        <f>G49</f>
        <v>-3.3129220000000001E-2</v>
      </c>
      <c r="Y99" s="6">
        <f t="shared" ref="Y99:AM99" si="27">H49</f>
        <v>-2.3627280000000001E-2</v>
      </c>
      <c r="Z99" s="6">
        <f t="shared" si="27"/>
        <v>-4.4549940000000003E-2</v>
      </c>
      <c r="AA99" s="6">
        <f t="shared" si="27"/>
        <v>-5.9527400000000001E-2</v>
      </c>
      <c r="AB99" s="6">
        <f t="shared" si="27"/>
        <v>-7.6592919999999995E-2</v>
      </c>
      <c r="AC99" s="6">
        <f t="shared" si="27"/>
        <v>-0.10142420000000001</v>
      </c>
      <c r="AD99" s="6">
        <f t="shared" si="27"/>
        <v>-0.16519590000000001</v>
      </c>
      <c r="AE99" s="6">
        <f t="shared" si="27"/>
        <v>-0.19219349999999999</v>
      </c>
      <c r="AF99" s="6">
        <f t="shared" si="27"/>
        <v>-0.21291589999999999</v>
      </c>
      <c r="AG99" s="6">
        <f t="shared" si="27"/>
        <v>-0.23269219999999999</v>
      </c>
      <c r="AH99" s="6">
        <f t="shared" si="27"/>
        <v>-0.26551340000000001</v>
      </c>
      <c r="AI99" s="6">
        <f t="shared" si="27"/>
        <v>-0.29198839999999998</v>
      </c>
      <c r="AJ99" s="6">
        <f t="shared" si="27"/>
        <v>-0.3273916</v>
      </c>
      <c r="AK99" s="6">
        <f t="shared" si="27"/>
        <v>-0.37593270000000001</v>
      </c>
      <c r="AL99" s="6">
        <f t="shared" si="27"/>
        <v>-0.44709349999999998</v>
      </c>
      <c r="AM99" s="6">
        <f t="shared" si="27"/>
        <v>-0.54258870000000003</v>
      </c>
    </row>
    <row r="100" spans="7:39" x14ac:dyDescent="0.25">
      <c r="G100" s="5">
        <v>9</v>
      </c>
      <c r="H100" s="6">
        <f>G51</f>
        <v>-0.19643550000000001</v>
      </c>
      <c r="I100" s="6">
        <f t="shared" ref="I100:W100" si="28">H51</f>
        <v>0.1539884</v>
      </c>
      <c r="J100" s="6">
        <f t="shared" si="28"/>
        <v>0.1191072</v>
      </c>
      <c r="K100" s="6">
        <f t="shared" si="28"/>
        <v>6.9749829999999999E-2</v>
      </c>
      <c r="L100" s="6">
        <f t="shared" si="28"/>
        <v>3.954506E-2</v>
      </c>
      <c r="M100" s="6">
        <f t="shared" si="28"/>
        <v>1.150131E-3</v>
      </c>
      <c r="N100" s="6">
        <f t="shared" si="28"/>
        <v>-1.424837E-2</v>
      </c>
      <c r="O100" s="6">
        <f t="shared" si="28"/>
        <v>-2.1318440000000001E-2</v>
      </c>
      <c r="P100" s="6">
        <f t="shared" si="28"/>
        <v>-3.070927E-2</v>
      </c>
      <c r="Q100" s="6">
        <f t="shared" si="28"/>
        <v>5.5459019999999998E-2</v>
      </c>
      <c r="R100" s="6">
        <f t="shared" si="28"/>
        <v>-4.5218939999999999E-2</v>
      </c>
      <c r="S100" s="6">
        <f t="shared" si="28"/>
        <v>-4.5344830000000003E-2</v>
      </c>
      <c r="T100" s="6">
        <f t="shared" si="28"/>
        <v>1.125336E-3</v>
      </c>
      <c r="U100" s="6">
        <f t="shared" si="28"/>
        <v>-4.3601040000000001E-2</v>
      </c>
      <c r="V100" s="6">
        <f t="shared" si="28"/>
        <v>-3.7568570000000003E-2</v>
      </c>
      <c r="W100" s="6">
        <f t="shared" si="28"/>
        <v>-3.1088350000000001E-2</v>
      </c>
      <c r="X100" s="6">
        <f>G52</f>
        <v>-2.8747559999999998E-2</v>
      </c>
      <c r="Y100" s="6">
        <f t="shared" ref="Y100:AM100" si="29">H52</f>
        <v>-2.5245190000000001E-2</v>
      </c>
      <c r="Z100" s="6">
        <f t="shared" si="29"/>
        <v>-4.2001249999999997E-2</v>
      </c>
      <c r="AA100" s="6">
        <f t="shared" si="29"/>
        <v>-5.6742670000000002E-2</v>
      </c>
      <c r="AB100" s="6">
        <f t="shared" si="29"/>
        <v>-7.6047900000000002E-2</v>
      </c>
      <c r="AC100" s="6">
        <f t="shared" si="29"/>
        <v>-0.10141749999999999</v>
      </c>
      <c r="AD100" s="6">
        <f t="shared" si="29"/>
        <v>-0.17043069999999999</v>
      </c>
      <c r="AE100" s="6">
        <f t="shared" si="29"/>
        <v>-0.20023579999999999</v>
      </c>
      <c r="AF100" s="6">
        <f t="shared" si="29"/>
        <v>-0.22298999999999999</v>
      </c>
      <c r="AG100" s="6">
        <f t="shared" si="29"/>
        <v>-0.24543519999999999</v>
      </c>
      <c r="AH100" s="6">
        <f t="shared" si="29"/>
        <v>-0.2831168</v>
      </c>
      <c r="AI100" s="6">
        <f t="shared" si="29"/>
        <v>-0.32259510000000002</v>
      </c>
      <c r="AJ100" s="6">
        <f t="shared" si="29"/>
        <v>-0.33054349999999999</v>
      </c>
      <c r="AK100" s="6">
        <f t="shared" si="29"/>
        <v>-0.448689</v>
      </c>
      <c r="AL100" s="6">
        <f t="shared" si="29"/>
        <v>-0.50028039999999996</v>
      </c>
      <c r="AM100" s="6">
        <f t="shared" si="29"/>
        <v>-0.61690279999999997</v>
      </c>
    </row>
    <row r="101" spans="7:39" x14ac:dyDescent="0.25">
      <c r="G101" s="5">
        <v>10</v>
      </c>
      <c r="H101" s="6">
        <f>G54</f>
        <v>-0.2910295</v>
      </c>
      <c r="I101" s="6">
        <f t="shared" ref="I101:W101" si="30">H54</f>
        <v>0.15415719999999999</v>
      </c>
      <c r="J101" s="6">
        <f t="shared" si="30"/>
        <v>0.13231129999999999</v>
      </c>
      <c r="K101" s="6">
        <f t="shared" si="30"/>
        <v>8.5399149999999993E-2</v>
      </c>
      <c r="L101" s="6">
        <f t="shared" si="30"/>
        <v>5.4875849999999997E-2</v>
      </c>
      <c r="M101" s="6">
        <f t="shared" si="30"/>
        <v>2.0146370000000001E-3</v>
      </c>
      <c r="N101" s="6">
        <f t="shared" si="30"/>
        <v>-5.1069259999999997E-4</v>
      </c>
      <c r="O101" s="6">
        <f t="shared" si="30"/>
        <v>-9.7475050000000001E-3</v>
      </c>
      <c r="P101" s="6">
        <f t="shared" si="30"/>
        <v>-2.1134380000000001E-2</v>
      </c>
      <c r="Q101" s="6">
        <f t="shared" si="30"/>
        <v>5.5459019999999998E-2</v>
      </c>
      <c r="R101" s="6">
        <f t="shared" si="30"/>
        <v>-3.807402E-2</v>
      </c>
      <c r="S101" s="6">
        <f t="shared" si="30"/>
        <v>-3.949594E-2</v>
      </c>
      <c r="T101" s="6">
        <f t="shared" si="30"/>
        <v>2.3460390000000001E-4</v>
      </c>
      <c r="U101" s="6">
        <f t="shared" si="30"/>
        <v>-4.099274E-2</v>
      </c>
      <c r="V101" s="6">
        <f t="shared" si="30"/>
        <v>-3.5735129999999997E-2</v>
      </c>
      <c r="W101" s="6">
        <f t="shared" si="30"/>
        <v>-3.1161310000000001E-2</v>
      </c>
      <c r="X101" s="6">
        <f>G55</f>
        <v>-3.0943390000000001E-2</v>
      </c>
      <c r="Y101" s="6">
        <f t="shared" ref="Y101:AM101" si="31">H55</f>
        <v>-2.7947429999999999E-2</v>
      </c>
      <c r="Z101" s="6">
        <f t="shared" si="31"/>
        <v>-4.1273120000000003E-2</v>
      </c>
      <c r="AA101" s="6">
        <f t="shared" si="31"/>
        <v>-5.4828639999999998E-2</v>
      </c>
      <c r="AB101" s="6">
        <f t="shared" si="31"/>
        <v>-7.4595449999999994E-2</v>
      </c>
      <c r="AC101" s="6">
        <f t="shared" si="31"/>
        <v>-9.9980349999999996E-2</v>
      </c>
      <c r="AD101" s="6">
        <f t="shared" si="31"/>
        <v>-0.17426920000000001</v>
      </c>
      <c r="AE101" s="6">
        <f t="shared" si="31"/>
        <v>-0.20698259999999999</v>
      </c>
      <c r="AF101" s="6">
        <f t="shared" si="31"/>
        <v>-0.23162749999999999</v>
      </c>
      <c r="AG101" s="6">
        <f t="shared" si="31"/>
        <v>-0.2567005</v>
      </c>
      <c r="AH101" s="6">
        <f t="shared" si="31"/>
        <v>-0.29798170000000002</v>
      </c>
      <c r="AI101" s="6">
        <f t="shared" si="31"/>
        <v>-0.34669879999999997</v>
      </c>
      <c r="AJ101" s="6">
        <f t="shared" si="31"/>
        <v>-0.37290190000000001</v>
      </c>
      <c r="AK101" s="6">
        <f t="shared" si="31"/>
        <v>-0.40895130000000002</v>
      </c>
      <c r="AL101" s="6">
        <f t="shared" si="31"/>
        <v>-0.56662319999999999</v>
      </c>
      <c r="AM101" s="6">
        <f t="shared" si="31"/>
        <v>-0.68873019999999996</v>
      </c>
    </row>
    <row r="102" spans="7:39" x14ac:dyDescent="0.25">
      <c r="G102" s="5">
        <v>11</v>
      </c>
      <c r="H102" s="6">
        <f>G57</f>
        <v>-0.39749669999999998</v>
      </c>
      <c r="I102" s="6">
        <f t="shared" ref="I102:W102" si="32">H57</f>
        <v>0.15116209999999999</v>
      </c>
      <c r="J102" s="6">
        <f t="shared" si="32"/>
        <v>0.14129729999999999</v>
      </c>
      <c r="K102" s="6">
        <f t="shared" si="32"/>
        <v>9.9680420000000006E-2</v>
      </c>
      <c r="L102" s="6">
        <f t="shared" si="32"/>
        <v>6.9174769999999997E-2</v>
      </c>
      <c r="M102" s="6">
        <f t="shared" si="32"/>
        <v>2.8824810000000001E-3</v>
      </c>
      <c r="N102" s="6">
        <f t="shared" si="32"/>
        <v>1.2225150000000001E-2</v>
      </c>
      <c r="O102" s="6">
        <f t="shared" si="32"/>
        <v>1.653671E-3</v>
      </c>
      <c r="P102" s="6">
        <f t="shared" si="32"/>
        <v>-1.0499E-2</v>
      </c>
      <c r="Q102" s="6">
        <f t="shared" si="32"/>
        <v>5.52845E-2</v>
      </c>
      <c r="R102" s="6">
        <f t="shared" si="32"/>
        <v>-3.109694E-2</v>
      </c>
      <c r="S102" s="6">
        <f t="shared" si="32"/>
        <v>-3.3760070000000003E-2</v>
      </c>
      <c r="T102" s="6">
        <f t="shared" si="32"/>
        <v>-2.083302E-3</v>
      </c>
      <c r="U102" s="6">
        <f t="shared" si="32"/>
        <v>-3.8209920000000001E-2</v>
      </c>
      <c r="V102" s="6">
        <f t="shared" si="32"/>
        <v>-3.4635069999999997E-2</v>
      </c>
      <c r="W102" s="6">
        <f t="shared" si="32"/>
        <v>-3.1706810000000002E-2</v>
      </c>
      <c r="X102" s="6">
        <f>G58</f>
        <v>-3.3134459999999998E-2</v>
      </c>
      <c r="Y102" s="6">
        <f t="shared" ref="Y102:AM102" si="33">H58</f>
        <v>-3.0469889999999999E-2</v>
      </c>
      <c r="Z102" s="6">
        <f t="shared" si="33"/>
        <v>-4.0180680000000003E-2</v>
      </c>
      <c r="AA102" s="6">
        <f t="shared" si="33"/>
        <v>-5.2741530000000002E-2</v>
      </c>
      <c r="AB102" s="6">
        <f t="shared" si="33"/>
        <v>-7.2416309999999998E-2</v>
      </c>
      <c r="AC102" s="6">
        <f t="shared" si="33"/>
        <v>-9.8542210000000005E-2</v>
      </c>
      <c r="AD102" s="6">
        <f t="shared" si="33"/>
        <v>-0.17723230000000001</v>
      </c>
      <c r="AE102" s="6">
        <f t="shared" si="33"/>
        <v>-0.21282960000000001</v>
      </c>
      <c r="AF102" s="6">
        <f t="shared" si="33"/>
        <v>-0.23901320000000001</v>
      </c>
      <c r="AG102" s="6">
        <f t="shared" si="33"/>
        <v>-0.26685569999999997</v>
      </c>
      <c r="AH102" s="6">
        <f t="shared" si="33"/>
        <v>-0.3113918</v>
      </c>
      <c r="AI102" s="6">
        <f t="shared" si="33"/>
        <v>-0.3669887</v>
      </c>
      <c r="AJ102" s="6">
        <f t="shared" si="33"/>
        <v>-0.39820240000000001</v>
      </c>
      <c r="AK102" s="6">
        <f t="shared" si="33"/>
        <v>-0.44030950000000002</v>
      </c>
      <c r="AL102" s="6">
        <f t="shared" si="33"/>
        <v>-0.63992210000000005</v>
      </c>
      <c r="AM102" s="6">
        <f t="shared" si="33"/>
        <v>-0.75784830000000003</v>
      </c>
    </row>
    <row r="103" spans="7:39" x14ac:dyDescent="0.25">
      <c r="G103" s="5">
        <v>12</v>
      </c>
      <c r="H103" s="6">
        <f>G60</f>
        <v>-0.51015330000000003</v>
      </c>
      <c r="I103" s="6">
        <f t="shared" ref="I103:W103" si="34">H60</f>
        <v>0.14341209999999999</v>
      </c>
      <c r="J103" s="6">
        <f t="shared" si="34"/>
        <v>0.1467571</v>
      </c>
      <c r="K103" s="6">
        <f t="shared" si="34"/>
        <v>0.111702</v>
      </c>
      <c r="L103" s="6">
        <f t="shared" si="34"/>
        <v>8.1923010000000004E-2</v>
      </c>
      <c r="M103" s="6">
        <f t="shared" si="34"/>
        <v>3.7655829999999999E-3</v>
      </c>
      <c r="N103" s="6">
        <f t="shared" si="34"/>
        <v>2.4425510000000001E-2</v>
      </c>
      <c r="O103" s="6">
        <f t="shared" si="34"/>
        <v>1.218414E-2</v>
      </c>
      <c r="P103" s="6">
        <f t="shared" si="34"/>
        <v>-1.6136169999999999E-3</v>
      </c>
      <c r="Q103" s="6">
        <f t="shared" si="34"/>
        <v>5.5265429999999997E-2</v>
      </c>
      <c r="R103" s="6">
        <f t="shared" si="34"/>
        <v>-2.499533E-2</v>
      </c>
      <c r="S103" s="6">
        <f t="shared" si="34"/>
        <v>-2.9417510000000001E-2</v>
      </c>
      <c r="T103" s="6">
        <f t="shared" si="34"/>
        <v>-3.5095209999999998E-3</v>
      </c>
      <c r="U103" s="6">
        <f t="shared" si="34"/>
        <v>-3.5948279999999999E-2</v>
      </c>
      <c r="V103" s="6">
        <f t="shared" si="34"/>
        <v>-3.3516879999999999E-2</v>
      </c>
      <c r="W103" s="6">
        <f t="shared" si="34"/>
        <v>-3.3707620000000001E-2</v>
      </c>
      <c r="X103" s="6">
        <f>G61</f>
        <v>-3.6781790000000002E-2</v>
      </c>
      <c r="Y103" s="6">
        <f t="shared" ref="Y103:AM103" si="35">H61</f>
        <v>-3.4922599999999998E-2</v>
      </c>
      <c r="Z103" s="6">
        <f t="shared" si="35"/>
        <v>-4.1636939999999997E-2</v>
      </c>
      <c r="AA103" s="6">
        <f t="shared" si="35"/>
        <v>-5.2046299999999997E-2</v>
      </c>
      <c r="AB103" s="6">
        <f t="shared" si="35"/>
        <v>-7.0599560000000006E-2</v>
      </c>
      <c r="AC103" s="6">
        <f t="shared" si="35"/>
        <v>-9.6393110000000004E-2</v>
      </c>
      <c r="AD103" s="6">
        <f t="shared" si="35"/>
        <v>-0.18036269999999999</v>
      </c>
      <c r="AE103" s="6">
        <f t="shared" si="35"/>
        <v>-0.21832850000000001</v>
      </c>
      <c r="AF103" s="6">
        <f t="shared" si="35"/>
        <v>-0.24693300000000001</v>
      </c>
      <c r="AG103" s="6">
        <f t="shared" si="35"/>
        <v>-0.27701140000000002</v>
      </c>
      <c r="AH103" s="6">
        <f t="shared" si="35"/>
        <v>-0.32587100000000002</v>
      </c>
      <c r="AI103" s="6">
        <f t="shared" si="35"/>
        <v>-0.3876424</v>
      </c>
      <c r="AJ103" s="6">
        <f t="shared" si="35"/>
        <v>-0.42580030000000002</v>
      </c>
      <c r="AK103" s="6">
        <f t="shared" si="35"/>
        <v>-0.47347349999999999</v>
      </c>
      <c r="AL103" s="6">
        <f t="shared" si="35"/>
        <v>-0.71485279999999995</v>
      </c>
      <c r="AM103" s="6">
        <f t="shared" si="35"/>
        <v>-0.81909180000000004</v>
      </c>
    </row>
    <row r="104" spans="7:39" x14ac:dyDescent="0.25">
      <c r="G104" s="5">
        <v>13</v>
      </c>
      <c r="H104" s="6">
        <f>G63</f>
        <v>-0.62385029999999997</v>
      </c>
      <c r="I104" s="6">
        <f t="shared" ref="I104:W104" si="36">H63</f>
        <v>0.13143060000000001</v>
      </c>
      <c r="J104" s="6">
        <f t="shared" si="36"/>
        <v>0.1490474</v>
      </c>
      <c r="K104" s="6">
        <f t="shared" si="36"/>
        <v>0.1213374</v>
      </c>
      <c r="L104" s="6">
        <f t="shared" si="36"/>
        <v>9.2776780000000003E-2</v>
      </c>
      <c r="M104" s="6">
        <f t="shared" si="36"/>
        <v>5.1546099999999996E-3</v>
      </c>
      <c r="N104" s="6">
        <f t="shared" si="36"/>
        <v>3.5216329999999997E-2</v>
      </c>
      <c r="O104" s="6">
        <f t="shared" si="36"/>
        <v>2.1656040000000001E-2</v>
      </c>
      <c r="P104" s="6">
        <f t="shared" si="36"/>
        <v>6.7558289999999997E-3</v>
      </c>
      <c r="Q104" s="6">
        <f t="shared" si="36"/>
        <v>5.5613990000000002E-2</v>
      </c>
      <c r="R104" s="6">
        <f t="shared" si="36"/>
        <v>-1.8017769999999999E-2</v>
      </c>
      <c r="S104" s="6">
        <f t="shared" si="36"/>
        <v>-2.4029249999999999E-2</v>
      </c>
      <c r="T104" s="6">
        <f t="shared" si="36"/>
        <v>-4.7578810000000003E-3</v>
      </c>
      <c r="U104" s="6">
        <f t="shared" si="36"/>
        <v>-3.3513550000000003E-2</v>
      </c>
      <c r="V104" s="6">
        <f t="shared" si="36"/>
        <v>-3.3333300000000003E-2</v>
      </c>
      <c r="W104" s="6">
        <f t="shared" si="36"/>
        <v>-3.461695E-2</v>
      </c>
      <c r="X104" s="6">
        <f>G64</f>
        <v>-4.0802959999999999E-2</v>
      </c>
      <c r="Y104" s="6">
        <f t="shared" ref="Y104:AM104" si="37">H64</f>
        <v>-4.0735720000000003E-2</v>
      </c>
      <c r="Z104" s="6">
        <f t="shared" si="37"/>
        <v>-4.4373990000000002E-2</v>
      </c>
      <c r="AA104" s="6">
        <f t="shared" si="37"/>
        <v>-5.23963E-2</v>
      </c>
      <c r="AB104" s="6">
        <f t="shared" si="37"/>
        <v>-6.8238740000000006E-2</v>
      </c>
      <c r="AC104" s="6">
        <f t="shared" si="37"/>
        <v>-9.2611310000000002E-2</v>
      </c>
      <c r="AD104" s="6">
        <f t="shared" si="37"/>
        <v>-0.18071319999999999</v>
      </c>
      <c r="AE104" s="6">
        <f t="shared" si="37"/>
        <v>-0.2214189</v>
      </c>
      <c r="AF104" s="6">
        <f t="shared" si="37"/>
        <v>-0.25179240000000003</v>
      </c>
      <c r="AG104" s="6">
        <f t="shared" si="37"/>
        <v>-0.28421350000000001</v>
      </c>
      <c r="AH104" s="6">
        <f t="shared" si="37"/>
        <v>-0.33620309999999998</v>
      </c>
      <c r="AI104" s="6">
        <f t="shared" si="37"/>
        <v>-0.40377000000000002</v>
      </c>
      <c r="AJ104" s="6">
        <f t="shared" si="37"/>
        <v>-0.44705060000000002</v>
      </c>
      <c r="AK104" s="6">
        <f t="shared" si="37"/>
        <v>-0.50082870000000002</v>
      </c>
      <c r="AL104" s="6">
        <f t="shared" si="37"/>
        <v>-0.79913520000000005</v>
      </c>
      <c r="AM104" s="6">
        <f t="shared" si="37"/>
        <v>-0.85897210000000002</v>
      </c>
    </row>
    <row r="105" spans="7:39" x14ac:dyDescent="0.25">
      <c r="G105" s="5">
        <v>14</v>
      </c>
      <c r="H105" s="6">
        <f>G66</f>
        <v>-0.7391162</v>
      </c>
      <c r="I105" s="6">
        <f t="shared" ref="I105:W105" si="38">H66</f>
        <v>0.1159439</v>
      </c>
      <c r="J105" s="6">
        <f t="shared" si="38"/>
        <v>0.14798739999999999</v>
      </c>
      <c r="K105" s="6">
        <f t="shared" si="38"/>
        <v>0.1277218</v>
      </c>
      <c r="L105" s="6">
        <f t="shared" si="38"/>
        <v>0.1010523</v>
      </c>
      <c r="M105" s="6">
        <f t="shared" si="38"/>
        <v>5.1536560000000004E-3</v>
      </c>
      <c r="N105" s="6">
        <f t="shared" si="38"/>
        <v>4.4227599999999999E-2</v>
      </c>
      <c r="O105" s="6">
        <f t="shared" si="38"/>
        <v>2.9720779999999999E-2</v>
      </c>
      <c r="P105" s="6">
        <f t="shared" si="38"/>
        <v>1.458836E-2</v>
      </c>
      <c r="Q105" s="6">
        <f t="shared" si="38"/>
        <v>5.563307E-2</v>
      </c>
      <c r="R105" s="6">
        <f t="shared" si="38"/>
        <v>-1.2907979999999999E-2</v>
      </c>
      <c r="S105" s="6">
        <f t="shared" si="38"/>
        <v>-2.0210269999999999E-2</v>
      </c>
      <c r="T105" s="6">
        <f t="shared" si="38"/>
        <v>-6.3600540000000004E-3</v>
      </c>
      <c r="U105" s="6">
        <f t="shared" si="38"/>
        <v>-3.212214E-2</v>
      </c>
      <c r="V105" s="6">
        <f t="shared" si="38"/>
        <v>-3.3700939999999999E-2</v>
      </c>
      <c r="W105" s="6">
        <f t="shared" si="38"/>
        <v>-3.7452220000000001E-2</v>
      </c>
      <c r="X105" s="6">
        <f>G67</f>
        <v>-4.6645159999999998E-2</v>
      </c>
      <c r="Y105" s="6">
        <f t="shared" ref="Y105:AM105" si="39">H67</f>
        <v>-4.9024579999999998E-2</v>
      </c>
      <c r="Z105" s="6">
        <f t="shared" si="39"/>
        <v>-5.1110269999999999E-2</v>
      </c>
      <c r="AA105" s="6">
        <f t="shared" si="39"/>
        <v>-5.6744580000000003E-2</v>
      </c>
      <c r="AB105" s="6">
        <f t="shared" si="39"/>
        <v>-6.805754E-2</v>
      </c>
      <c r="AC105" s="6">
        <f t="shared" si="39"/>
        <v>-8.9197159999999998E-2</v>
      </c>
      <c r="AD105" s="6">
        <f t="shared" si="39"/>
        <v>-0.17966789999999999</v>
      </c>
      <c r="AE105" s="6">
        <f t="shared" si="39"/>
        <v>-0.22306300000000001</v>
      </c>
      <c r="AF105" s="6">
        <f t="shared" si="39"/>
        <v>-0.25539539999999999</v>
      </c>
      <c r="AG105" s="6">
        <f t="shared" si="39"/>
        <v>-0.29030610000000001</v>
      </c>
      <c r="AH105" s="6">
        <f t="shared" si="39"/>
        <v>-0.34562490000000001</v>
      </c>
      <c r="AI105" s="6">
        <f t="shared" si="39"/>
        <v>-0.41898580000000002</v>
      </c>
      <c r="AJ105" s="6">
        <f t="shared" si="39"/>
        <v>-0.46778009999999998</v>
      </c>
      <c r="AK105" s="6">
        <f t="shared" si="39"/>
        <v>-0.53473380000000004</v>
      </c>
      <c r="AL105" s="6">
        <f t="shared" si="39"/>
        <v>-0.87753820000000005</v>
      </c>
      <c r="AM105" s="6">
        <f t="shared" si="39"/>
        <v>-0.91535659999999996</v>
      </c>
    </row>
    <row r="106" spans="7:39" x14ac:dyDescent="0.25">
      <c r="G106" s="5">
        <v>15</v>
      </c>
      <c r="H106" s="6">
        <f>G69</f>
        <v>-0.84494780000000003</v>
      </c>
      <c r="I106" s="6">
        <f t="shared" ref="I106:W106" si="40">H69</f>
        <v>0.1009803</v>
      </c>
      <c r="J106" s="6">
        <f t="shared" si="40"/>
        <v>0.1479869</v>
      </c>
      <c r="K106" s="6">
        <f t="shared" si="40"/>
        <v>0.13356879999999999</v>
      </c>
      <c r="L106" s="6">
        <f t="shared" si="40"/>
        <v>0.10914989999999999</v>
      </c>
      <c r="M106" s="6">
        <f t="shared" si="40"/>
        <v>5.8355330000000004E-3</v>
      </c>
      <c r="N106" s="6">
        <f t="shared" si="40"/>
        <v>5.2538389999999997E-2</v>
      </c>
      <c r="O106" s="6">
        <f t="shared" si="40"/>
        <v>3.6912920000000002E-2</v>
      </c>
      <c r="P106" s="6">
        <f t="shared" si="40"/>
        <v>2.0949840000000001E-2</v>
      </c>
      <c r="Q106" s="6">
        <f t="shared" si="40"/>
        <v>5.5788039999999997E-2</v>
      </c>
      <c r="R106" s="6">
        <f t="shared" si="40"/>
        <v>-8.8977810000000004E-3</v>
      </c>
      <c r="S106" s="6">
        <f t="shared" si="40"/>
        <v>-1.743078E-2</v>
      </c>
      <c r="T106" s="6">
        <f t="shared" si="40"/>
        <v>-6.8936350000000004E-3</v>
      </c>
      <c r="U106" s="6">
        <f t="shared" si="40"/>
        <v>-3.2295699999999997E-2</v>
      </c>
      <c r="V106" s="6">
        <f t="shared" si="40"/>
        <v>-3.5735610000000001E-2</v>
      </c>
      <c r="W106" s="6">
        <f t="shared" si="40"/>
        <v>-4.2723659999999997E-2</v>
      </c>
      <c r="X106" s="5">
        <f>G70</f>
        <v>-5.5957319999999998E-2</v>
      </c>
      <c r="Y106" s="5">
        <f t="shared" ref="Y106:AM106" si="41">H70</f>
        <v>-6.2532900000000002E-2</v>
      </c>
      <c r="Z106" s="5">
        <f t="shared" si="41"/>
        <v>-6.3848020000000005E-2</v>
      </c>
      <c r="AA106" s="5">
        <f t="shared" si="41"/>
        <v>-6.7352289999999995E-2</v>
      </c>
      <c r="AB106" s="5">
        <f t="shared" si="41"/>
        <v>-7.2416309999999998E-2</v>
      </c>
      <c r="AC106" s="5">
        <f t="shared" si="41"/>
        <v>-8.5608959999999998E-2</v>
      </c>
      <c r="AD106" s="5">
        <f t="shared" si="41"/>
        <v>-0.17374129999999999</v>
      </c>
      <c r="AE106" s="5">
        <f t="shared" si="41"/>
        <v>-0.22105359999999999</v>
      </c>
      <c r="AF106" s="5">
        <f t="shared" si="41"/>
        <v>-0.25497199999999998</v>
      </c>
      <c r="AG106" s="5">
        <f t="shared" si="41"/>
        <v>-0.2923384</v>
      </c>
      <c r="AH106" s="5">
        <f t="shared" si="41"/>
        <v>-0.35104180000000001</v>
      </c>
      <c r="AI106" s="5">
        <f t="shared" si="41"/>
        <v>-0.43040129999999999</v>
      </c>
      <c r="AJ106" s="5">
        <f t="shared" si="41"/>
        <v>-0.48443219999999998</v>
      </c>
      <c r="AK106" s="5">
        <f t="shared" si="41"/>
        <v>-0.56627459999999996</v>
      </c>
      <c r="AL106" s="5">
        <f t="shared" si="41"/>
        <v>-0.95079420000000003</v>
      </c>
      <c r="AM106" s="5">
        <f t="shared" si="41"/>
        <v>-0.98056600000000005</v>
      </c>
    </row>
    <row r="107" spans="7:39" x14ac:dyDescent="0.25">
      <c r="G107" s="5">
        <v>16</v>
      </c>
      <c r="H107" s="6">
        <f>G72</f>
        <v>-0.83927439999999998</v>
      </c>
      <c r="I107" s="6">
        <f t="shared" ref="I107:W107" si="42">H72</f>
        <v>9.9923129999999999E-2</v>
      </c>
      <c r="J107" s="6">
        <f t="shared" si="42"/>
        <v>0.14869209999999999</v>
      </c>
      <c r="K107" s="6">
        <f t="shared" si="42"/>
        <v>0.1351175</v>
      </c>
      <c r="L107" s="6">
        <f t="shared" si="42"/>
        <v>0.1107006</v>
      </c>
      <c r="M107" s="6">
        <f t="shared" si="42"/>
        <v>6.0091019999999997E-3</v>
      </c>
      <c r="N107" s="6">
        <f t="shared" si="42"/>
        <v>5.4306979999999998E-2</v>
      </c>
      <c r="O107" s="6">
        <f t="shared" si="42"/>
        <v>3.79653E-2</v>
      </c>
      <c r="P107" s="6">
        <f t="shared" si="42"/>
        <v>2.1647449999999999E-2</v>
      </c>
      <c r="Q107" s="6">
        <f t="shared" si="42"/>
        <v>5.5613990000000002E-2</v>
      </c>
      <c r="R107" s="6">
        <f t="shared" si="42"/>
        <v>-1.011896E-2</v>
      </c>
      <c r="S107" s="6">
        <f t="shared" si="42"/>
        <v>-2.0559310000000001E-2</v>
      </c>
      <c r="T107" s="6">
        <f t="shared" si="42"/>
        <v>-8.1415180000000004E-3</v>
      </c>
      <c r="U107" s="6">
        <f t="shared" si="42"/>
        <v>-3.9601329999999997E-2</v>
      </c>
      <c r="V107" s="6">
        <f t="shared" si="42"/>
        <v>-4.6186919999999999E-2</v>
      </c>
      <c r="W107" s="6">
        <f t="shared" si="42"/>
        <v>-6.0363769999999997E-2</v>
      </c>
      <c r="X107" s="6">
        <f>G73</f>
        <v>-8.279562E-2</v>
      </c>
      <c r="Y107" s="6">
        <f t="shared" ref="Y107:AM107" si="43">H73</f>
        <v>-9.3163969999999999E-2</v>
      </c>
      <c r="Z107" s="6">
        <f t="shared" si="43"/>
        <v>-0.1069908</v>
      </c>
      <c r="AA107" s="6">
        <f t="shared" si="43"/>
        <v>-0.1148314</v>
      </c>
      <c r="AB107" s="6">
        <f t="shared" si="43"/>
        <v>-0.12489699999999999</v>
      </c>
      <c r="AC107" s="6">
        <f t="shared" si="43"/>
        <v>-0.13700680000000001</v>
      </c>
      <c r="AD107" s="6">
        <f t="shared" si="43"/>
        <v>-0.14620259999999999</v>
      </c>
      <c r="AE107" s="6">
        <f t="shared" si="43"/>
        <v>-0.16331619999999999</v>
      </c>
      <c r="AF107" s="6">
        <f t="shared" si="43"/>
        <v>-0.1908417</v>
      </c>
      <c r="AG107" s="6">
        <f t="shared" si="43"/>
        <v>-0.22882369999999999</v>
      </c>
      <c r="AH107" s="6">
        <f t="shared" si="43"/>
        <v>-0.28871010000000003</v>
      </c>
      <c r="AI107" s="6">
        <f t="shared" si="43"/>
        <v>-0.3711662</v>
      </c>
      <c r="AJ107" s="6">
        <f t="shared" si="43"/>
        <v>-0.42452190000000001</v>
      </c>
      <c r="AK107" s="6">
        <f t="shared" si="43"/>
        <v>-0.50466350000000004</v>
      </c>
      <c r="AL107" s="6">
        <f t="shared" si="43"/>
        <v>-0.87972740000000005</v>
      </c>
      <c r="AM107" s="6">
        <f t="shared" si="43"/>
        <v>-0.89590020000000004</v>
      </c>
    </row>
    <row r="108" spans="7:39" x14ac:dyDescent="0.25">
      <c r="G108" s="5">
        <v>17</v>
      </c>
      <c r="H108" s="6">
        <f>G75</f>
        <v>-0.1627073</v>
      </c>
      <c r="I108" s="6">
        <f t="shared" ref="I108:W108" si="44">H75</f>
        <v>0.153142</v>
      </c>
      <c r="J108" s="6">
        <f t="shared" si="44"/>
        <v>0.13953109999999999</v>
      </c>
      <c r="K108" s="6">
        <f t="shared" si="44"/>
        <v>0.10173649999999999</v>
      </c>
      <c r="L108" s="6">
        <f t="shared" si="44"/>
        <v>7.3996069999999997E-2</v>
      </c>
      <c r="M108" s="6">
        <f t="shared" si="44"/>
        <v>3.0694009999999998E-3</v>
      </c>
      <c r="N108" s="6">
        <f t="shared" si="44"/>
        <v>1.9504069999999998E-2</v>
      </c>
      <c r="O108" s="6">
        <f t="shared" si="44"/>
        <v>6.9179530000000001E-3</v>
      </c>
      <c r="P108" s="6">
        <f t="shared" si="44"/>
        <v>-7.0443149999999998E-3</v>
      </c>
      <c r="Q108" s="6">
        <f t="shared" si="44"/>
        <v>5.5091380000000002E-2</v>
      </c>
      <c r="R108" s="6">
        <f t="shared" si="44"/>
        <v>-3.6519049999999997E-2</v>
      </c>
      <c r="S108" s="6">
        <f t="shared" si="44"/>
        <v>-4.5936110000000002E-2</v>
      </c>
      <c r="T108" s="6">
        <f t="shared" si="44"/>
        <v>-9.3903540000000001E-3</v>
      </c>
      <c r="U108" s="6">
        <f t="shared" si="44"/>
        <v>-6.7254540000000002E-2</v>
      </c>
      <c r="V108" s="6">
        <f t="shared" si="44"/>
        <v>-7.6803679999999999E-2</v>
      </c>
      <c r="W108" s="6">
        <f t="shared" si="44"/>
        <v>-9.3584059999999997E-2</v>
      </c>
      <c r="X108" s="6">
        <f>G76</f>
        <v>-0.1194849</v>
      </c>
      <c r="Y108" s="6">
        <f t="shared" ref="Y108:AM108" si="45">H76</f>
        <v>-0.14935970000000001</v>
      </c>
      <c r="Z108" s="6">
        <f t="shared" si="45"/>
        <v>-0.16414119999999999</v>
      </c>
      <c r="AA108" s="6">
        <f t="shared" si="45"/>
        <v>-0.17570069999999999</v>
      </c>
      <c r="AB108" s="6">
        <f t="shared" si="45"/>
        <v>-0.18862490000000001</v>
      </c>
      <c r="AC108" s="6">
        <f t="shared" si="45"/>
        <v>-0.20043279999999999</v>
      </c>
      <c r="AD108" s="6">
        <f t="shared" si="45"/>
        <v>-0.203546</v>
      </c>
      <c r="AE108" s="6">
        <f t="shared" si="45"/>
        <v>-0.19840530000000001</v>
      </c>
      <c r="AF108" s="6">
        <f t="shared" si="45"/>
        <v>-0.19393869999999999</v>
      </c>
      <c r="AG108" s="6">
        <f t="shared" si="45"/>
        <v>-0.18986510000000001</v>
      </c>
      <c r="AH108" s="6">
        <f t="shared" si="45"/>
        <v>-0.1901178</v>
      </c>
      <c r="AI108" s="6">
        <f t="shared" si="45"/>
        <v>-0.1899767</v>
      </c>
      <c r="AJ108" s="6">
        <f t="shared" si="45"/>
        <v>-0.18643570000000001</v>
      </c>
      <c r="AK108" s="6">
        <f t="shared" si="45"/>
        <v>-0.18629309999999999</v>
      </c>
      <c r="AL108" s="6">
        <f t="shared" si="45"/>
        <v>-0.18165829999999999</v>
      </c>
      <c r="AM108" s="6">
        <f t="shared" si="45"/>
        <v>-0.1766634</v>
      </c>
    </row>
    <row r="109" spans="7:39" x14ac:dyDescent="0.25">
      <c r="G109" s="5">
        <v>18</v>
      </c>
      <c r="H109" s="6">
        <f>G78</f>
        <v>-0.14424709999999999</v>
      </c>
      <c r="I109" s="6">
        <f t="shared" ref="I109:W109" si="46">H78</f>
        <v>0.15373329999999999</v>
      </c>
      <c r="J109" s="6">
        <f t="shared" si="46"/>
        <v>0.1395335</v>
      </c>
      <c r="K109" s="6">
        <f t="shared" si="46"/>
        <v>0.10225869999999999</v>
      </c>
      <c r="L109" s="6">
        <f t="shared" si="46"/>
        <v>7.5037960000000001E-2</v>
      </c>
      <c r="M109" s="6">
        <f t="shared" si="46"/>
        <v>3.9525029999999996E-3</v>
      </c>
      <c r="N109" s="6">
        <f t="shared" si="46"/>
        <v>1.9824499999999998E-2</v>
      </c>
      <c r="O109" s="6">
        <f t="shared" si="46"/>
        <v>7.799149E-3</v>
      </c>
      <c r="P109" s="6">
        <f t="shared" si="46"/>
        <v>-7.3690409999999998E-3</v>
      </c>
      <c r="Q109" s="6">
        <f t="shared" si="46"/>
        <v>5.52845E-2</v>
      </c>
      <c r="R109" s="6">
        <f t="shared" si="46"/>
        <v>-3.749371E-2</v>
      </c>
      <c r="S109" s="6">
        <f t="shared" si="46"/>
        <v>-4.8703669999999998E-2</v>
      </c>
      <c r="T109" s="6">
        <f t="shared" si="46"/>
        <v>-1.0637280000000001E-2</v>
      </c>
      <c r="U109" s="6">
        <f t="shared" si="46"/>
        <v>-7.3167800000000005E-2</v>
      </c>
      <c r="V109" s="6">
        <f t="shared" si="46"/>
        <v>-8.3548549999999999E-2</v>
      </c>
      <c r="W109" s="6">
        <f t="shared" si="46"/>
        <v>-0.1026764</v>
      </c>
      <c r="X109" s="5">
        <f>G79</f>
        <v>-0.1287971</v>
      </c>
      <c r="Y109" s="5">
        <f t="shared" ref="Y109:AM109" si="47">H79</f>
        <v>-0.16482830000000001</v>
      </c>
      <c r="Z109" s="5">
        <f t="shared" si="47"/>
        <v>-0.17544129999999999</v>
      </c>
      <c r="AA109" s="5">
        <f t="shared" si="47"/>
        <v>-0.1849132</v>
      </c>
      <c r="AB109" s="5">
        <f t="shared" si="47"/>
        <v>-0.18862960000000001</v>
      </c>
      <c r="AC109" s="5">
        <f t="shared" si="47"/>
        <v>-0.1896572</v>
      </c>
      <c r="AD109" s="5">
        <f t="shared" si="47"/>
        <v>-0.17025419999999999</v>
      </c>
      <c r="AE109" s="5">
        <f t="shared" si="47"/>
        <v>-0.16405529999999999</v>
      </c>
      <c r="AF109" s="5">
        <f t="shared" si="47"/>
        <v>-0.16260240000000001</v>
      </c>
      <c r="AG109" s="5">
        <f t="shared" si="47"/>
        <v>-0.15994549999999999</v>
      </c>
      <c r="AH109" s="5">
        <f t="shared" si="47"/>
        <v>-0.159502</v>
      </c>
      <c r="AI109" s="5">
        <f t="shared" si="47"/>
        <v>-0.15953539999999999</v>
      </c>
      <c r="AJ109" s="5">
        <f t="shared" si="47"/>
        <v>-0.1556826</v>
      </c>
      <c r="AK109" s="5">
        <f t="shared" si="47"/>
        <v>-0.15911719999999999</v>
      </c>
      <c r="AL109" s="5">
        <f t="shared" si="47"/>
        <v>-0.1570859</v>
      </c>
      <c r="AM109" s="5">
        <f t="shared" si="47"/>
        <v>-0.15658520000000001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M109"/>
  <sheetViews>
    <sheetView topLeftCell="E75" workbookViewId="0">
      <selection activeCell="R100" sqref="R99:R100"/>
    </sheetView>
  </sheetViews>
  <sheetFormatPr defaultRowHeight="15" x14ac:dyDescent="0.25"/>
  <sheetData>
    <row r="1" spans="1:22" x14ac:dyDescent="0.25">
      <c r="B1">
        <v>9116</v>
      </c>
      <c r="C1">
        <v>6742</v>
      </c>
      <c r="D1">
        <v>1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</row>
    <row r="3" spans="1:22" x14ac:dyDescent="0.25">
      <c r="B3">
        <v>9116</v>
      </c>
      <c r="C3">
        <v>6744</v>
      </c>
      <c r="D3">
        <v>1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29</v>
      </c>
    </row>
    <row r="4" spans="1:22" x14ac:dyDescent="0.25">
      <c r="A4" t="s">
        <v>30</v>
      </c>
      <c r="B4" t="s">
        <v>31</v>
      </c>
      <c r="C4" t="s">
        <v>32</v>
      </c>
      <c r="D4" t="s">
        <v>33</v>
      </c>
      <c r="E4" t="s">
        <v>34</v>
      </c>
      <c r="F4" t="s">
        <v>35</v>
      </c>
    </row>
    <row r="5" spans="1:22" x14ac:dyDescent="0.25">
      <c r="A5" t="s">
        <v>36</v>
      </c>
    </row>
    <row r="6" spans="1:22" x14ac:dyDescent="0.25">
      <c r="A6" t="s">
        <v>36</v>
      </c>
    </row>
    <row r="7" spans="1:22" x14ac:dyDescent="0.25">
      <c r="A7" t="s">
        <v>43</v>
      </c>
    </row>
    <row r="8" spans="1:22" x14ac:dyDescent="0.25">
      <c r="A8" t="s">
        <v>98</v>
      </c>
    </row>
    <row r="9" spans="1:22" x14ac:dyDescent="0.25">
      <c r="A9">
        <v>11.244999999999999</v>
      </c>
      <c r="B9">
        <v>9116</v>
      </c>
      <c r="C9">
        <v>6742</v>
      </c>
      <c r="D9">
        <v>1</v>
      </c>
      <c r="E9">
        <v>1</v>
      </c>
      <c r="F9" t="s">
        <v>13</v>
      </c>
      <c r="G9" s="3">
        <v>-6.1464310000000004E-4</v>
      </c>
      <c r="H9" s="3">
        <v>-6.4849850000000002E-4</v>
      </c>
      <c r="I9" s="3">
        <v>-4.6157840000000001E-4</v>
      </c>
      <c r="J9" s="3">
        <v>3.9632319999999999E-2</v>
      </c>
      <c r="K9" s="3">
        <v>-2.5653839999999998E-4</v>
      </c>
      <c r="L9" s="3">
        <v>-6.1178209999999998E-4</v>
      </c>
      <c r="M9" s="3">
        <v>-1.2450219999999999E-3</v>
      </c>
      <c r="N9" s="3">
        <v>-1.192093E-4</v>
      </c>
      <c r="O9" s="3">
        <v>4.3630600000000002E-4</v>
      </c>
      <c r="P9" s="3">
        <v>4.3742179999999999E-2</v>
      </c>
      <c r="Q9" s="3">
        <v>7.2145460000000005E-4</v>
      </c>
      <c r="R9" s="3">
        <v>9.8705290000000004E-5</v>
      </c>
      <c r="S9" s="3">
        <v>1.8774030000000001E-2</v>
      </c>
      <c r="T9" s="3">
        <v>-3.0565259999999999E-4</v>
      </c>
      <c r="U9" s="3">
        <v>2.3031230000000001E-4</v>
      </c>
      <c r="V9" s="3">
        <v>-1.416206E-4</v>
      </c>
    </row>
    <row r="10" spans="1:22" x14ac:dyDescent="0.25">
      <c r="A10">
        <v>11.268000000000001</v>
      </c>
      <c r="B10">
        <v>9116</v>
      </c>
      <c r="C10">
        <v>6744</v>
      </c>
      <c r="D10">
        <v>1</v>
      </c>
      <c r="E10">
        <v>1</v>
      </c>
      <c r="F10" t="s">
        <v>13</v>
      </c>
      <c r="G10" s="3">
        <v>-6.5183639999999996E-4</v>
      </c>
      <c r="H10" s="3">
        <v>-1.280308E-3</v>
      </c>
      <c r="I10" s="3">
        <v>-8.8691710000000004E-5</v>
      </c>
      <c r="J10" s="3">
        <v>3.4039020000000003E-2</v>
      </c>
      <c r="K10" s="3">
        <v>-3.2901760000000001E-5</v>
      </c>
      <c r="L10" s="3">
        <v>-5.0067899999999997E-4</v>
      </c>
      <c r="M10" s="3">
        <v>-1.240253E-3</v>
      </c>
      <c r="N10" s="3">
        <v>9.9182129999999996E-5</v>
      </c>
      <c r="O10" s="3">
        <v>-9.5558169999999997E-4</v>
      </c>
      <c r="P10" s="3">
        <v>3.7574769999999997E-4</v>
      </c>
      <c r="Q10" s="3">
        <v>2.7942659999999998E-4</v>
      </c>
      <c r="R10" s="3">
        <v>-3.8957599999999998E-4</v>
      </c>
      <c r="S10" s="3">
        <v>-1.029968E-3</v>
      </c>
      <c r="T10" s="3">
        <v>3.9672850000000001E-4</v>
      </c>
      <c r="U10" s="3">
        <v>1.037121E-3</v>
      </c>
      <c r="V10" s="3">
        <v>2.0885470000000001E-4</v>
      </c>
    </row>
    <row r="11" spans="1:22" x14ac:dyDescent="0.25">
      <c r="A11" t="s">
        <v>242</v>
      </c>
    </row>
    <row r="12" spans="1:22" x14ac:dyDescent="0.25">
      <c r="A12">
        <v>11739.01</v>
      </c>
      <c r="B12">
        <v>9116</v>
      </c>
      <c r="C12">
        <v>6742</v>
      </c>
      <c r="D12">
        <v>1</v>
      </c>
      <c r="E12">
        <v>1</v>
      </c>
      <c r="F12" t="s">
        <v>13</v>
      </c>
      <c r="G12" s="3">
        <v>-9.7381110000000007E-2</v>
      </c>
      <c r="H12">
        <v>-0.66208409999999995</v>
      </c>
      <c r="I12">
        <v>-0.57179210000000003</v>
      </c>
      <c r="J12">
        <v>-0.46573969999999998</v>
      </c>
      <c r="K12">
        <v>-0.4059334</v>
      </c>
      <c r="L12" s="3">
        <v>-3.5473350000000001E-2</v>
      </c>
      <c r="M12">
        <v>-0.33714719999999998</v>
      </c>
      <c r="N12">
        <v>-0.28523779999999999</v>
      </c>
      <c r="O12">
        <v>-0.26356740000000001</v>
      </c>
      <c r="P12" s="3">
        <v>4.7463890000000002E-2</v>
      </c>
      <c r="Q12">
        <v>-0.2071848</v>
      </c>
      <c r="R12">
        <v>-0.1723981</v>
      </c>
      <c r="S12" s="3">
        <v>4.8770899999999997E-3</v>
      </c>
      <c r="T12">
        <v>-0.12342740000000001</v>
      </c>
      <c r="U12">
        <v>-9.4748499999999999E-2</v>
      </c>
      <c r="V12" s="3">
        <v>-6.7215440000000001E-2</v>
      </c>
    </row>
    <row r="13" spans="1:22" x14ac:dyDescent="0.25">
      <c r="A13">
        <v>11739.03</v>
      </c>
      <c r="B13">
        <v>9116</v>
      </c>
      <c r="C13">
        <v>6744</v>
      </c>
      <c r="D13">
        <v>1</v>
      </c>
      <c r="E13">
        <v>1</v>
      </c>
      <c r="F13" t="s">
        <v>13</v>
      </c>
      <c r="G13">
        <v>-5.6692600000000003E-2</v>
      </c>
      <c r="H13" s="3">
        <v>-4.5741560000000001E-2</v>
      </c>
      <c r="I13">
        <v>-4.9483300000000001E-2</v>
      </c>
      <c r="J13" s="3">
        <v>-5.7263370000000001E-2</v>
      </c>
      <c r="K13" s="3">
        <v>-6.1161989999999999E-2</v>
      </c>
      <c r="L13" s="3">
        <v>-7.1237560000000005E-2</v>
      </c>
      <c r="M13" s="3">
        <v>-7.7335829999999994E-2</v>
      </c>
      <c r="N13" s="3">
        <v>-7.032919E-2</v>
      </c>
      <c r="O13">
        <v>-6.7307000000000006E-2</v>
      </c>
      <c r="P13" s="3">
        <v>-5.6524749999999999E-2</v>
      </c>
      <c r="Q13" s="3">
        <v>-4.4765470000000002E-2</v>
      </c>
      <c r="R13" s="3">
        <v>-1.6530510000000002E-2</v>
      </c>
      <c r="S13" s="3">
        <v>8.9278220000000002E-3</v>
      </c>
      <c r="T13" s="3">
        <v>4.4658660000000003E-2</v>
      </c>
      <c r="U13">
        <v>0.10062599999999999</v>
      </c>
      <c r="V13">
        <v>0.15638260000000001</v>
      </c>
    </row>
    <row r="14" spans="1:22" x14ac:dyDescent="0.25">
      <c r="A14" t="s">
        <v>243</v>
      </c>
    </row>
    <row r="15" spans="1:22" x14ac:dyDescent="0.25">
      <c r="A15">
        <v>11748.54</v>
      </c>
      <c r="B15">
        <v>9116</v>
      </c>
      <c r="C15">
        <v>6742</v>
      </c>
      <c r="D15">
        <v>1</v>
      </c>
      <c r="E15">
        <v>1</v>
      </c>
      <c r="F15" t="s">
        <v>13</v>
      </c>
      <c r="G15" s="3">
        <v>1.3341900000000001E-3</v>
      </c>
      <c r="H15">
        <v>-0.54388139999999996</v>
      </c>
      <c r="I15">
        <v>-0.49067640000000001</v>
      </c>
      <c r="J15">
        <v>-0.4136629</v>
      </c>
      <c r="K15">
        <v>-0.36238769999999998</v>
      </c>
      <c r="L15" s="3">
        <v>-3.008986E-2</v>
      </c>
      <c r="M15">
        <v>-0.3067474</v>
      </c>
      <c r="N15">
        <v>-0.27243469999999997</v>
      </c>
      <c r="O15">
        <v>-0.24208689999999999</v>
      </c>
      <c r="P15" s="3">
        <v>4.8161509999999998E-2</v>
      </c>
      <c r="Q15">
        <v>-0.1963558</v>
      </c>
      <c r="R15">
        <v>-0.16491320000000001</v>
      </c>
      <c r="S15" s="3">
        <v>6.2990190000000003E-3</v>
      </c>
      <c r="T15">
        <v>-0.11908009999999999</v>
      </c>
      <c r="U15" s="3">
        <v>-9.1080190000000005E-2</v>
      </c>
      <c r="V15">
        <v>-6.4044000000000004E-2</v>
      </c>
    </row>
    <row r="16" spans="1:22" x14ac:dyDescent="0.25">
      <c r="A16">
        <v>11748.56</v>
      </c>
      <c r="B16">
        <v>9116</v>
      </c>
      <c r="C16">
        <v>6744</v>
      </c>
      <c r="D16">
        <v>1</v>
      </c>
      <c r="E16">
        <v>1</v>
      </c>
      <c r="F16" t="s">
        <v>13</v>
      </c>
      <c r="G16" s="3">
        <v>-5.1216129999999999E-2</v>
      </c>
      <c r="H16">
        <v>-3.7802700000000002E-2</v>
      </c>
      <c r="I16" s="3">
        <v>-5.5303570000000003E-2</v>
      </c>
      <c r="J16" s="3">
        <v>-6.3004489999999996E-2</v>
      </c>
      <c r="K16" s="3">
        <v>-6.7880629999999997E-2</v>
      </c>
      <c r="L16" s="3">
        <v>-7.8424930000000004E-2</v>
      </c>
      <c r="M16" s="3">
        <v>-9.006596E-2</v>
      </c>
      <c r="N16" s="3">
        <v>-8.567429E-2</v>
      </c>
      <c r="O16" s="3">
        <v>-8.4156040000000001E-2</v>
      </c>
      <c r="P16" s="3">
        <v>-7.6289179999999998E-2</v>
      </c>
      <c r="Q16" s="3">
        <v>-6.7972179999999993E-2</v>
      </c>
      <c r="R16" s="3">
        <v>-4.319096E-2</v>
      </c>
      <c r="S16" s="3">
        <v>-1.9914149999999999E-2</v>
      </c>
      <c r="T16">
        <v>1.2362E-2</v>
      </c>
      <c r="U16" s="3">
        <v>6.6316130000000001E-2</v>
      </c>
      <c r="V16">
        <v>0.12500810000000001</v>
      </c>
    </row>
    <row r="17" spans="1:22" x14ac:dyDescent="0.25">
      <c r="A17" t="s">
        <v>244</v>
      </c>
    </row>
    <row r="18" spans="1:22" x14ac:dyDescent="0.25">
      <c r="A18">
        <v>11758.4</v>
      </c>
      <c r="B18">
        <v>9116</v>
      </c>
      <c r="C18">
        <v>6742</v>
      </c>
      <c r="D18">
        <v>1</v>
      </c>
      <c r="E18">
        <v>1</v>
      </c>
      <c r="F18" t="s">
        <v>13</v>
      </c>
      <c r="G18" s="3">
        <v>8.2496169999999994E-2</v>
      </c>
      <c r="H18">
        <v>-0.43188290000000001</v>
      </c>
      <c r="I18">
        <v>-0.41639520000000002</v>
      </c>
      <c r="J18">
        <v>-0.3617496</v>
      </c>
      <c r="K18">
        <v>-0.32263140000000001</v>
      </c>
      <c r="L18" s="3">
        <v>-2.6420590000000001E-2</v>
      </c>
      <c r="M18">
        <v>-0.282331</v>
      </c>
      <c r="N18">
        <v>-0.24911259999999999</v>
      </c>
      <c r="O18">
        <v>-0.2285171</v>
      </c>
      <c r="P18" s="3">
        <v>4.8684119999999997E-2</v>
      </c>
      <c r="Q18">
        <v>-0.18293999999999999</v>
      </c>
      <c r="R18">
        <v>-0.15767339999999999</v>
      </c>
      <c r="S18" s="3">
        <v>6.8354610000000001E-3</v>
      </c>
      <c r="T18">
        <v>-0.11577800000000001</v>
      </c>
      <c r="U18" s="3">
        <v>-8.849812E-2</v>
      </c>
      <c r="V18" s="3">
        <v>-6.0958859999999997E-2</v>
      </c>
    </row>
    <row r="19" spans="1:22" x14ac:dyDescent="0.25">
      <c r="A19">
        <v>11758.42</v>
      </c>
      <c r="B19">
        <v>9116</v>
      </c>
      <c r="C19">
        <v>6744</v>
      </c>
      <c r="D19">
        <v>1</v>
      </c>
      <c r="E19">
        <v>1</v>
      </c>
      <c r="F19" t="s">
        <v>13</v>
      </c>
      <c r="G19" s="3">
        <v>-4.7558780000000002E-2</v>
      </c>
      <c r="H19" s="3">
        <v>-2.8616909999999999E-2</v>
      </c>
      <c r="I19" s="3">
        <v>-6.0942169999999997E-2</v>
      </c>
      <c r="J19" s="3">
        <v>-6.9092269999999997E-2</v>
      </c>
      <c r="K19" s="3">
        <v>-7.4055670000000004E-2</v>
      </c>
      <c r="L19" s="3">
        <v>-8.5615159999999996E-2</v>
      </c>
      <c r="M19">
        <v>-0.10313890000000001</v>
      </c>
      <c r="N19">
        <v>-0.1024914</v>
      </c>
      <c r="O19">
        <v>-0.10329960000000001</v>
      </c>
      <c r="P19" s="3">
        <v>-9.7345829999999994E-2</v>
      </c>
      <c r="Q19" s="3">
        <v>-9.2451569999999997E-2</v>
      </c>
      <c r="R19" s="3">
        <v>-7.2180270000000005E-2</v>
      </c>
      <c r="S19" s="3">
        <v>-5.1578520000000003E-2</v>
      </c>
      <c r="T19" s="3">
        <v>-2.3034570000000001E-2</v>
      </c>
      <c r="U19" s="3">
        <v>2.632236E-2</v>
      </c>
      <c r="V19" s="3">
        <v>8.4623809999999994E-2</v>
      </c>
    </row>
    <row r="20" spans="1:22" x14ac:dyDescent="0.25">
      <c r="A20" t="s">
        <v>245</v>
      </c>
    </row>
    <row r="21" spans="1:22" x14ac:dyDescent="0.25">
      <c r="A21">
        <v>11767.6</v>
      </c>
      <c r="B21">
        <v>9116</v>
      </c>
      <c r="C21">
        <v>6742</v>
      </c>
      <c r="D21">
        <v>1</v>
      </c>
      <c r="E21">
        <v>1</v>
      </c>
      <c r="F21" t="s">
        <v>13</v>
      </c>
      <c r="G21">
        <v>0.14430480000000001</v>
      </c>
      <c r="H21">
        <v>-0.3370128</v>
      </c>
      <c r="I21">
        <v>-0.34651520000000002</v>
      </c>
      <c r="J21">
        <v>-0.31430200000000003</v>
      </c>
      <c r="K21">
        <v>-0.28664780000000001</v>
      </c>
      <c r="L21" s="3">
        <v>-2.2600169999999999E-2</v>
      </c>
      <c r="M21">
        <v>-0.26111509999999999</v>
      </c>
      <c r="N21">
        <v>-0.23105429999999999</v>
      </c>
      <c r="O21">
        <v>-0.21492240000000001</v>
      </c>
      <c r="P21" s="3">
        <v>4.8510070000000002E-2</v>
      </c>
      <c r="Q21">
        <v>-0.17910390000000001</v>
      </c>
      <c r="R21">
        <v>-0.14811559999999999</v>
      </c>
      <c r="S21" s="3">
        <v>6.4783100000000001E-3</v>
      </c>
      <c r="T21">
        <v>-0.1143866</v>
      </c>
      <c r="U21" s="3">
        <v>-8.7947849999999994E-2</v>
      </c>
      <c r="V21" s="3">
        <v>-6.0231689999999997E-2</v>
      </c>
    </row>
    <row r="22" spans="1:22" x14ac:dyDescent="0.25">
      <c r="A22">
        <v>11767.62</v>
      </c>
      <c r="B22">
        <v>9116</v>
      </c>
      <c r="C22">
        <v>6744</v>
      </c>
      <c r="D22">
        <v>1</v>
      </c>
      <c r="E22">
        <v>1</v>
      </c>
      <c r="F22" t="s">
        <v>13</v>
      </c>
      <c r="G22" s="3">
        <v>-4.6828750000000002E-2</v>
      </c>
      <c r="H22">
        <v>-2.1588799999999998E-2</v>
      </c>
      <c r="I22" s="3">
        <v>-6.4400669999999993E-2</v>
      </c>
      <c r="J22">
        <v>-7.5354099999999993E-2</v>
      </c>
      <c r="K22" s="3">
        <v>-8.113861E-2</v>
      </c>
      <c r="L22" s="3">
        <v>-9.3883040000000001E-2</v>
      </c>
      <c r="M22">
        <v>-0.11760710000000001</v>
      </c>
      <c r="N22">
        <v>-0.1198525</v>
      </c>
      <c r="O22">
        <v>-0.1229391</v>
      </c>
      <c r="P22">
        <v>-0.11987879999999999</v>
      </c>
      <c r="Q22">
        <v>-0.11891790000000001</v>
      </c>
      <c r="R22">
        <v>-0.1029925</v>
      </c>
      <c r="S22" s="3">
        <v>-8.4631919999999999E-2</v>
      </c>
      <c r="T22" s="3">
        <v>-6.1164860000000001E-2</v>
      </c>
      <c r="U22" s="3">
        <v>-1.8620970000000001E-2</v>
      </c>
      <c r="V22" s="3">
        <v>3.7269120000000003E-2</v>
      </c>
    </row>
    <row r="23" spans="1:22" x14ac:dyDescent="0.25">
      <c r="A23" t="s">
        <v>246</v>
      </c>
    </row>
    <row r="24" spans="1:22" x14ac:dyDescent="0.25">
      <c r="A24">
        <v>11777.18</v>
      </c>
      <c r="B24">
        <v>9116</v>
      </c>
      <c r="C24">
        <v>6742</v>
      </c>
      <c r="D24">
        <v>1</v>
      </c>
      <c r="E24">
        <v>1</v>
      </c>
      <c r="F24" t="s">
        <v>13</v>
      </c>
      <c r="G24">
        <v>0.18514920000000001</v>
      </c>
      <c r="H24">
        <v>-0.24316979999999999</v>
      </c>
      <c r="I24">
        <v>-0.27520939999999999</v>
      </c>
      <c r="J24">
        <v>-0.26461030000000002</v>
      </c>
      <c r="K24">
        <v>-0.2478986</v>
      </c>
      <c r="L24">
        <v>-1.9499300000000001E-2</v>
      </c>
      <c r="M24">
        <v>-0.2368999</v>
      </c>
      <c r="N24">
        <v>-0.2105389</v>
      </c>
      <c r="O24">
        <v>-0.19802520000000001</v>
      </c>
      <c r="P24" s="3">
        <v>4.9361710000000003E-2</v>
      </c>
      <c r="Q24">
        <v>-0.16654969999999999</v>
      </c>
      <c r="R24">
        <v>-0.14372399999999999</v>
      </c>
      <c r="S24" s="3">
        <v>7.9050059999999991E-3</v>
      </c>
      <c r="T24">
        <v>-0.11038489999999999</v>
      </c>
      <c r="U24" s="3">
        <v>-8.5764409999999999E-2</v>
      </c>
      <c r="V24" s="3">
        <v>-5.9758659999999998E-2</v>
      </c>
    </row>
    <row r="25" spans="1:22" x14ac:dyDescent="0.25">
      <c r="A25">
        <v>11777.2</v>
      </c>
      <c r="B25">
        <v>9116</v>
      </c>
      <c r="C25">
        <v>6744</v>
      </c>
      <c r="D25">
        <v>1</v>
      </c>
      <c r="E25">
        <v>1</v>
      </c>
      <c r="F25" t="s">
        <v>13</v>
      </c>
      <c r="G25">
        <v>-4.6290400000000002E-2</v>
      </c>
      <c r="H25" s="3">
        <v>-1.5727519999999998E-2</v>
      </c>
      <c r="I25" s="3">
        <v>-6.4601420000000007E-2</v>
      </c>
      <c r="J25" s="3">
        <v>-7.6049329999999998E-2</v>
      </c>
      <c r="K25" s="3">
        <v>-8.5872169999999998E-2</v>
      </c>
      <c r="L25" s="3">
        <v>-9.9820610000000004E-2</v>
      </c>
      <c r="M25">
        <v>-0.1296263</v>
      </c>
      <c r="N25">
        <v>-0.13485430000000001</v>
      </c>
      <c r="O25">
        <v>-0.14124629999999999</v>
      </c>
      <c r="P25">
        <v>-0.1409416</v>
      </c>
      <c r="Q25">
        <v>-0.1437831</v>
      </c>
      <c r="R25">
        <v>-0.13400790000000001</v>
      </c>
      <c r="S25">
        <v>-0.1192284</v>
      </c>
      <c r="T25">
        <v>-0.1014838</v>
      </c>
      <c r="U25" s="3">
        <v>-6.833649E-2</v>
      </c>
      <c r="V25" s="3">
        <v>-2.064848E-2</v>
      </c>
    </row>
    <row r="26" spans="1:22" x14ac:dyDescent="0.25">
      <c r="A26" t="s">
        <v>247</v>
      </c>
    </row>
    <row r="27" spans="1:22" x14ac:dyDescent="0.25">
      <c r="A27">
        <v>11786.55</v>
      </c>
      <c r="B27">
        <v>9116</v>
      </c>
      <c r="C27">
        <v>6742</v>
      </c>
      <c r="D27">
        <v>1</v>
      </c>
      <c r="E27">
        <v>1</v>
      </c>
      <c r="F27" t="s">
        <v>13</v>
      </c>
      <c r="G27">
        <v>0.20753150000000001</v>
      </c>
      <c r="H27">
        <v>-0.16111900000000001</v>
      </c>
      <c r="I27">
        <v>-0.2121768</v>
      </c>
      <c r="J27">
        <v>-0.2199035</v>
      </c>
      <c r="K27">
        <v>-0.2131171</v>
      </c>
      <c r="L27" s="3">
        <v>-1.6547679999999999E-2</v>
      </c>
      <c r="M27">
        <v>-0.21550559999999999</v>
      </c>
      <c r="N27">
        <v>-0.19283059999999999</v>
      </c>
      <c r="O27">
        <v>-0.1840811</v>
      </c>
      <c r="P27" s="3">
        <v>4.9536709999999998E-2</v>
      </c>
      <c r="Q27">
        <v>-0.1576552</v>
      </c>
      <c r="R27">
        <v>-0.1374679</v>
      </c>
      <c r="S27" s="3">
        <v>8.2616809999999999E-3</v>
      </c>
      <c r="T27">
        <v>-0.107255</v>
      </c>
      <c r="U27" s="3">
        <v>-8.5214609999999996E-2</v>
      </c>
      <c r="V27" s="3">
        <v>-6.0122490000000001E-2</v>
      </c>
    </row>
    <row r="28" spans="1:22" x14ac:dyDescent="0.25">
      <c r="A28">
        <v>11786.57</v>
      </c>
      <c r="B28">
        <v>9116</v>
      </c>
      <c r="C28">
        <v>6744</v>
      </c>
      <c r="D28">
        <v>1</v>
      </c>
      <c r="E28">
        <v>1</v>
      </c>
      <c r="F28" t="s">
        <v>13</v>
      </c>
      <c r="G28" s="3">
        <v>-4.7021390000000003E-2</v>
      </c>
      <c r="H28" s="3">
        <v>-1.608849E-2</v>
      </c>
      <c r="I28" s="3">
        <v>-6.733227E-2</v>
      </c>
      <c r="J28" s="3">
        <v>-7.7788830000000003E-2</v>
      </c>
      <c r="K28" s="3">
        <v>-8.8232989999999997E-2</v>
      </c>
      <c r="L28">
        <v>-0.106111</v>
      </c>
      <c r="M28">
        <v>-0.1421771</v>
      </c>
      <c r="N28">
        <v>-0.1509356</v>
      </c>
      <c r="O28">
        <v>-0.1596236</v>
      </c>
      <c r="P28">
        <v>-0.1621804</v>
      </c>
      <c r="Q28">
        <v>-0.16952420000000001</v>
      </c>
      <c r="R28">
        <v>-0.1651812</v>
      </c>
      <c r="S28">
        <v>-0.154388</v>
      </c>
      <c r="T28">
        <v>-0.14435200000000001</v>
      </c>
      <c r="U28">
        <v>-0.12079429999999999</v>
      </c>
      <c r="V28" s="3">
        <v>-8.3415989999999995E-2</v>
      </c>
    </row>
    <row r="29" spans="1:22" x14ac:dyDescent="0.25">
      <c r="A29" t="s">
        <v>248</v>
      </c>
    </row>
    <row r="30" spans="1:22" x14ac:dyDescent="0.25">
      <c r="A30">
        <v>11796.42</v>
      </c>
      <c r="B30">
        <v>9116</v>
      </c>
      <c r="C30">
        <v>6742</v>
      </c>
      <c r="D30">
        <v>1</v>
      </c>
      <c r="E30">
        <v>1</v>
      </c>
      <c r="F30" t="s">
        <v>13</v>
      </c>
      <c r="G30">
        <v>0.2123179</v>
      </c>
      <c r="H30" s="3">
        <v>-8.7457660000000007E-2</v>
      </c>
      <c r="I30">
        <v>-0.15301319999999999</v>
      </c>
      <c r="J30">
        <v>-0.17605109999999999</v>
      </c>
      <c r="K30">
        <v>-0.177814</v>
      </c>
      <c r="L30" s="3">
        <v>-1.377106E-2</v>
      </c>
      <c r="M30">
        <v>-0.19253439999999999</v>
      </c>
      <c r="N30">
        <v>-0.17442849999999999</v>
      </c>
      <c r="O30">
        <v>-0.16841410000000001</v>
      </c>
      <c r="P30" s="3">
        <v>5.005884E-2</v>
      </c>
      <c r="Q30">
        <v>-0.14789769999999999</v>
      </c>
      <c r="R30">
        <v>-0.12965109999999999</v>
      </c>
      <c r="S30" s="3">
        <v>9.3321800000000007E-3</v>
      </c>
      <c r="T30" s="3">
        <v>-9.9428649999999993E-2</v>
      </c>
      <c r="U30" s="3">
        <v>-8.2848069999999996E-2</v>
      </c>
      <c r="V30" s="3">
        <v>-5.9212210000000001E-2</v>
      </c>
    </row>
    <row r="31" spans="1:22" x14ac:dyDescent="0.25">
      <c r="A31">
        <v>11796.44</v>
      </c>
      <c r="B31">
        <v>9116</v>
      </c>
      <c r="C31">
        <v>6744</v>
      </c>
      <c r="D31">
        <v>1</v>
      </c>
      <c r="E31">
        <v>1</v>
      </c>
      <c r="F31" t="s">
        <v>13</v>
      </c>
      <c r="G31" s="3">
        <v>-4.756403E-2</v>
      </c>
      <c r="H31" s="3">
        <v>-1.6677379999999999E-2</v>
      </c>
      <c r="I31" s="3">
        <v>-6.6955570000000006E-2</v>
      </c>
      <c r="J31" s="3">
        <v>-8.0394740000000006E-2</v>
      </c>
      <c r="K31" s="3">
        <v>-9.0582850000000006E-2</v>
      </c>
      <c r="L31">
        <v>-0.11186309999999999</v>
      </c>
      <c r="M31">
        <v>-0.15298990000000001</v>
      </c>
      <c r="N31">
        <v>-0.16552929999999999</v>
      </c>
      <c r="O31">
        <v>-0.1760592</v>
      </c>
      <c r="P31">
        <v>-0.18118999999999999</v>
      </c>
      <c r="Q31">
        <v>-0.19306329999999999</v>
      </c>
      <c r="R31">
        <v>-0.19506599999999999</v>
      </c>
      <c r="S31">
        <v>-0.1881757</v>
      </c>
      <c r="T31">
        <v>-0.1859365</v>
      </c>
      <c r="U31">
        <v>-0.17488770000000001</v>
      </c>
      <c r="V31">
        <v>-0.15012449999999999</v>
      </c>
    </row>
    <row r="32" spans="1:22" x14ac:dyDescent="0.25">
      <c r="A32" t="s">
        <v>249</v>
      </c>
    </row>
    <row r="33" spans="1:22" x14ac:dyDescent="0.25">
      <c r="A33">
        <v>11805.54</v>
      </c>
      <c r="B33">
        <v>9116</v>
      </c>
      <c r="C33">
        <v>6742</v>
      </c>
      <c r="D33">
        <v>1</v>
      </c>
      <c r="E33">
        <v>1</v>
      </c>
      <c r="F33" t="s">
        <v>13</v>
      </c>
      <c r="G33">
        <v>0.20521590000000001</v>
      </c>
      <c r="H33" s="3">
        <v>-1.7777439999999999E-2</v>
      </c>
      <c r="I33" s="3">
        <v>-9.3681340000000002E-2</v>
      </c>
      <c r="J33">
        <v>-0.13082460000000001</v>
      </c>
      <c r="K33">
        <v>-0.1413064</v>
      </c>
      <c r="L33" s="3">
        <v>-1.099205E-2</v>
      </c>
      <c r="M33">
        <v>-0.16668369999999999</v>
      </c>
      <c r="N33">
        <v>-0.15320919999999999</v>
      </c>
      <c r="O33">
        <v>-0.1507349</v>
      </c>
      <c r="P33" s="3">
        <v>5.0930019999999999E-2</v>
      </c>
      <c r="Q33">
        <v>-0.1364465</v>
      </c>
      <c r="R33">
        <v>-0.1199765</v>
      </c>
      <c r="S33" s="3">
        <v>1.0223390000000001E-2</v>
      </c>
      <c r="T33" s="3">
        <v>-9.5776559999999997E-2</v>
      </c>
      <c r="U33" s="3">
        <v>-7.8064439999999999E-2</v>
      </c>
      <c r="V33" s="3">
        <v>-5.786848E-2</v>
      </c>
    </row>
    <row r="34" spans="1:22" x14ac:dyDescent="0.25">
      <c r="A34">
        <v>11805.56</v>
      </c>
      <c r="B34">
        <v>9116</v>
      </c>
      <c r="C34">
        <v>6744</v>
      </c>
      <c r="D34">
        <v>1</v>
      </c>
      <c r="E34">
        <v>1</v>
      </c>
      <c r="F34" t="s">
        <v>13</v>
      </c>
      <c r="G34" s="3">
        <v>-4.7929289999999999E-2</v>
      </c>
      <c r="H34" s="3">
        <v>-1.745176E-2</v>
      </c>
      <c r="I34" s="3">
        <v>-6.4588549999999995E-2</v>
      </c>
      <c r="J34" s="3">
        <v>-7.9702850000000006E-2</v>
      </c>
      <c r="K34" s="3">
        <v>-9.384584E-2</v>
      </c>
      <c r="L34">
        <v>-0.11976340000000001</v>
      </c>
      <c r="M34">
        <v>-0.1632786</v>
      </c>
      <c r="N34">
        <v>-0.17887069999999999</v>
      </c>
      <c r="O34">
        <v>-0.19226550000000001</v>
      </c>
      <c r="P34">
        <v>-0.20039560000000001</v>
      </c>
      <c r="Q34">
        <v>-0.21679309999999999</v>
      </c>
      <c r="R34">
        <v>-0.2260566</v>
      </c>
      <c r="S34">
        <v>-0.22435050000000001</v>
      </c>
      <c r="T34">
        <v>-0.2302613</v>
      </c>
      <c r="U34">
        <v>-0.23447899999999999</v>
      </c>
      <c r="V34">
        <v>-0.2277489</v>
      </c>
    </row>
    <row r="35" spans="1:22" x14ac:dyDescent="0.25">
      <c r="A35" t="s">
        <v>250</v>
      </c>
    </row>
    <row r="36" spans="1:22" x14ac:dyDescent="0.25">
      <c r="A36">
        <v>11814.96</v>
      </c>
      <c r="B36">
        <v>9116</v>
      </c>
      <c r="C36">
        <v>6742</v>
      </c>
      <c r="D36">
        <v>1</v>
      </c>
      <c r="E36">
        <v>1</v>
      </c>
      <c r="F36" t="s">
        <v>13</v>
      </c>
      <c r="G36">
        <v>0.17892649999999999</v>
      </c>
      <c r="H36" s="3">
        <v>4.4933319999999999E-2</v>
      </c>
      <c r="I36" s="3">
        <v>-3.6263940000000001E-2</v>
      </c>
      <c r="J36" s="3">
        <v>-8.4902759999999994E-2</v>
      </c>
      <c r="K36">
        <v>-0.1030741</v>
      </c>
      <c r="L36" s="3">
        <v>-8.3870890000000003E-3</v>
      </c>
      <c r="M36">
        <v>-0.13909669999999999</v>
      </c>
      <c r="N36">
        <v>-0.13023760000000001</v>
      </c>
      <c r="O36">
        <v>-0.1306882</v>
      </c>
      <c r="P36" s="3">
        <v>5.0755979999999999E-2</v>
      </c>
      <c r="Q36">
        <v>-0.1228433</v>
      </c>
      <c r="R36">
        <v>-0.1090279</v>
      </c>
      <c r="S36" s="3">
        <v>1.093674E-2</v>
      </c>
      <c r="T36" s="3">
        <v>-9.0385439999999997E-2</v>
      </c>
      <c r="U36" s="3">
        <v>-7.3481080000000004E-2</v>
      </c>
      <c r="V36" s="3">
        <v>-5.6413650000000003E-2</v>
      </c>
    </row>
    <row r="37" spans="1:22" x14ac:dyDescent="0.25">
      <c r="A37">
        <v>11814.98</v>
      </c>
      <c r="B37">
        <v>9116</v>
      </c>
      <c r="C37">
        <v>6744</v>
      </c>
      <c r="D37">
        <v>1</v>
      </c>
      <c r="E37">
        <v>1</v>
      </c>
      <c r="F37" t="s">
        <v>13</v>
      </c>
      <c r="G37" s="3">
        <v>-4.7929289999999999E-2</v>
      </c>
      <c r="H37" s="3">
        <v>-1.8533230000000001E-2</v>
      </c>
      <c r="I37" s="3">
        <v>-6.2039850000000001E-2</v>
      </c>
      <c r="J37" s="3">
        <v>-7.9007149999999998E-2</v>
      </c>
      <c r="K37" s="3">
        <v>-9.475422E-2</v>
      </c>
      <c r="L37">
        <v>-0.1229982</v>
      </c>
      <c r="M37">
        <v>-0.17234179999999999</v>
      </c>
      <c r="N37">
        <v>-0.19147829999999999</v>
      </c>
      <c r="O37">
        <v>-0.20667740000000001</v>
      </c>
      <c r="P37">
        <v>-0.21849250000000001</v>
      </c>
      <c r="Q37">
        <v>-0.23890400000000001</v>
      </c>
      <c r="R37">
        <v>-0.255774</v>
      </c>
      <c r="S37">
        <v>-0.25967879999999999</v>
      </c>
      <c r="T37">
        <v>-0.2756729</v>
      </c>
      <c r="U37">
        <v>-0.29736849999999998</v>
      </c>
      <c r="V37">
        <v>-0.31074000000000002</v>
      </c>
    </row>
    <row r="38" spans="1:22" x14ac:dyDescent="0.25">
      <c r="A38" t="s">
        <v>251</v>
      </c>
    </row>
    <row r="39" spans="1:22" x14ac:dyDescent="0.25">
      <c r="A39">
        <v>11824.5</v>
      </c>
      <c r="B39">
        <v>9116</v>
      </c>
      <c r="C39">
        <v>6742</v>
      </c>
      <c r="D39">
        <v>1</v>
      </c>
      <c r="E39">
        <v>1</v>
      </c>
      <c r="F39" t="s">
        <v>13</v>
      </c>
      <c r="G39">
        <v>0.1320472</v>
      </c>
      <c r="H39">
        <v>9.65395E-2</v>
      </c>
      <c r="I39" s="3">
        <v>1.4818670000000001E-2</v>
      </c>
      <c r="J39">
        <v>-4.2586800000000001E-2</v>
      </c>
      <c r="K39" s="3">
        <v>-6.759453E-2</v>
      </c>
      <c r="L39" s="3">
        <v>-5.089283E-3</v>
      </c>
      <c r="M39">
        <v>-0.11294269999999999</v>
      </c>
      <c r="N39">
        <v>-0.10796260000000001</v>
      </c>
      <c r="O39">
        <v>-0.1117139</v>
      </c>
      <c r="P39" s="3">
        <v>5.1974770000000003E-2</v>
      </c>
      <c r="Q39">
        <v>-0.1098933</v>
      </c>
      <c r="R39" s="3">
        <v>-9.8729129999999998E-2</v>
      </c>
      <c r="S39" s="3">
        <v>1.129055E-2</v>
      </c>
      <c r="T39" s="3">
        <v>-8.3081249999999995E-2</v>
      </c>
      <c r="U39" s="3">
        <v>-6.9815160000000001E-2</v>
      </c>
      <c r="V39" s="3">
        <v>-5.5032730000000002E-2</v>
      </c>
    </row>
    <row r="40" spans="1:22" x14ac:dyDescent="0.25">
      <c r="A40">
        <v>11824.52</v>
      </c>
      <c r="B40">
        <v>9116</v>
      </c>
      <c r="C40">
        <v>6744</v>
      </c>
      <c r="D40">
        <v>1</v>
      </c>
      <c r="E40">
        <v>1</v>
      </c>
      <c r="F40" t="s">
        <v>13</v>
      </c>
      <c r="G40" s="3">
        <v>-4.8659319999999999E-2</v>
      </c>
      <c r="H40" s="3">
        <v>-2.0643229999999999E-2</v>
      </c>
      <c r="I40" s="3">
        <v>-5.9309960000000002E-2</v>
      </c>
      <c r="J40" s="3">
        <v>-7.7440739999999994E-2</v>
      </c>
      <c r="K40" s="3">
        <v>-9.5304970000000003E-2</v>
      </c>
      <c r="L40">
        <v>-0.12497659999999999</v>
      </c>
      <c r="M40">
        <v>-0.18140510000000001</v>
      </c>
      <c r="N40">
        <v>-0.20538519999999999</v>
      </c>
      <c r="O40">
        <v>-0.22215270000000001</v>
      </c>
      <c r="P40">
        <v>-0.23713590000000001</v>
      </c>
      <c r="Q40">
        <v>-0.26247219999999999</v>
      </c>
      <c r="R40">
        <v>-0.28694770000000003</v>
      </c>
      <c r="S40">
        <v>-0.29659459999999999</v>
      </c>
      <c r="T40">
        <v>-0.32327990000000001</v>
      </c>
      <c r="U40">
        <v>-0.3630023</v>
      </c>
      <c r="V40">
        <v>-0.40141529999999997</v>
      </c>
    </row>
    <row r="41" spans="1:22" x14ac:dyDescent="0.25">
      <c r="A41" t="s">
        <v>252</v>
      </c>
    </row>
    <row r="42" spans="1:22" x14ac:dyDescent="0.25">
      <c r="A42">
        <v>11834.38</v>
      </c>
      <c r="B42">
        <v>9116</v>
      </c>
      <c r="C42">
        <v>6742</v>
      </c>
      <c r="D42">
        <v>1</v>
      </c>
      <c r="E42">
        <v>1</v>
      </c>
      <c r="F42" t="s">
        <v>13</v>
      </c>
      <c r="G42" s="3">
        <v>6.1889649999999997E-2</v>
      </c>
      <c r="H42">
        <v>0.1374726</v>
      </c>
      <c r="I42" s="3">
        <v>5.958509E-2</v>
      </c>
      <c r="J42" s="3">
        <v>-3.3898349999999999E-3</v>
      </c>
      <c r="K42" s="3">
        <v>-3.3832550000000003E-2</v>
      </c>
      <c r="L42" s="3">
        <v>-2.9940610000000001E-3</v>
      </c>
      <c r="M42" s="3">
        <v>-8.6733340000000006E-2</v>
      </c>
      <c r="N42" s="3">
        <v>-8.5873130000000006E-2</v>
      </c>
      <c r="O42" s="3">
        <v>-9.2638490000000004E-2</v>
      </c>
      <c r="P42" s="3">
        <v>5.1993850000000001E-2</v>
      </c>
      <c r="Q42" s="3">
        <v>-9.6882819999999994E-2</v>
      </c>
      <c r="R42" s="3">
        <v>-8.8654040000000003E-2</v>
      </c>
      <c r="S42" s="3">
        <v>1.111269E-2</v>
      </c>
      <c r="T42" s="3">
        <v>-7.7168459999999994E-2</v>
      </c>
      <c r="U42" s="3">
        <v>-6.5965179999999998E-2</v>
      </c>
      <c r="V42">
        <v>-5.1506999999999997E-2</v>
      </c>
    </row>
    <row r="43" spans="1:22" x14ac:dyDescent="0.25">
      <c r="A43">
        <v>11834.41</v>
      </c>
      <c r="B43">
        <v>9116</v>
      </c>
      <c r="C43">
        <v>6744</v>
      </c>
      <c r="D43">
        <v>1</v>
      </c>
      <c r="E43">
        <v>1</v>
      </c>
      <c r="F43" t="s">
        <v>13</v>
      </c>
      <c r="G43">
        <v>-4.8476699999999998E-2</v>
      </c>
      <c r="H43" s="3">
        <v>-2.3936269999999999E-2</v>
      </c>
      <c r="I43" s="3">
        <v>-5.6753640000000001E-2</v>
      </c>
      <c r="J43" s="3">
        <v>-7.5874810000000001E-2</v>
      </c>
      <c r="K43" s="3">
        <v>-9.5849989999999996E-2</v>
      </c>
      <c r="L43">
        <v>-0.1265936</v>
      </c>
      <c r="M43">
        <v>-0.19429540000000001</v>
      </c>
      <c r="N43">
        <v>-0.21578549999999999</v>
      </c>
      <c r="O43">
        <v>-0.2406993</v>
      </c>
      <c r="P43">
        <v>-0.25744820000000002</v>
      </c>
      <c r="Q43">
        <v>-0.28585339999999998</v>
      </c>
      <c r="R43">
        <v>-0.31846190000000002</v>
      </c>
      <c r="S43">
        <v>-0.33474350000000003</v>
      </c>
      <c r="T43">
        <v>-0.37195869999999998</v>
      </c>
      <c r="U43">
        <v>-0.43230439999999998</v>
      </c>
      <c r="V43">
        <v>-0.49728159999999999</v>
      </c>
    </row>
    <row r="44" spans="1:22" x14ac:dyDescent="0.25">
      <c r="A44" t="s">
        <v>253</v>
      </c>
    </row>
    <row r="45" spans="1:22" x14ac:dyDescent="0.25">
      <c r="A45">
        <v>11843.71</v>
      </c>
      <c r="B45">
        <v>9116</v>
      </c>
      <c r="C45">
        <v>6742</v>
      </c>
      <c r="D45">
        <v>1</v>
      </c>
      <c r="E45">
        <v>1</v>
      </c>
      <c r="F45" t="s">
        <v>13</v>
      </c>
      <c r="G45" s="3">
        <v>-3.0269620000000001E-2</v>
      </c>
      <c r="H45">
        <v>0.16725209999999999</v>
      </c>
      <c r="I45" s="3">
        <v>9.6936229999999998E-2</v>
      </c>
      <c r="J45" s="3">
        <v>3.1187530000000002E-2</v>
      </c>
      <c r="K45" s="3">
        <v>-2.9978750000000001E-3</v>
      </c>
      <c r="L45" s="3">
        <v>-1.6045569999999999E-3</v>
      </c>
      <c r="M45" s="3">
        <v>-6.1971659999999998E-2</v>
      </c>
      <c r="N45" s="3">
        <v>-6.5353389999999997E-2</v>
      </c>
      <c r="O45" s="3">
        <v>-7.4680330000000003E-2</v>
      </c>
      <c r="P45" s="3">
        <v>5.2342409999999999E-2</v>
      </c>
      <c r="Q45" s="3">
        <v>-8.380079E-2</v>
      </c>
      <c r="R45" s="3">
        <v>-7.8225610000000001E-2</v>
      </c>
      <c r="S45" s="3">
        <v>1.236105E-2</v>
      </c>
      <c r="T45" s="3">
        <v>-7.0211410000000002E-2</v>
      </c>
      <c r="U45" s="3">
        <v>-5.8814529999999997E-2</v>
      </c>
      <c r="V45" s="3">
        <v>-5.0415990000000001E-2</v>
      </c>
    </row>
    <row r="46" spans="1:22" x14ac:dyDescent="0.25">
      <c r="A46">
        <v>11843.72</v>
      </c>
      <c r="B46">
        <v>9116</v>
      </c>
      <c r="C46">
        <v>6744</v>
      </c>
      <c r="D46">
        <v>1</v>
      </c>
      <c r="E46">
        <v>1</v>
      </c>
      <c r="F46" t="s">
        <v>13</v>
      </c>
      <c r="G46" s="3">
        <v>-4.5007709999999999E-2</v>
      </c>
      <c r="H46" s="3">
        <v>-2.898216E-2</v>
      </c>
      <c r="I46" s="3">
        <v>-5.7300089999999998E-2</v>
      </c>
      <c r="J46" s="3">
        <v>-7.6396469999999994E-2</v>
      </c>
      <c r="K46" s="3">
        <v>-9.8210809999999996E-2</v>
      </c>
      <c r="L46">
        <v>-0.12893009999999999</v>
      </c>
      <c r="M46">
        <v>-0.20457890000000001</v>
      </c>
      <c r="N46">
        <v>-0.23515269999999999</v>
      </c>
      <c r="O46">
        <v>-0.25781199999999999</v>
      </c>
      <c r="P46">
        <v>-0.2748041</v>
      </c>
      <c r="Q46">
        <v>-0.31611630000000002</v>
      </c>
      <c r="R46">
        <v>-0.3528848</v>
      </c>
      <c r="S46">
        <v>-0.37515880000000001</v>
      </c>
      <c r="T46">
        <v>-0.42428779999999999</v>
      </c>
      <c r="U46">
        <v>-0.5041561</v>
      </c>
      <c r="V46">
        <v>-0.60136219999999996</v>
      </c>
    </row>
    <row r="47" spans="1:22" x14ac:dyDescent="0.25">
      <c r="A47" t="s">
        <v>254</v>
      </c>
    </row>
    <row r="48" spans="1:22" x14ac:dyDescent="0.25">
      <c r="A48">
        <v>11853.1</v>
      </c>
      <c r="B48">
        <v>9116</v>
      </c>
      <c r="C48">
        <v>6742</v>
      </c>
      <c r="D48">
        <v>1</v>
      </c>
      <c r="E48">
        <v>1</v>
      </c>
      <c r="F48" t="s">
        <v>13</v>
      </c>
      <c r="G48">
        <v>-0.14353750000000001</v>
      </c>
      <c r="H48">
        <v>0.1866746</v>
      </c>
      <c r="I48">
        <v>0.1286621</v>
      </c>
      <c r="J48" s="3">
        <v>6.3212870000000004E-2</v>
      </c>
      <c r="K48" s="3">
        <v>2.628088E-2</v>
      </c>
      <c r="L48" s="3">
        <v>-4.1007999999999998E-5</v>
      </c>
      <c r="M48" s="3">
        <v>-3.8337709999999997E-2</v>
      </c>
      <c r="N48" s="3">
        <v>-4.5173169999999999E-2</v>
      </c>
      <c r="O48" s="3">
        <v>-5.6139950000000001E-2</v>
      </c>
      <c r="P48" s="3">
        <v>5.2690510000000003E-2</v>
      </c>
      <c r="Q48" s="3">
        <v>-7.0613380000000003E-2</v>
      </c>
      <c r="R48" s="3">
        <v>-6.7113880000000001E-2</v>
      </c>
      <c r="S48" s="3">
        <v>1.3254169999999999E-2</v>
      </c>
      <c r="T48" s="3">
        <v>-6.186295E-2</v>
      </c>
      <c r="U48" s="3">
        <v>-5.1848890000000002E-2</v>
      </c>
      <c r="V48" s="3">
        <v>-4.3218609999999998E-2</v>
      </c>
    </row>
    <row r="49" spans="1:22" x14ac:dyDescent="0.25">
      <c r="A49">
        <v>11853.12</v>
      </c>
      <c r="B49">
        <v>9116</v>
      </c>
      <c r="C49">
        <v>6744</v>
      </c>
      <c r="D49">
        <v>1</v>
      </c>
      <c r="E49">
        <v>1</v>
      </c>
      <c r="F49" t="s">
        <v>13</v>
      </c>
      <c r="G49" s="3">
        <v>-3.8982389999999999E-2</v>
      </c>
      <c r="H49" s="3">
        <v>-3.2531259999999999E-2</v>
      </c>
      <c r="I49" s="3">
        <v>-5.8404449999999997E-2</v>
      </c>
      <c r="J49" s="3">
        <v>-7.7093120000000001E-2</v>
      </c>
      <c r="K49">
        <v>-0.100215</v>
      </c>
      <c r="L49">
        <v>-0.13144639999999999</v>
      </c>
      <c r="M49">
        <v>-0.21347140000000001</v>
      </c>
      <c r="N49">
        <v>-0.24812980000000001</v>
      </c>
      <c r="O49">
        <v>-0.27496959999999998</v>
      </c>
      <c r="P49">
        <v>-0.29991770000000001</v>
      </c>
      <c r="Q49">
        <v>-0.34312680000000001</v>
      </c>
      <c r="R49">
        <v>-0.37988810000000001</v>
      </c>
      <c r="S49">
        <v>-0.42258790000000002</v>
      </c>
      <c r="T49">
        <v>-0.48373890000000003</v>
      </c>
      <c r="U49">
        <v>-0.57746889999999995</v>
      </c>
      <c r="V49">
        <v>-0.7039552</v>
      </c>
    </row>
    <row r="50" spans="1:22" x14ac:dyDescent="0.25">
      <c r="A50" t="s">
        <v>255</v>
      </c>
    </row>
    <row r="51" spans="1:22" x14ac:dyDescent="0.25">
      <c r="A51">
        <v>11862.49</v>
      </c>
      <c r="B51">
        <v>9116</v>
      </c>
      <c r="C51">
        <v>6742</v>
      </c>
      <c r="D51">
        <v>1</v>
      </c>
      <c r="E51">
        <v>1</v>
      </c>
      <c r="F51" t="s">
        <v>13</v>
      </c>
      <c r="G51">
        <v>-0.26103880000000002</v>
      </c>
      <c r="H51">
        <v>0.19416</v>
      </c>
      <c r="I51">
        <v>0.1515927</v>
      </c>
      <c r="J51" s="3">
        <v>8.8156219999999993E-2</v>
      </c>
      <c r="K51" s="3">
        <v>4.9886229999999997E-2</v>
      </c>
      <c r="L51" s="3">
        <v>1.507282E-3</v>
      </c>
      <c r="M51">
        <v>-1.8492700000000001E-2</v>
      </c>
      <c r="N51" s="3">
        <v>-2.7983669999999999E-2</v>
      </c>
      <c r="O51" s="3">
        <v>-4.0990350000000002E-2</v>
      </c>
      <c r="P51" s="3">
        <v>5.319405E-2</v>
      </c>
      <c r="Q51">
        <v>-5.9632299999999999E-2</v>
      </c>
      <c r="R51" s="3">
        <v>-5.8428760000000003E-2</v>
      </c>
      <c r="S51" s="3">
        <v>1.378822E-2</v>
      </c>
      <c r="T51" s="3">
        <v>-5.6993009999999997E-2</v>
      </c>
      <c r="U51" s="3">
        <v>-4.8916340000000003E-2</v>
      </c>
      <c r="V51" s="3">
        <v>-4.1044240000000003E-2</v>
      </c>
    </row>
    <row r="52" spans="1:22" x14ac:dyDescent="0.25">
      <c r="A52">
        <v>11862.52</v>
      </c>
      <c r="B52">
        <v>9116</v>
      </c>
      <c r="C52">
        <v>6744</v>
      </c>
      <c r="D52">
        <v>1</v>
      </c>
      <c r="E52">
        <v>1</v>
      </c>
      <c r="F52" t="s">
        <v>13</v>
      </c>
      <c r="G52" s="3">
        <v>-3.6973480000000003E-2</v>
      </c>
      <c r="H52" s="3">
        <v>-3.3432480000000001E-2</v>
      </c>
      <c r="I52" s="3">
        <v>-5.5303570000000003E-2</v>
      </c>
      <c r="J52" s="3">
        <v>-7.3962689999999998E-2</v>
      </c>
      <c r="K52" s="3">
        <v>-9.8937029999999995E-2</v>
      </c>
      <c r="L52">
        <v>-0.1310868</v>
      </c>
      <c r="M52">
        <v>-0.21974469999999999</v>
      </c>
      <c r="N52">
        <v>-0.2578163</v>
      </c>
      <c r="O52">
        <v>-0.2873869</v>
      </c>
      <c r="P52">
        <v>-0.31672240000000002</v>
      </c>
      <c r="Q52">
        <v>-0.36449340000000002</v>
      </c>
      <c r="R52">
        <v>-0.41952800000000001</v>
      </c>
      <c r="S52">
        <v>-0.44313760000000002</v>
      </c>
      <c r="T52">
        <v>-0.55592200000000003</v>
      </c>
      <c r="U52">
        <v>-0.64948130000000004</v>
      </c>
      <c r="V52">
        <v>-0.80336620000000003</v>
      </c>
    </row>
    <row r="53" spans="1:22" x14ac:dyDescent="0.25">
      <c r="A53" t="s">
        <v>256</v>
      </c>
    </row>
    <row r="54" spans="1:22" x14ac:dyDescent="0.25">
      <c r="A54">
        <v>11872.02</v>
      </c>
      <c r="B54">
        <v>9116</v>
      </c>
      <c r="C54">
        <v>6742</v>
      </c>
      <c r="D54">
        <v>1</v>
      </c>
      <c r="E54">
        <v>1</v>
      </c>
      <c r="F54" t="s">
        <v>13</v>
      </c>
      <c r="G54">
        <v>-0.38223980000000002</v>
      </c>
      <c r="H54">
        <v>0.19380810000000001</v>
      </c>
      <c r="I54">
        <v>0.1671</v>
      </c>
      <c r="J54">
        <v>0.1084595</v>
      </c>
      <c r="K54" s="3">
        <v>6.9009780000000007E-2</v>
      </c>
      <c r="L54" s="3">
        <v>2.72274E-3</v>
      </c>
      <c r="M54" s="3">
        <v>-9.8085399999999997E-4</v>
      </c>
      <c r="N54" s="3">
        <v>-1.2899880000000001E-2</v>
      </c>
      <c r="O54" s="3">
        <v>-2.7739050000000001E-2</v>
      </c>
      <c r="P54" s="3">
        <v>5.319405E-2</v>
      </c>
      <c r="Q54" s="3">
        <v>-5.0038340000000001E-2</v>
      </c>
      <c r="R54" s="3">
        <v>-5.1128859999999998E-2</v>
      </c>
      <c r="S54" s="3">
        <v>1.485825E-2</v>
      </c>
      <c r="T54" s="3">
        <v>-5.3340440000000003E-2</v>
      </c>
      <c r="U54">
        <v>-4.6899799999999998E-2</v>
      </c>
      <c r="V54" s="3">
        <v>-4.1408540000000001E-2</v>
      </c>
    </row>
    <row r="55" spans="1:22" x14ac:dyDescent="0.25">
      <c r="A55">
        <v>11872.04</v>
      </c>
      <c r="B55">
        <v>9116</v>
      </c>
      <c r="C55">
        <v>6744</v>
      </c>
      <c r="D55">
        <v>1</v>
      </c>
      <c r="E55">
        <v>1</v>
      </c>
      <c r="F55" t="s">
        <v>13</v>
      </c>
      <c r="G55" s="3">
        <v>-4.0259839999999998E-2</v>
      </c>
      <c r="H55" s="3">
        <v>-3.6136149999999999E-2</v>
      </c>
      <c r="I55" s="3">
        <v>-5.3300859999999999E-2</v>
      </c>
      <c r="J55" s="3">
        <v>-7.0657730000000002E-2</v>
      </c>
      <c r="K55" s="3">
        <v>-9.6031190000000002E-2</v>
      </c>
      <c r="L55">
        <v>-0.12875030000000001</v>
      </c>
      <c r="M55">
        <v>-0.22305630000000001</v>
      </c>
      <c r="N55">
        <v>-0.26548959999999999</v>
      </c>
      <c r="O55">
        <v>-0.29675289999999999</v>
      </c>
      <c r="P55">
        <v>-0.328907</v>
      </c>
      <c r="Q55">
        <v>-0.38170670000000001</v>
      </c>
      <c r="R55">
        <v>-0.44506790000000002</v>
      </c>
      <c r="S55">
        <v>-0.48038429999999999</v>
      </c>
      <c r="T55">
        <v>-0.51417729999999995</v>
      </c>
      <c r="U55">
        <v>-0.73211910000000002</v>
      </c>
      <c r="V55">
        <v>-0.88948249999999995</v>
      </c>
    </row>
    <row r="56" spans="1:22" x14ac:dyDescent="0.25">
      <c r="A56" t="s">
        <v>257</v>
      </c>
    </row>
    <row r="57" spans="1:22" x14ac:dyDescent="0.25">
      <c r="A57">
        <v>11881.45</v>
      </c>
      <c r="B57">
        <v>9116</v>
      </c>
      <c r="C57">
        <v>6742</v>
      </c>
      <c r="D57">
        <v>1</v>
      </c>
      <c r="E57">
        <v>1</v>
      </c>
      <c r="F57" t="s">
        <v>13</v>
      </c>
      <c r="G57">
        <v>-0.51777890000000004</v>
      </c>
      <c r="H57">
        <v>0.18788389999999999</v>
      </c>
      <c r="I57">
        <v>0.17723179999999999</v>
      </c>
      <c r="J57">
        <v>0.12565989999999999</v>
      </c>
      <c r="K57" s="3">
        <v>8.692598E-2</v>
      </c>
      <c r="L57" s="3">
        <v>3.7784580000000002E-3</v>
      </c>
      <c r="M57" s="3">
        <v>1.515388E-2</v>
      </c>
      <c r="N57" s="3">
        <v>1.12772E-3</v>
      </c>
      <c r="O57" s="3">
        <v>-1.5027520000000001E-2</v>
      </c>
      <c r="P57" s="3">
        <v>5.3019520000000001E-2</v>
      </c>
      <c r="Q57">
        <v>-4.0744299999999997E-2</v>
      </c>
      <c r="R57" s="3">
        <v>-4.4703479999999997E-2</v>
      </c>
      <c r="S57" s="3">
        <v>1.5214439999999999E-2</v>
      </c>
      <c r="T57" s="3">
        <v>-5.0209520000000001E-2</v>
      </c>
      <c r="U57" s="3">
        <v>-4.5799729999999997E-2</v>
      </c>
      <c r="V57" s="3">
        <v>-4.3225769999999997E-2</v>
      </c>
    </row>
    <row r="58" spans="1:22" x14ac:dyDescent="0.25">
      <c r="A58">
        <v>11881.47</v>
      </c>
      <c r="B58">
        <v>9116</v>
      </c>
      <c r="C58">
        <v>6744</v>
      </c>
      <c r="D58">
        <v>1</v>
      </c>
      <c r="E58">
        <v>1</v>
      </c>
      <c r="F58" t="s">
        <v>13</v>
      </c>
      <c r="G58" s="3">
        <v>-4.464245E-2</v>
      </c>
      <c r="H58" s="3">
        <v>-4.0460589999999998E-2</v>
      </c>
      <c r="I58" s="3">
        <v>-5.3670879999999997E-2</v>
      </c>
      <c r="J58" s="3">
        <v>-6.9439890000000004E-2</v>
      </c>
      <c r="K58" s="3">
        <v>-9.4760419999999998E-2</v>
      </c>
      <c r="L58">
        <v>-0.12713379999999999</v>
      </c>
      <c r="M58">
        <v>-0.22828480000000001</v>
      </c>
      <c r="N58">
        <v>-0.27353100000000002</v>
      </c>
      <c r="O58">
        <v>-0.30682799999999999</v>
      </c>
      <c r="P58">
        <v>-0.34258650000000002</v>
      </c>
      <c r="Q58">
        <v>-0.39983269999999999</v>
      </c>
      <c r="R58">
        <v>-0.47172639999999999</v>
      </c>
      <c r="S58">
        <v>-0.51464750000000004</v>
      </c>
      <c r="T58">
        <v>-0.57084990000000002</v>
      </c>
      <c r="U58">
        <v>-0.81731750000000003</v>
      </c>
      <c r="V58">
        <v>-0.97646619999999995</v>
      </c>
    </row>
    <row r="59" spans="1:22" x14ac:dyDescent="0.25">
      <c r="A59" t="s">
        <v>258</v>
      </c>
    </row>
    <row r="60" spans="1:22" x14ac:dyDescent="0.25">
      <c r="A60">
        <v>11891.07</v>
      </c>
      <c r="B60">
        <v>9116</v>
      </c>
      <c r="C60">
        <v>6742</v>
      </c>
      <c r="D60">
        <v>1</v>
      </c>
      <c r="E60">
        <v>1</v>
      </c>
      <c r="F60" t="s">
        <v>13</v>
      </c>
      <c r="G60">
        <v>-0.67457820000000002</v>
      </c>
      <c r="H60">
        <v>0.17979239999999999</v>
      </c>
      <c r="I60">
        <v>0.18646960000000001</v>
      </c>
      <c r="J60">
        <v>0.14253850000000001</v>
      </c>
      <c r="K60">
        <v>0.10484980000000001</v>
      </c>
      <c r="L60" s="3">
        <v>5.5146220000000003E-3</v>
      </c>
      <c r="M60" s="3">
        <v>3.1188960000000002E-2</v>
      </c>
      <c r="N60" s="3">
        <v>1.481009E-2</v>
      </c>
      <c r="O60" s="3">
        <v>-2.7527810000000002E-3</v>
      </c>
      <c r="P60" s="3">
        <v>5.3909779999999997E-2</v>
      </c>
      <c r="Q60" s="3">
        <v>-3.2031539999999997E-2</v>
      </c>
      <c r="R60" s="3">
        <v>-3.8050649999999998E-2</v>
      </c>
      <c r="S60" s="3">
        <v>1.557302E-2</v>
      </c>
      <c r="T60" s="3">
        <v>-4.7253129999999997E-2</v>
      </c>
      <c r="U60" s="3">
        <v>-4.4700620000000003E-2</v>
      </c>
      <c r="V60" s="3">
        <v>-4.4063089999999999E-2</v>
      </c>
    </row>
    <row r="61" spans="1:22" x14ac:dyDescent="0.25">
      <c r="A61">
        <v>11891.09</v>
      </c>
      <c r="B61">
        <v>9116</v>
      </c>
      <c r="C61">
        <v>6744</v>
      </c>
      <c r="D61">
        <v>1</v>
      </c>
      <c r="E61">
        <v>1</v>
      </c>
      <c r="F61" t="s">
        <v>13</v>
      </c>
      <c r="G61" s="3">
        <v>-4.9207210000000001E-2</v>
      </c>
      <c r="H61" s="3">
        <v>-4.676056E-2</v>
      </c>
      <c r="I61" s="3">
        <v>-5.5127620000000002E-2</v>
      </c>
      <c r="J61" s="3">
        <v>-6.8221089999999998E-2</v>
      </c>
      <c r="K61" s="3">
        <v>-9.2943670000000006E-2</v>
      </c>
      <c r="L61">
        <v>-0.1256948</v>
      </c>
      <c r="M61">
        <v>-0.23403599999999999</v>
      </c>
      <c r="N61">
        <v>-0.2833986</v>
      </c>
      <c r="O61">
        <v>-0.32014799999999999</v>
      </c>
      <c r="P61">
        <v>-0.35937599999999997</v>
      </c>
      <c r="Q61">
        <v>-0.42191980000000001</v>
      </c>
      <c r="R61">
        <v>-0.50307179999999996</v>
      </c>
      <c r="S61">
        <v>-0.55452920000000006</v>
      </c>
      <c r="T61">
        <v>-0.62721780000000005</v>
      </c>
      <c r="U61">
        <v>-0.93072699999999997</v>
      </c>
      <c r="V61">
        <v>-1.0743769999999999</v>
      </c>
    </row>
    <row r="62" spans="1:22" x14ac:dyDescent="0.25">
      <c r="A62" t="s">
        <v>259</v>
      </c>
    </row>
    <row r="63" spans="1:22" x14ac:dyDescent="0.25">
      <c r="A63">
        <v>11900.13</v>
      </c>
      <c r="B63">
        <v>9116</v>
      </c>
      <c r="C63">
        <v>6742</v>
      </c>
      <c r="D63">
        <v>1</v>
      </c>
      <c r="E63">
        <v>1</v>
      </c>
      <c r="F63" t="s">
        <v>13</v>
      </c>
      <c r="G63">
        <v>-0.82441620000000004</v>
      </c>
      <c r="H63">
        <v>0.16269919999999999</v>
      </c>
      <c r="I63">
        <v>0.1885848</v>
      </c>
      <c r="J63">
        <v>0.15372420000000001</v>
      </c>
      <c r="K63">
        <v>0.11777260000000001</v>
      </c>
      <c r="L63" s="3">
        <v>5.8622359999999998E-3</v>
      </c>
      <c r="M63" s="3">
        <v>4.4280050000000001E-2</v>
      </c>
      <c r="N63" s="3">
        <v>2.691317E-2</v>
      </c>
      <c r="O63" s="3">
        <v>8.4071159999999992E-3</v>
      </c>
      <c r="P63">
        <v>5.4084300000000002E-2</v>
      </c>
      <c r="Q63" s="3">
        <v>-2.4181370000000001E-2</v>
      </c>
      <c r="R63" s="3">
        <v>-3.231382E-2</v>
      </c>
      <c r="S63" s="3">
        <v>1.6820430000000001E-2</v>
      </c>
      <c r="T63" s="3">
        <v>-4.4470790000000003E-2</v>
      </c>
      <c r="U63" s="3">
        <v>-4.3416980000000001E-2</v>
      </c>
      <c r="V63" s="3">
        <v>-4.6608919999999998E-2</v>
      </c>
    </row>
    <row r="64" spans="1:22" x14ac:dyDescent="0.25">
      <c r="A64">
        <v>11900.15</v>
      </c>
      <c r="B64">
        <v>9116</v>
      </c>
      <c r="C64">
        <v>6744</v>
      </c>
      <c r="D64">
        <v>1</v>
      </c>
      <c r="E64">
        <v>1</v>
      </c>
      <c r="F64" t="s">
        <v>13</v>
      </c>
      <c r="G64" s="3">
        <v>-5.4685119999999997E-2</v>
      </c>
      <c r="H64" s="3">
        <v>-5.4689880000000003E-2</v>
      </c>
      <c r="I64" s="3">
        <v>-5.986118E-2</v>
      </c>
      <c r="J64" s="3">
        <v>-6.9786550000000003E-2</v>
      </c>
      <c r="K64">
        <v>-9.0946200000000005E-2</v>
      </c>
      <c r="L64">
        <v>-0.1221008</v>
      </c>
      <c r="M64">
        <v>-0.23595289999999999</v>
      </c>
      <c r="N64">
        <v>-0.28869679999999998</v>
      </c>
      <c r="O64">
        <v>-0.32735199999999998</v>
      </c>
      <c r="P64">
        <v>-0.36971470000000001</v>
      </c>
      <c r="Q64">
        <v>-0.43786330000000001</v>
      </c>
      <c r="R64">
        <v>-0.52625560000000005</v>
      </c>
      <c r="S64">
        <v>-0.58456609999999998</v>
      </c>
      <c r="T64">
        <v>-0.67005009999999998</v>
      </c>
      <c r="U64">
        <v>-1.049231</v>
      </c>
      <c r="V64">
        <v>-1.1395150000000001</v>
      </c>
    </row>
    <row r="65" spans="1:22" x14ac:dyDescent="0.25">
      <c r="A65" t="s">
        <v>260</v>
      </c>
    </row>
    <row r="66" spans="1:22" x14ac:dyDescent="0.25">
      <c r="A66">
        <v>11909.83</v>
      </c>
      <c r="B66">
        <v>9116</v>
      </c>
      <c r="C66">
        <v>6742</v>
      </c>
      <c r="D66">
        <v>1</v>
      </c>
      <c r="E66">
        <v>1</v>
      </c>
      <c r="F66" t="s">
        <v>13</v>
      </c>
      <c r="G66">
        <v>-0.9632096</v>
      </c>
      <c r="H66">
        <v>0.1419907</v>
      </c>
      <c r="I66">
        <v>0.18611620000000001</v>
      </c>
      <c r="J66">
        <v>0.16180900000000001</v>
      </c>
      <c r="K66">
        <v>0.12879940000000001</v>
      </c>
      <c r="L66" s="3">
        <v>7.0776939999999998E-3</v>
      </c>
      <c r="M66" s="3">
        <v>5.6353569999999999E-2</v>
      </c>
      <c r="N66" s="3">
        <v>3.7614349999999998E-2</v>
      </c>
      <c r="O66" s="3">
        <v>1.8512730000000002E-2</v>
      </c>
      <c r="P66" s="3">
        <v>5.319405E-2</v>
      </c>
      <c r="Q66" s="3">
        <v>-1.6917709999999999E-2</v>
      </c>
      <c r="R66" s="3">
        <v>-2.6581759999999999E-2</v>
      </c>
      <c r="S66" s="3">
        <v>1.6999719999999999E-2</v>
      </c>
      <c r="T66" s="3">
        <v>-4.1339870000000001E-2</v>
      </c>
      <c r="U66" s="3">
        <v>-4.3233389999999997E-2</v>
      </c>
      <c r="V66">
        <v>-4.8425200000000002E-2</v>
      </c>
    </row>
    <row r="67" spans="1:22" x14ac:dyDescent="0.25">
      <c r="A67">
        <v>11909.86</v>
      </c>
      <c r="B67">
        <v>9116</v>
      </c>
      <c r="C67">
        <v>6744</v>
      </c>
      <c r="D67">
        <v>1</v>
      </c>
      <c r="E67">
        <v>1</v>
      </c>
      <c r="F67" t="s">
        <v>13</v>
      </c>
      <c r="G67" s="3">
        <v>-6.015682E-2</v>
      </c>
      <c r="H67" s="3">
        <v>-6.3387390000000002E-2</v>
      </c>
      <c r="I67" s="3">
        <v>-6.6603659999999995E-2</v>
      </c>
      <c r="J67" s="3">
        <v>-7.3092939999999995E-2</v>
      </c>
      <c r="K67" s="3">
        <v>-8.7864880000000006E-2</v>
      </c>
      <c r="L67">
        <v>-0.11473179999999999</v>
      </c>
      <c r="M67">
        <v>-0.23106860000000001</v>
      </c>
      <c r="N67">
        <v>-0.28648659999999998</v>
      </c>
      <c r="O67">
        <v>-0.32783600000000002</v>
      </c>
      <c r="P67">
        <v>-0.37210080000000001</v>
      </c>
      <c r="Q67">
        <v>-0.44350669999999998</v>
      </c>
      <c r="R67">
        <v>-0.53909589999999996</v>
      </c>
      <c r="S67">
        <v>-0.60369680000000003</v>
      </c>
      <c r="T67">
        <v>-0.70429850000000005</v>
      </c>
      <c r="U67">
        <v>-1.1426320000000001</v>
      </c>
      <c r="V67">
        <v>-1.1987300000000001</v>
      </c>
    </row>
    <row r="68" spans="1:22" x14ac:dyDescent="0.25">
      <c r="A68" t="s">
        <v>261</v>
      </c>
    </row>
    <row r="69" spans="1:22" x14ac:dyDescent="0.25">
      <c r="A69">
        <v>11919.1</v>
      </c>
      <c r="B69">
        <v>9116</v>
      </c>
      <c r="C69">
        <v>6742</v>
      </c>
      <c r="D69">
        <v>1</v>
      </c>
      <c r="E69">
        <v>1</v>
      </c>
      <c r="F69" t="s">
        <v>13</v>
      </c>
      <c r="G69">
        <v>-1.1236109999999999</v>
      </c>
      <c r="H69">
        <v>0.12278509999999999</v>
      </c>
      <c r="I69">
        <v>0.1873493</v>
      </c>
      <c r="J69">
        <v>0.17144580000000001</v>
      </c>
      <c r="K69">
        <v>0.13982729999999999</v>
      </c>
      <c r="L69" s="3">
        <v>7.9460139999999995E-3</v>
      </c>
      <c r="M69" s="3">
        <v>6.749964E-2</v>
      </c>
      <c r="N69" s="3">
        <v>4.7438139999999997E-2</v>
      </c>
      <c r="O69" s="3">
        <v>2.6359560000000001E-2</v>
      </c>
      <c r="P69" s="3">
        <v>5.3716659999999999E-2</v>
      </c>
      <c r="Q69" s="3">
        <v>-1.185894E-2</v>
      </c>
      <c r="R69" s="3">
        <v>-2.345324E-2</v>
      </c>
      <c r="S69" s="3">
        <v>1.7534259999999999E-2</v>
      </c>
      <c r="T69" s="3">
        <v>-4.2383190000000001E-2</v>
      </c>
      <c r="U69" s="3">
        <v>-4.7084330000000001E-2</v>
      </c>
      <c r="V69" s="3">
        <v>-5.6427480000000002E-2</v>
      </c>
    </row>
    <row r="70" spans="1:22" x14ac:dyDescent="0.25">
      <c r="A70">
        <v>11919.12</v>
      </c>
      <c r="B70">
        <v>9116</v>
      </c>
      <c r="C70">
        <v>6744</v>
      </c>
      <c r="D70">
        <v>1</v>
      </c>
      <c r="E70">
        <v>1</v>
      </c>
      <c r="F70" t="s">
        <v>13</v>
      </c>
      <c r="G70" s="3">
        <v>-7.2023870000000004E-2</v>
      </c>
      <c r="H70" s="3">
        <v>-8.1225870000000006E-2</v>
      </c>
      <c r="I70" s="3">
        <v>-8.2989690000000005E-2</v>
      </c>
      <c r="J70" s="3">
        <v>-8.6833949999999993E-2</v>
      </c>
      <c r="K70" s="3">
        <v>-9.4584470000000004E-2</v>
      </c>
      <c r="L70">
        <v>-0.1116767</v>
      </c>
      <c r="M70">
        <v>-0.2277575</v>
      </c>
      <c r="N70">
        <v>-0.28904439999999998</v>
      </c>
      <c r="O70">
        <v>-0.3330593</v>
      </c>
      <c r="P70">
        <v>-0.38243870000000002</v>
      </c>
      <c r="Q70">
        <v>-0.45872499999999999</v>
      </c>
      <c r="R70">
        <v>-0.56336450000000005</v>
      </c>
      <c r="S70">
        <v>-0.63636680000000001</v>
      </c>
      <c r="T70">
        <v>-0.75787780000000005</v>
      </c>
      <c r="U70">
        <v>-1.2585409999999999</v>
      </c>
      <c r="V70">
        <v>-1.3112619999999999</v>
      </c>
    </row>
    <row r="71" spans="1:22" x14ac:dyDescent="0.25">
      <c r="A71" t="s">
        <v>262</v>
      </c>
    </row>
    <row r="72" spans="1:22" x14ac:dyDescent="0.25">
      <c r="A72">
        <v>11928.5</v>
      </c>
      <c r="B72">
        <v>9116</v>
      </c>
      <c r="C72">
        <v>6742</v>
      </c>
      <c r="D72">
        <v>1</v>
      </c>
      <c r="E72">
        <v>1</v>
      </c>
      <c r="F72" t="s">
        <v>13</v>
      </c>
      <c r="G72">
        <v>-1.0674459999999999</v>
      </c>
      <c r="H72">
        <v>0.12070889999999999</v>
      </c>
      <c r="I72">
        <v>0.18356749999999999</v>
      </c>
      <c r="J72">
        <v>0.1676569</v>
      </c>
      <c r="K72">
        <v>0.13724140000000001</v>
      </c>
      <c r="L72" s="3">
        <v>8.2917210000000002E-3</v>
      </c>
      <c r="M72" s="3">
        <v>6.5897940000000002E-2</v>
      </c>
      <c r="N72" s="3">
        <v>4.6035769999999997E-2</v>
      </c>
      <c r="O72" s="3">
        <v>2.477789E-2</v>
      </c>
      <c r="P72">
        <v>5.4084300000000002E-2</v>
      </c>
      <c r="Q72" s="3">
        <v>-1.5527249999999999E-2</v>
      </c>
      <c r="R72" s="3">
        <v>-2.820539E-2</v>
      </c>
      <c r="S72" s="3">
        <v>1.788998E-2</v>
      </c>
      <c r="T72" s="3">
        <v>-5.2819249999999998E-2</v>
      </c>
      <c r="U72" s="3">
        <v>-6.1934950000000003E-2</v>
      </c>
      <c r="V72" s="3">
        <v>-7.9513550000000002E-2</v>
      </c>
    </row>
    <row r="73" spans="1:22" x14ac:dyDescent="0.25">
      <c r="A73">
        <v>11928.52</v>
      </c>
      <c r="B73">
        <v>9116</v>
      </c>
      <c r="C73">
        <v>6744</v>
      </c>
      <c r="D73">
        <v>1</v>
      </c>
      <c r="E73">
        <v>1</v>
      </c>
      <c r="F73" t="s">
        <v>13</v>
      </c>
      <c r="G73">
        <v>-0.1072598</v>
      </c>
      <c r="H73">
        <v>-0.12279080000000001</v>
      </c>
      <c r="I73">
        <v>-0.14160539999999999</v>
      </c>
      <c r="J73">
        <v>-0.15292310000000001</v>
      </c>
      <c r="K73">
        <v>-0.16521739999999999</v>
      </c>
      <c r="L73">
        <v>-0.1801548</v>
      </c>
      <c r="M73">
        <v>-0.18732789999999999</v>
      </c>
      <c r="N73">
        <v>-0.2022591</v>
      </c>
      <c r="O73">
        <v>-0.23187830000000001</v>
      </c>
      <c r="P73">
        <v>-0.2796187</v>
      </c>
      <c r="Q73">
        <v>-0.3590565</v>
      </c>
      <c r="R73">
        <v>-0.46484330000000001</v>
      </c>
      <c r="S73">
        <v>-0.53854849999999999</v>
      </c>
      <c r="T73">
        <v>-0.64998049999999996</v>
      </c>
      <c r="U73">
        <v>-1.118957</v>
      </c>
      <c r="V73">
        <v>-1.151864</v>
      </c>
    </row>
    <row r="74" spans="1:22" x14ac:dyDescent="0.25">
      <c r="A74" t="s">
        <v>263</v>
      </c>
    </row>
    <row r="75" spans="1:22" x14ac:dyDescent="0.25">
      <c r="A75">
        <v>11938.15</v>
      </c>
      <c r="B75">
        <v>9116</v>
      </c>
      <c r="C75">
        <v>6742</v>
      </c>
      <c r="D75">
        <v>1</v>
      </c>
      <c r="E75">
        <v>1</v>
      </c>
      <c r="F75" t="s">
        <v>13</v>
      </c>
      <c r="G75">
        <v>-0.19234850000000001</v>
      </c>
      <c r="H75">
        <v>0.1862607</v>
      </c>
      <c r="I75">
        <v>0.17070630000000001</v>
      </c>
      <c r="J75">
        <v>0.12618589999999999</v>
      </c>
      <c r="K75">
        <v>9.3303200000000003E-2</v>
      </c>
      <c r="L75" s="3">
        <v>4.4589039999999996E-3</v>
      </c>
      <c r="M75" s="3">
        <v>2.6093479999999999E-2</v>
      </c>
      <c r="N75" s="3">
        <v>1.077271E-2</v>
      </c>
      <c r="O75" s="3">
        <v>-8.0027580000000004E-3</v>
      </c>
      <c r="P75" s="3">
        <v>5.3542609999999997E-2</v>
      </c>
      <c r="Q75" s="3">
        <v>-4.4831280000000001E-2</v>
      </c>
      <c r="R75" s="3">
        <v>-5.7000639999999998E-2</v>
      </c>
      <c r="S75" s="3">
        <v>1.8424510000000002E-2</v>
      </c>
      <c r="T75" s="3">
        <v>-8.5864070000000001E-2</v>
      </c>
      <c r="U75" s="3">
        <v>-9.9335670000000001E-2</v>
      </c>
      <c r="V75">
        <v>-0.12211610000000001</v>
      </c>
    </row>
    <row r="76" spans="1:22" x14ac:dyDescent="0.25">
      <c r="A76">
        <v>11938.17</v>
      </c>
      <c r="B76">
        <v>9116</v>
      </c>
      <c r="C76">
        <v>6744</v>
      </c>
      <c r="D76">
        <v>1</v>
      </c>
      <c r="E76">
        <v>1</v>
      </c>
      <c r="F76" t="s">
        <v>13</v>
      </c>
      <c r="G76">
        <v>-0.15364030000000001</v>
      </c>
      <c r="H76">
        <v>-0.1992526</v>
      </c>
      <c r="I76">
        <v>-0.21257970000000001</v>
      </c>
      <c r="J76">
        <v>-0.22439339999999999</v>
      </c>
      <c r="K76">
        <v>-0.22931860000000001</v>
      </c>
      <c r="L76">
        <v>-0.23172280000000001</v>
      </c>
      <c r="M76">
        <v>-0.2124267</v>
      </c>
      <c r="N76">
        <v>-0.20483779999999999</v>
      </c>
      <c r="O76">
        <v>-0.20268820000000001</v>
      </c>
      <c r="P76">
        <v>-0.19911000000000001</v>
      </c>
      <c r="Q76">
        <v>-0.1972265</v>
      </c>
      <c r="R76">
        <v>-0.1974158</v>
      </c>
      <c r="S76">
        <v>-0.1920347</v>
      </c>
      <c r="T76">
        <v>-0.19744059999999999</v>
      </c>
      <c r="U76">
        <v>-0.19487950000000001</v>
      </c>
      <c r="V76">
        <v>-0.19315199999999999</v>
      </c>
    </row>
    <row r="77" spans="1:22" x14ac:dyDescent="0.25">
      <c r="A77" t="s">
        <v>264</v>
      </c>
    </row>
    <row r="78" spans="1:22" x14ac:dyDescent="0.25">
      <c r="A78">
        <v>11947.59</v>
      </c>
      <c r="B78">
        <v>9116</v>
      </c>
      <c r="C78">
        <v>6742</v>
      </c>
      <c r="D78">
        <v>1</v>
      </c>
      <c r="E78">
        <v>1</v>
      </c>
      <c r="F78" t="s">
        <v>13</v>
      </c>
      <c r="G78">
        <v>-0.1898637</v>
      </c>
      <c r="H78">
        <v>0.1913705</v>
      </c>
      <c r="I78">
        <v>0.17370179999999999</v>
      </c>
      <c r="J78">
        <v>0.12721869999999999</v>
      </c>
      <c r="K78">
        <v>9.2613699999999993E-2</v>
      </c>
      <c r="L78" s="3">
        <v>3.9381980000000004E-3</v>
      </c>
      <c r="M78" s="3">
        <v>2.2555349999999998E-2</v>
      </c>
      <c r="N78" s="3">
        <v>6.9131849999999996E-3</v>
      </c>
      <c r="O78" s="3">
        <v>-1.323366E-2</v>
      </c>
      <c r="P78" s="3">
        <v>5.2670960000000003E-2</v>
      </c>
      <c r="Q78" s="3">
        <v>-5.1983359999999999E-2</v>
      </c>
      <c r="R78">
        <v>-6.4822199999999996E-2</v>
      </c>
      <c r="S78" s="3">
        <v>1.8959520000000001E-2</v>
      </c>
      <c r="T78" s="3">
        <v>-9.5255370000000006E-2</v>
      </c>
      <c r="U78">
        <v>-0.108686</v>
      </c>
      <c r="V78">
        <v>-0.1326628</v>
      </c>
    </row>
    <row r="79" spans="1:22" x14ac:dyDescent="0.25">
      <c r="A79">
        <v>11947.61</v>
      </c>
      <c r="B79">
        <v>9116</v>
      </c>
      <c r="C79">
        <v>6744</v>
      </c>
      <c r="D79">
        <v>1</v>
      </c>
      <c r="E79">
        <v>1</v>
      </c>
      <c r="F79" t="s">
        <v>13</v>
      </c>
      <c r="G79">
        <v>-0.1647758</v>
      </c>
      <c r="H79">
        <v>-0.21096229999999999</v>
      </c>
      <c r="I79">
        <v>-0.2264118</v>
      </c>
      <c r="J79">
        <v>-0.2381296</v>
      </c>
      <c r="K79">
        <v>-0.2443881</v>
      </c>
      <c r="L79">
        <v>-0.24753520000000001</v>
      </c>
      <c r="M79">
        <v>-0.22584580000000001</v>
      </c>
      <c r="N79">
        <v>-0.21653220000000001</v>
      </c>
      <c r="O79">
        <v>-0.2131371</v>
      </c>
      <c r="P79">
        <v>-0.20945169999999999</v>
      </c>
      <c r="Q79">
        <v>-0.20828289999999999</v>
      </c>
      <c r="R79">
        <v>-0.20774509999999999</v>
      </c>
      <c r="S79">
        <v>-0.20346020000000001</v>
      </c>
      <c r="T79">
        <v>-0.2087493</v>
      </c>
      <c r="U79">
        <v>-0.2060661</v>
      </c>
      <c r="V79">
        <v>-0.20390800000000001</v>
      </c>
    </row>
    <row r="84" spans="7:39" x14ac:dyDescent="0.25">
      <c r="G84" s="5"/>
      <c r="H84" s="5" t="s">
        <v>44</v>
      </c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</row>
    <row r="85" spans="7:39" x14ac:dyDescent="0.25">
      <c r="G85" s="5" t="s">
        <v>45</v>
      </c>
      <c r="H85" s="5" t="s">
        <v>14</v>
      </c>
      <c r="I85" s="5" t="s">
        <v>15</v>
      </c>
      <c r="J85" s="5" t="s">
        <v>16</v>
      </c>
      <c r="K85" s="5" t="s">
        <v>17</v>
      </c>
      <c r="L85" s="5" t="s">
        <v>18</v>
      </c>
      <c r="M85" s="5" t="s">
        <v>19</v>
      </c>
      <c r="N85" s="5" t="s">
        <v>20</v>
      </c>
      <c r="O85" s="5" t="s">
        <v>21</v>
      </c>
      <c r="P85" s="5" t="s">
        <v>22</v>
      </c>
      <c r="Q85" s="5" t="s">
        <v>23</v>
      </c>
      <c r="R85" s="5" t="s">
        <v>24</v>
      </c>
      <c r="S85" s="5" t="s">
        <v>25</v>
      </c>
      <c r="T85" s="5" t="s">
        <v>26</v>
      </c>
      <c r="U85" s="5" t="s">
        <v>27</v>
      </c>
      <c r="V85" s="5" t="s">
        <v>28</v>
      </c>
      <c r="W85" s="5" t="s">
        <v>29</v>
      </c>
      <c r="X85" s="5" t="s">
        <v>46</v>
      </c>
      <c r="Y85" s="5" t="s">
        <v>47</v>
      </c>
      <c r="Z85" s="5" t="s">
        <v>48</v>
      </c>
      <c r="AA85" s="5" t="s">
        <v>49</v>
      </c>
      <c r="AB85" s="5" t="s">
        <v>50</v>
      </c>
      <c r="AC85" s="5" t="s">
        <v>51</v>
      </c>
      <c r="AD85" s="5" t="s">
        <v>52</v>
      </c>
      <c r="AE85" s="5" t="s">
        <v>53</v>
      </c>
      <c r="AF85" s="5" t="s">
        <v>54</v>
      </c>
      <c r="AG85" s="5" t="s">
        <v>55</v>
      </c>
      <c r="AH85" s="5" t="s">
        <v>56</v>
      </c>
      <c r="AI85" s="5" t="s">
        <v>57</v>
      </c>
      <c r="AJ85" s="5" t="s">
        <v>58</v>
      </c>
      <c r="AK85" s="5" t="s">
        <v>59</v>
      </c>
      <c r="AL85" s="5" t="s">
        <v>60</v>
      </c>
      <c r="AM85" s="5" t="s">
        <v>61</v>
      </c>
    </row>
    <row r="86" spans="7:39" x14ac:dyDescent="0.25">
      <c r="G86" s="5" t="s">
        <v>62</v>
      </c>
      <c r="H86" s="6">
        <f>G9</f>
        <v>-6.1464310000000004E-4</v>
      </c>
      <c r="I86" s="6">
        <f t="shared" ref="I86:W86" si="0">H9</f>
        <v>-6.4849850000000002E-4</v>
      </c>
      <c r="J86" s="6">
        <f t="shared" si="0"/>
        <v>-4.6157840000000001E-4</v>
      </c>
      <c r="K86" s="6">
        <f t="shared" si="0"/>
        <v>3.9632319999999999E-2</v>
      </c>
      <c r="L86" s="6">
        <f t="shared" si="0"/>
        <v>-2.5653839999999998E-4</v>
      </c>
      <c r="M86" s="6">
        <f t="shared" si="0"/>
        <v>-6.1178209999999998E-4</v>
      </c>
      <c r="N86" s="6">
        <f t="shared" si="0"/>
        <v>-1.2450219999999999E-3</v>
      </c>
      <c r="O86" s="6">
        <f t="shared" si="0"/>
        <v>-1.192093E-4</v>
      </c>
      <c r="P86" s="6">
        <f t="shared" si="0"/>
        <v>4.3630600000000002E-4</v>
      </c>
      <c r="Q86" s="6">
        <f t="shared" si="0"/>
        <v>4.3742179999999999E-2</v>
      </c>
      <c r="R86" s="6">
        <f t="shared" si="0"/>
        <v>7.2145460000000005E-4</v>
      </c>
      <c r="S86" s="6">
        <f t="shared" si="0"/>
        <v>9.8705290000000004E-5</v>
      </c>
      <c r="T86" s="6">
        <f t="shared" si="0"/>
        <v>1.8774030000000001E-2</v>
      </c>
      <c r="U86" s="6">
        <f t="shared" si="0"/>
        <v>-3.0565259999999999E-4</v>
      </c>
      <c r="V86" s="6">
        <f t="shared" si="0"/>
        <v>2.3031230000000001E-4</v>
      </c>
      <c r="W86" s="6">
        <f t="shared" si="0"/>
        <v>-1.416206E-4</v>
      </c>
      <c r="X86" s="6">
        <f>G10</f>
        <v>-6.5183639999999996E-4</v>
      </c>
      <c r="Y86" s="6">
        <f t="shared" ref="Y86:AM86" si="1">H10</f>
        <v>-1.280308E-3</v>
      </c>
      <c r="Z86" s="6">
        <f t="shared" si="1"/>
        <v>-8.8691710000000004E-5</v>
      </c>
      <c r="AA86" s="6">
        <f t="shared" si="1"/>
        <v>3.4039020000000003E-2</v>
      </c>
      <c r="AB86" s="6">
        <f t="shared" si="1"/>
        <v>-3.2901760000000001E-5</v>
      </c>
      <c r="AC86" s="6">
        <f t="shared" si="1"/>
        <v>-5.0067899999999997E-4</v>
      </c>
      <c r="AD86" s="6">
        <f t="shared" si="1"/>
        <v>-1.240253E-3</v>
      </c>
      <c r="AE86" s="6">
        <f t="shared" si="1"/>
        <v>9.9182129999999996E-5</v>
      </c>
      <c r="AF86" s="6">
        <f t="shared" si="1"/>
        <v>-9.5558169999999997E-4</v>
      </c>
      <c r="AG86" s="6">
        <f t="shared" si="1"/>
        <v>3.7574769999999997E-4</v>
      </c>
      <c r="AH86" s="6">
        <f t="shared" si="1"/>
        <v>2.7942659999999998E-4</v>
      </c>
      <c r="AI86" s="6">
        <f t="shared" si="1"/>
        <v>-3.8957599999999998E-4</v>
      </c>
      <c r="AJ86" s="6">
        <f t="shared" si="1"/>
        <v>-1.029968E-3</v>
      </c>
      <c r="AK86" s="6">
        <f t="shared" si="1"/>
        <v>3.9672850000000001E-4</v>
      </c>
      <c r="AL86" s="6">
        <f t="shared" si="1"/>
        <v>1.037121E-3</v>
      </c>
      <c r="AM86" s="6">
        <f t="shared" si="1"/>
        <v>2.0885470000000001E-4</v>
      </c>
    </row>
    <row r="87" spans="7:39" x14ac:dyDescent="0.25">
      <c r="G87" s="5">
        <v>-4</v>
      </c>
      <c r="H87" s="6">
        <f>G12</f>
        <v>-9.7381110000000007E-2</v>
      </c>
      <c r="I87" s="6">
        <f t="shared" ref="I87:W87" si="2">H12</f>
        <v>-0.66208409999999995</v>
      </c>
      <c r="J87" s="6">
        <f t="shared" si="2"/>
        <v>-0.57179210000000003</v>
      </c>
      <c r="K87" s="6">
        <f t="shared" si="2"/>
        <v>-0.46573969999999998</v>
      </c>
      <c r="L87" s="6">
        <f t="shared" si="2"/>
        <v>-0.4059334</v>
      </c>
      <c r="M87" s="6">
        <f t="shared" si="2"/>
        <v>-3.5473350000000001E-2</v>
      </c>
      <c r="N87" s="6">
        <f t="shared" si="2"/>
        <v>-0.33714719999999998</v>
      </c>
      <c r="O87" s="6">
        <f t="shared" si="2"/>
        <v>-0.28523779999999999</v>
      </c>
      <c r="P87" s="6">
        <f t="shared" si="2"/>
        <v>-0.26356740000000001</v>
      </c>
      <c r="Q87" s="6">
        <f t="shared" si="2"/>
        <v>4.7463890000000002E-2</v>
      </c>
      <c r="R87" s="6">
        <f t="shared" si="2"/>
        <v>-0.2071848</v>
      </c>
      <c r="S87" s="6">
        <f t="shared" si="2"/>
        <v>-0.1723981</v>
      </c>
      <c r="T87" s="6">
        <f t="shared" si="2"/>
        <v>4.8770899999999997E-3</v>
      </c>
      <c r="U87" s="6">
        <f t="shared" si="2"/>
        <v>-0.12342740000000001</v>
      </c>
      <c r="V87" s="6">
        <f t="shared" si="2"/>
        <v>-9.4748499999999999E-2</v>
      </c>
      <c r="W87" s="6">
        <f t="shared" si="2"/>
        <v>-6.7215440000000001E-2</v>
      </c>
      <c r="X87" s="6">
        <f>G13</f>
        <v>-5.6692600000000003E-2</v>
      </c>
      <c r="Y87" s="6">
        <f t="shared" ref="Y87:AM87" si="3">H13</f>
        <v>-4.5741560000000001E-2</v>
      </c>
      <c r="Z87" s="6">
        <f t="shared" si="3"/>
        <v>-4.9483300000000001E-2</v>
      </c>
      <c r="AA87" s="6">
        <f t="shared" si="3"/>
        <v>-5.7263370000000001E-2</v>
      </c>
      <c r="AB87" s="6">
        <f t="shared" si="3"/>
        <v>-6.1161989999999999E-2</v>
      </c>
      <c r="AC87" s="6">
        <f t="shared" si="3"/>
        <v>-7.1237560000000005E-2</v>
      </c>
      <c r="AD87" s="6">
        <f t="shared" si="3"/>
        <v>-7.7335829999999994E-2</v>
      </c>
      <c r="AE87" s="6">
        <f t="shared" si="3"/>
        <v>-7.032919E-2</v>
      </c>
      <c r="AF87" s="6">
        <f t="shared" si="3"/>
        <v>-6.7307000000000006E-2</v>
      </c>
      <c r="AG87" s="6">
        <f t="shared" si="3"/>
        <v>-5.6524749999999999E-2</v>
      </c>
      <c r="AH87" s="6">
        <f t="shared" si="3"/>
        <v>-4.4765470000000002E-2</v>
      </c>
      <c r="AI87" s="6">
        <f t="shared" si="3"/>
        <v>-1.6530510000000002E-2</v>
      </c>
      <c r="AJ87" s="6">
        <f t="shared" si="3"/>
        <v>8.9278220000000002E-3</v>
      </c>
      <c r="AK87" s="6">
        <f t="shared" si="3"/>
        <v>4.4658660000000003E-2</v>
      </c>
      <c r="AL87" s="6">
        <f t="shared" si="3"/>
        <v>0.10062599999999999</v>
      </c>
      <c r="AM87" s="6">
        <f t="shared" si="3"/>
        <v>0.15638260000000001</v>
      </c>
    </row>
    <row r="88" spans="7:39" x14ac:dyDescent="0.25">
      <c r="G88" s="5">
        <v>-3</v>
      </c>
      <c r="H88" s="6">
        <f>G15</f>
        <v>1.3341900000000001E-3</v>
      </c>
      <c r="I88" s="6">
        <f t="shared" ref="I88:W88" si="4">H15</f>
        <v>-0.54388139999999996</v>
      </c>
      <c r="J88" s="6">
        <f t="shared" si="4"/>
        <v>-0.49067640000000001</v>
      </c>
      <c r="K88" s="6">
        <f t="shared" si="4"/>
        <v>-0.4136629</v>
      </c>
      <c r="L88" s="6">
        <f t="shared" si="4"/>
        <v>-0.36238769999999998</v>
      </c>
      <c r="M88" s="6">
        <f t="shared" si="4"/>
        <v>-3.008986E-2</v>
      </c>
      <c r="N88" s="6">
        <f t="shared" si="4"/>
        <v>-0.3067474</v>
      </c>
      <c r="O88" s="6">
        <f t="shared" si="4"/>
        <v>-0.27243469999999997</v>
      </c>
      <c r="P88" s="6">
        <f t="shared" si="4"/>
        <v>-0.24208689999999999</v>
      </c>
      <c r="Q88" s="6">
        <f t="shared" si="4"/>
        <v>4.8161509999999998E-2</v>
      </c>
      <c r="R88" s="6">
        <f t="shared" si="4"/>
        <v>-0.1963558</v>
      </c>
      <c r="S88" s="6">
        <f t="shared" si="4"/>
        <v>-0.16491320000000001</v>
      </c>
      <c r="T88" s="6">
        <f t="shared" si="4"/>
        <v>6.2990190000000003E-3</v>
      </c>
      <c r="U88" s="6">
        <f t="shared" si="4"/>
        <v>-0.11908009999999999</v>
      </c>
      <c r="V88" s="6">
        <f t="shared" si="4"/>
        <v>-9.1080190000000005E-2</v>
      </c>
      <c r="W88" s="6">
        <f t="shared" si="4"/>
        <v>-6.4044000000000004E-2</v>
      </c>
      <c r="X88" s="6">
        <f>G16</f>
        <v>-5.1216129999999999E-2</v>
      </c>
      <c r="Y88" s="6">
        <f t="shared" ref="Y88:AM88" si="5">H16</f>
        <v>-3.7802700000000002E-2</v>
      </c>
      <c r="Z88" s="6">
        <f t="shared" si="5"/>
        <v>-5.5303570000000003E-2</v>
      </c>
      <c r="AA88" s="6">
        <f t="shared" si="5"/>
        <v>-6.3004489999999996E-2</v>
      </c>
      <c r="AB88" s="6">
        <f t="shared" si="5"/>
        <v>-6.7880629999999997E-2</v>
      </c>
      <c r="AC88" s="6">
        <f t="shared" si="5"/>
        <v>-7.8424930000000004E-2</v>
      </c>
      <c r="AD88" s="6">
        <f t="shared" si="5"/>
        <v>-9.006596E-2</v>
      </c>
      <c r="AE88" s="6">
        <f t="shared" si="5"/>
        <v>-8.567429E-2</v>
      </c>
      <c r="AF88" s="6">
        <f t="shared" si="5"/>
        <v>-8.4156040000000001E-2</v>
      </c>
      <c r="AG88" s="6">
        <f t="shared" si="5"/>
        <v>-7.6289179999999998E-2</v>
      </c>
      <c r="AH88" s="6">
        <f t="shared" si="5"/>
        <v>-6.7972179999999993E-2</v>
      </c>
      <c r="AI88" s="6">
        <f t="shared" si="5"/>
        <v>-4.319096E-2</v>
      </c>
      <c r="AJ88" s="6">
        <f t="shared" si="5"/>
        <v>-1.9914149999999999E-2</v>
      </c>
      <c r="AK88" s="6">
        <f t="shared" si="5"/>
        <v>1.2362E-2</v>
      </c>
      <c r="AL88" s="6">
        <f t="shared" si="5"/>
        <v>6.6316130000000001E-2</v>
      </c>
      <c r="AM88" s="6">
        <f t="shared" si="5"/>
        <v>0.12500810000000001</v>
      </c>
    </row>
    <row r="89" spans="7:39" x14ac:dyDescent="0.25">
      <c r="G89" s="5">
        <v>-2</v>
      </c>
      <c r="H89" s="6">
        <f>G18</f>
        <v>8.2496169999999994E-2</v>
      </c>
      <c r="I89" s="6">
        <f t="shared" ref="I89:W89" si="6">H18</f>
        <v>-0.43188290000000001</v>
      </c>
      <c r="J89" s="6">
        <f t="shared" si="6"/>
        <v>-0.41639520000000002</v>
      </c>
      <c r="K89" s="6">
        <f t="shared" si="6"/>
        <v>-0.3617496</v>
      </c>
      <c r="L89" s="6">
        <f t="shared" si="6"/>
        <v>-0.32263140000000001</v>
      </c>
      <c r="M89" s="6">
        <f t="shared" si="6"/>
        <v>-2.6420590000000001E-2</v>
      </c>
      <c r="N89" s="6">
        <f t="shared" si="6"/>
        <v>-0.282331</v>
      </c>
      <c r="O89" s="6">
        <f t="shared" si="6"/>
        <v>-0.24911259999999999</v>
      </c>
      <c r="P89" s="6">
        <f t="shared" si="6"/>
        <v>-0.2285171</v>
      </c>
      <c r="Q89" s="6">
        <f t="shared" si="6"/>
        <v>4.8684119999999997E-2</v>
      </c>
      <c r="R89" s="6">
        <f t="shared" si="6"/>
        <v>-0.18293999999999999</v>
      </c>
      <c r="S89" s="6">
        <f t="shared" si="6"/>
        <v>-0.15767339999999999</v>
      </c>
      <c r="T89" s="6">
        <f t="shared" si="6"/>
        <v>6.8354610000000001E-3</v>
      </c>
      <c r="U89" s="6">
        <f t="shared" si="6"/>
        <v>-0.11577800000000001</v>
      </c>
      <c r="V89" s="6">
        <f t="shared" si="6"/>
        <v>-8.849812E-2</v>
      </c>
      <c r="W89" s="6">
        <f t="shared" si="6"/>
        <v>-6.0958859999999997E-2</v>
      </c>
      <c r="X89" s="6">
        <f>G19</f>
        <v>-4.7558780000000002E-2</v>
      </c>
      <c r="Y89" s="6">
        <f t="shared" ref="Y89:AM89" si="7">H19</f>
        <v>-2.8616909999999999E-2</v>
      </c>
      <c r="Z89" s="6">
        <f t="shared" si="7"/>
        <v>-6.0942169999999997E-2</v>
      </c>
      <c r="AA89" s="6">
        <f t="shared" si="7"/>
        <v>-6.9092269999999997E-2</v>
      </c>
      <c r="AB89" s="6">
        <f t="shared" si="7"/>
        <v>-7.4055670000000004E-2</v>
      </c>
      <c r="AC89" s="6">
        <f t="shared" si="7"/>
        <v>-8.5615159999999996E-2</v>
      </c>
      <c r="AD89" s="6">
        <f t="shared" si="7"/>
        <v>-0.10313890000000001</v>
      </c>
      <c r="AE89" s="6">
        <f t="shared" si="7"/>
        <v>-0.1024914</v>
      </c>
      <c r="AF89" s="6">
        <f t="shared" si="7"/>
        <v>-0.10329960000000001</v>
      </c>
      <c r="AG89" s="6">
        <f t="shared" si="7"/>
        <v>-9.7345829999999994E-2</v>
      </c>
      <c r="AH89" s="6">
        <f t="shared" si="7"/>
        <v>-9.2451569999999997E-2</v>
      </c>
      <c r="AI89" s="6">
        <f t="shared" si="7"/>
        <v>-7.2180270000000005E-2</v>
      </c>
      <c r="AJ89" s="6">
        <f t="shared" si="7"/>
        <v>-5.1578520000000003E-2</v>
      </c>
      <c r="AK89" s="6">
        <f t="shared" si="7"/>
        <v>-2.3034570000000001E-2</v>
      </c>
      <c r="AL89" s="6">
        <f t="shared" si="7"/>
        <v>2.632236E-2</v>
      </c>
      <c r="AM89" s="6">
        <f t="shared" si="7"/>
        <v>8.4623809999999994E-2</v>
      </c>
    </row>
    <row r="90" spans="7:39" x14ac:dyDescent="0.25">
      <c r="G90" s="5">
        <v>-1</v>
      </c>
      <c r="H90" s="6">
        <f>G21</f>
        <v>0.14430480000000001</v>
      </c>
      <c r="I90" s="6">
        <f t="shared" ref="I90:W90" si="8">H21</f>
        <v>-0.3370128</v>
      </c>
      <c r="J90" s="6">
        <f t="shared" si="8"/>
        <v>-0.34651520000000002</v>
      </c>
      <c r="K90" s="6">
        <f t="shared" si="8"/>
        <v>-0.31430200000000003</v>
      </c>
      <c r="L90" s="6">
        <f t="shared" si="8"/>
        <v>-0.28664780000000001</v>
      </c>
      <c r="M90" s="6">
        <f t="shared" si="8"/>
        <v>-2.2600169999999999E-2</v>
      </c>
      <c r="N90" s="6">
        <f t="shared" si="8"/>
        <v>-0.26111509999999999</v>
      </c>
      <c r="O90" s="6">
        <f t="shared" si="8"/>
        <v>-0.23105429999999999</v>
      </c>
      <c r="P90" s="6">
        <f t="shared" si="8"/>
        <v>-0.21492240000000001</v>
      </c>
      <c r="Q90" s="6">
        <f t="shared" si="8"/>
        <v>4.8510070000000002E-2</v>
      </c>
      <c r="R90" s="6">
        <f t="shared" si="8"/>
        <v>-0.17910390000000001</v>
      </c>
      <c r="S90" s="6">
        <f t="shared" si="8"/>
        <v>-0.14811559999999999</v>
      </c>
      <c r="T90" s="6">
        <f t="shared" si="8"/>
        <v>6.4783100000000001E-3</v>
      </c>
      <c r="U90" s="6">
        <f t="shared" si="8"/>
        <v>-0.1143866</v>
      </c>
      <c r="V90" s="6">
        <f t="shared" si="8"/>
        <v>-8.7947849999999994E-2</v>
      </c>
      <c r="W90" s="6">
        <f t="shared" si="8"/>
        <v>-6.0231689999999997E-2</v>
      </c>
      <c r="X90" s="6">
        <f>G22</f>
        <v>-4.6828750000000002E-2</v>
      </c>
      <c r="Y90" s="6">
        <f t="shared" ref="Y90:AM90" si="9">H22</f>
        <v>-2.1588799999999998E-2</v>
      </c>
      <c r="Z90" s="6">
        <f t="shared" si="9"/>
        <v>-6.4400669999999993E-2</v>
      </c>
      <c r="AA90" s="6">
        <f t="shared" si="9"/>
        <v>-7.5354099999999993E-2</v>
      </c>
      <c r="AB90" s="6">
        <f t="shared" si="9"/>
        <v>-8.113861E-2</v>
      </c>
      <c r="AC90" s="6">
        <f t="shared" si="9"/>
        <v>-9.3883040000000001E-2</v>
      </c>
      <c r="AD90" s="6">
        <f t="shared" si="9"/>
        <v>-0.11760710000000001</v>
      </c>
      <c r="AE90" s="6">
        <f t="shared" si="9"/>
        <v>-0.1198525</v>
      </c>
      <c r="AF90" s="6">
        <f t="shared" si="9"/>
        <v>-0.1229391</v>
      </c>
      <c r="AG90" s="6">
        <f t="shared" si="9"/>
        <v>-0.11987879999999999</v>
      </c>
      <c r="AH90" s="6">
        <f t="shared" si="9"/>
        <v>-0.11891790000000001</v>
      </c>
      <c r="AI90" s="6">
        <f t="shared" si="9"/>
        <v>-0.1029925</v>
      </c>
      <c r="AJ90" s="6">
        <f t="shared" si="9"/>
        <v>-8.4631919999999999E-2</v>
      </c>
      <c r="AK90" s="6">
        <f t="shared" si="9"/>
        <v>-6.1164860000000001E-2</v>
      </c>
      <c r="AL90" s="6">
        <f t="shared" si="9"/>
        <v>-1.8620970000000001E-2</v>
      </c>
      <c r="AM90" s="6">
        <f t="shared" si="9"/>
        <v>3.7269120000000003E-2</v>
      </c>
    </row>
    <row r="91" spans="7:39" x14ac:dyDescent="0.25">
      <c r="G91" s="5">
        <v>0</v>
      </c>
      <c r="H91" s="6">
        <f>G24</f>
        <v>0.18514920000000001</v>
      </c>
      <c r="I91" s="6">
        <f t="shared" ref="I91:W91" si="10">H24</f>
        <v>-0.24316979999999999</v>
      </c>
      <c r="J91" s="6">
        <f t="shared" si="10"/>
        <v>-0.27520939999999999</v>
      </c>
      <c r="K91" s="6">
        <f t="shared" si="10"/>
        <v>-0.26461030000000002</v>
      </c>
      <c r="L91" s="6">
        <f t="shared" si="10"/>
        <v>-0.2478986</v>
      </c>
      <c r="M91" s="6">
        <f t="shared" si="10"/>
        <v>-1.9499300000000001E-2</v>
      </c>
      <c r="N91" s="6">
        <f t="shared" si="10"/>
        <v>-0.2368999</v>
      </c>
      <c r="O91" s="6">
        <f t="shared" si="10"/>
        <v>-0.2105389</v>
      </c>
      <c r="P91" s="6">
        <f t="shared" si="10"/>
        <v>-0.19802520000000001</v>
      </c>
      <c r="Q91" s="6">
        <f t="shared" si="10"/>
        <v>4.9361710000000003E-2</v>
      </c>
      <c r="R91" s="6">
        <f t="shared" si="10"/>
        <v>-0.16654969999999999</v>
      </c>
      <c r="S91" s="6">
        <f t="shared" si="10"/>
        <v>-0.14372399999999999</v>
      </c>
      <c r="T91" s="6">
        <f t="shared" si="10"/>
        <v>7.9050059999999991E-3</v>
      </c>
      <c r="U91" s="6">
        <f t="shared" si="10"/>
        <v>-0.11038489999999999</v>
      </c>
      <c r="V91" s="6">
        <f t="shared" si="10"/>
        <v>-8.5764409999999999E-2</v>
      </c>
      <c r="W91" s="6">
        <f t="shared" si="10"/>
        <v>-5.9758659999999998E-2</v>
      </c>
      <c r="X91" s="6">
        <f>G25</f>
        <v>-4.6290400000000002E-2</v>
      </c>
      <c r="Y91" s="6">
        <f t="shared" ref="Y91:AM91" si="11">H25</f>
        <v>-1.5727519999999998E-2</v>
      </c>
      <c r="Z91" s="6">
        <f t="shared" si="11"/>
        <v>-6.4601420000000007E-2</v>
      </c>
      <c r="AA91" s="6">
        <f t="shared" si="11"/>
        <v>-7.6049329999999998E-2</v>
      </c>
      <c r="AB91" s="6">
        <f t="shared" si="11"/>
        <v>-8.5872169999999998E-2</v>
      </c>
      <c r="AC91" s="6">
        <f t="shared" si="11"/>
        <v>-9.9820610000000004E-2</v>
      </c>
      <c r="AD91" s="6">
        <f t="shared" si="11"/>
        <v>-0.1296263</v>
      </c>
      <c r="AE91" s="6">
        <f t="shared" si="11"/>
        <v>-0.13485430000000001</v>
      </c>
      <c r="AF91" s="6">
        <f t="shared" si="11"/>
        <v>-0.14124629999999999</v>
      </c>
      <c r="AG91" s="6">
        <f t="shared" si="11"/>
        <v>-0.1409416</v>
      </c>
      <c r="AH91" s="6">
        <f t="shared" si="11"/>
        <v>-0.1437831</v>
      </c>
      <c r="AI91" s="6">
        <f t="shared" si="11"/>
        <v>-0.13400790000000001</v>
      </c>
      <c r="AJ91" s="6">
        <f t="shared" si="11"/>
        <v>-0.1192284</v>
      </c>
      <c r="AK91" s="6">
        <f t="shared" si="11"/>
        <v>-0.1014838</v>
      </c>
      <c r="AL91" s="6">
        <f t="shared" si="11"/>
        <v>-6.833649E-2</v>
      </c>
      <c r="AM91" s="6">
        <f t="shared" si="11"/>
        <v>-2.064848E-2</v>
      </c>
    </row>
    <row r="92" spans="7:39" x14ac:dyDescent="0.25">
      <c r="G92" s="5">
        <v>1</v>
      </c>
      <c r="H92" s="6">
        <f>G27</f>
        <v>0.20753150000000001</v>
      </c>
      <c r="I92" s="6">
        <f t="shared" ref="I92:W92" si="12">H27</f>
        <v>-0.16111900000000001</v>
      </c>
      <c r="J92" s="6">
        <f t="shared" si="12"/>
        <v>-0.2121768</v>
      </c>
      <c r="K92" s="6">
        <f t="shared" si="12"/>
        <v>-0.2199035</v>
      </c>
      <c r="L92" s="6">
        <f t="shared" si="12"/>
        <v>-0.2131171</v>
      </c>
      <c r="M92" s="6">
        <f t="shared" si="12"/>
        <v>-1.6547679999999999E-2</v>
      </c>
      <c r="N92" s="6">
        <f t="shared" si="12"/>
        <v>-0.21550559999999999</v>
      </c>
      <c r="O92" s="6">
        <f t="shared" si="12"/>
        <v>-0.19283059999999999</v>
      </c>
      <c r="P92" s="6">
        <f t="shared" si="12"/>
        <v>-0.1840811</v>
      </c>
      <c r="Q92" s="6">
        <f t="shared" si="12"/>
        <v>4.9536709999999998E-2</v>
      </c>
      <c r="R92" s="6">
        <f t="shared" si="12"/>
        <v>-0.1576552</v>
      </c>
      <c r="S92" s="6">
        <f t="shared" si="12"/>
        <v>-0.1374679</v>
      </c>
      <c r="T92" s="6">
        <f t="shared" si="12"/>
        <v>8.2616809999999999E-3</v>
      </c>
      <c r="U92" s="6">
        <f t="shared" si="12"/>
        <v>-0.107255</v>
      </c>
      <c r="V92" s="6">
        <f t="shared" si="12"/>
        <v>-8.5214609999999996E-2</v>
      </c>
      <c r="W92" s="6">
        <f t="shared" si="12"/>
        <v>-6.0122490000000001E-2</v>
      </c>
      <c r="X92" s="6">
        <f>G28</f>
        <v>-4.7021390000000003E-2</v>
      </c>
      <c r="Y92" s="6">
        <f t="shared" ref="Y92:AM92" si="13">H28</f>
        <v>-1.608849E-2</v>
      </c>
      <c r="Z92" s="6">
        <f t="shared" si="13"/>
        <v>-6.733227E-2</v>
      </c>
      <c r="AA92" s="6">
        <f t="shared" si="13"/>
        <v>-7.7788830000000003E-2</v>
      </c>
      <c r="AB92" s="6">
        <f t="shared" si="13"/>
        <v>-8.8232989999999997E-2</v>
      </c>
      <c r="AC92" s="6">
        <f t="shared" si="13"/>
        <v>-0.106111</v>
      </c>
      <c r="AD92" s="6">
        <f t="shared" si="13"/>
        <v>-0.1421771</v>
      </c>
      <c r="AE92" s="6">
        <f t="shared" si="13"/>
        <v>-0.1509356</v>
      </c>
      <c r="AF92" s="6">
        <f t="shared" si="13"/>
        <v>-0.1596236</v>
      </c>
      <c r="AG92" s="6">
        <f t="shared" si="13"/>
        <v>-0.1621804</v>
      </c>
      <c r="AH92" s="6">
        <f t="shared" si="13"/>
        <v>-0.16952420000000001</v>
      </c>
      <c r="AI92" s="6">
        <f t="shared" si="13"/>
        <v>-0.1651812</v>
      </c>
      <c r="AJ92" s="6">
        <f t="shared" si="13"/>
        <v>-0.154388</v>
      </c>
      <c r="AK92" s="6">
        <f t="shared" si="13"/>
        <v>-0.14435200000000001</v>
      </c>
      <c r="AL92" s="6">
        <f t="shared" si="13"/>
        <v>-0.12079429999999999</v>
      </c>
      <c r="AM92" s="6">
        <f t="shared" si="13"/>
        <v>-8.3415989999999995E-2</v>
      </c>
    </row>
    <row r="93" spans="7:39" x14ac:dyDescent="0.25">
      <c r="G93" s="5">
        <v>2</v>
      </c>
      <c r="H93" s="6">
        <f>G30</f>
        <v>0.2123179</v>
      </c>
      <c r="I93" s="6">
        <f t="shared" ref="I93:W93" si="14">H30</f>
        <v>-8.7457660000000007E-2</v>
      </c>
      <c r="J93" s="6">
        <f t="shared" si="14"/>
        <v>-0.15301319999999999</v>
      </c>
      <c r="K93" s="6">
        <f t="shared" si="14"/>
        <v>-0.17605109999999999</v>
      </c>
      <c r="L93" s="6">
        <f t="shared" si="14"/>
        <v>-0.177814</v>
      </c>
      <c r="M93" s="6">
        <f t="shared" si="14"/>
        <v>-1.377106E-2</v>
      </c>
      <c r="N93" s="6">
        <f t="shared" si="14"/>
        <v>-0.19253439999999999</v>
      </c>
      <c r="O93" s="6">
        <f t="shared" si="14"/>
        <v>-0.17442849999999999</v>
      </c>
      <c r="P93" s="6">
        <f t="shared" si="14"/>
        <v>-0.16841410000000001</v>
      </c>
      <c r="Q93" s="6">
        <f t="shared" si="14"/>
        <v>5.005884E-2</v>
      </c>
      <c r="R93" s="6">
        <f t="shared" si="14"/>
        <v>-0.14789769999999999</v>
      </c>
      <c r="S93" s="6">
        <f t="shared" si="14"/>
        <v>-0.12965109999999999</v>
      </c>
      <c r="T93" s="6">
        <f t="shared" si="14"/>
        <v>9.3321800000000007E-3</v>
      </c>
      <c r="U93" s="6">
        <f t="shared" si="14"/>
        <v>-9.9428649999999993E-2</v>
      </c>
      <c r="V93" s="6">
        <f t="shared" si="14"/>
        <v>-8.2848069999999996E-2</v>
      </c>
      <c r="W93" s="6">
        <f t="shared" si="14"/>
        <v>-5.9212210000000001E-2</v>
      </c>
      <c r="X93" s="6">
        <f>G31</f>
        <v>-4.756403E-2</v>
      </c>
      <c r="Y93" s="6">
        <f t="shared" ref="Y93:AM93" si="15">H31</f>
        <v>-1.6677379999999999E-2</v>
      </c>
      <c r="Z93" s="6">
        <f t="shared" si="15"/>
        <v>-6.6955570000000006E-2</v>
      </c>
      <c r="AA93" s="6">
        <f t="shared" si="15"/>
        <v>-8.0394740000000006E-2</v>
      </c>
      <c r="AB93" s="6">
        <f t="shared" si="15"/>
        <v>-9.0582850000000006E-2</v>
      </c>
      <c r="AC93" s="6">
        <f t="shared" si="15"/>
        <v>-0.11186309999999999</v>
      </c>
      <c r="AD93" s="6">
        <f t="shared" si="15"/>
        <v>-0.15298990000000001</v>
      </c>
      <c r="AE93" s="6">
        <f t="shared" si="15"/>
        <v>-0.16552929999999999</v>
      </c>
      <c r="AF93" s="6">
        <f t="shared" si="15"/>
        <v>-0.1760592</v>
      </c>
      <c r="AG93" s="6">
        <f t="shared" si="15"/>
        <v>-0.18118999999999999</v>
      </c>
      <c r="AH93" s="6">
        <f t="shared" si="15"/>
        <v>-0.19306329999999999</v>
      </c>
      <c r="AI93" s="6">
        <f t="shared" si="15"/>
        <v>-0.19506599999999999</v>
      </c>
      <c r="AJ93" s="6">
        <f t="shared" si="15"/>
        <v>-0.1881757</v>
      </c>
      <c r="AK93" s="6">
        <f t="shared" si="15"/>
        <v>-0.1859365</v>
      </c>
      <c r="AL93" s="6">
        <f t="shared" si="15"/>
        <v>-0.17488770000000001</v>
      </c>
      <c r="AM93" s="6">
        <f t="shared" si="15"/>
        <v>-0.15012449999999999</v>
      </c>
    </row>
    <row r="94" spans="7:39" x14ac:dyDescent="0.25">
      <c r="G94" s="5">
        <v>3</v>
      </c>
      <c r="H94" s="6">
        <f>G33</f>
        <v>0.20521590000000001</v>
      </c>
      <c r="I94" s="6">
        <f t="shared" ref="I94:W94" si="16">H33</f>
        <v>-1.7777439999999999E-2</v>
      </c>
      <c r="J94" s="6">
        <f t="shared" si="16"/>
        <v>-9.3681340000000002E-2</v>
      </c>
      <c r="K94" s="6">
        <f t="shared" si="16"/>
        <v>-0.13082460000000001</v>
      </c>
      <c r="L94" s="6">
        <f t="shared" si="16"/>
        <v>-0.1413064</v>
      </c>
      <c r="M94" s="6">
        <f t="shared" si="16"/>
        <v>-1.099205E-2</v>
      </c>
      <c r="N94" s="6">
        <f t="shared" si="16"/>
        <v>-0.16668369999999999</v>
      </c>
      <c r="O94" s="6">
        <f t="shared" si="16"/>
        <v>-0.15320919999999999</v>
      </c>
      <c r="P94" s="6">
        <f t="shared" si="16"/>
        <v>-0.1507349</v>
      </c>
      <c r="Q94" s="6">
        <f t="shared" si="16"/>
        <v>5.0930019999999999E-2</v>
      </c>
      <c r="R94" s="6">
        <f t="shared" si="16"/>
        <v>-0.1364465</v>
      </c>
      <c r="S94" s="6">
        <f t="shared" si="16"/>
        <v>-0.1199765</v>
      </c>
      <c r="T94" s="6">
        <f t="shared" si="16"/>
        <v>1.0223390000000001E-2</v>
      </c>
      <c r="U94" s="6">
        <f t="shared" si="16"/>
        <v>-9.5776559999999997E-2</v>
      </c>
      <c r="V94" s="6">
        <f t="shared" si="16"/>
        <v>-7.8064439999999999E-2</v>
      </c>
      <c r="W94" s="6">
        <f t="shared" si="16"/>
        <v>-5.786848E-2</v>
      </c>
      <c r="X94" s="6">
        <f>G34</f>
        <v>-4.7929289999999999E-2</v>
      </c>
      <c r="Y94" s="6">
        <f t="shared" ref="Y94:AM94" si="17">H34</f>
        <v>-1.745176E-2</v>
      </c>
      <c r="Z94" s="6">
        <f t="shared" si="17"/>
        <v>-6.4588549999999995E-2</v>
      </c>
      <c r="AA94" s="6">
        <f t="shared" si="17"/>
        <v>-7.9702850000000006E-2</v>
      </c>
      <c r="AB94" s="6">
        <f t="shared" si="17"/>
        <v>-9.384584E-2</v>
      </c>
      <c r="AC94" s="6">
        <f t="shared" si="17"/>
        <v>-0.11976340000000001</v>
      </c>
      <c r="AD94" s="6">
        <f t="shared" si="17"/>
        <v>-0.1632786</v>
      </c>
      <c r="AE94" s="6">
        <f t="shared" si="17"/>
        <v>-0.17887069999999999</v>
      </c>
      <c r="AF94" s="6">
        <f t="shared" si="17"/>
        <v>-0.19226550000000001</v>
      </c>
      <c r="AG94" s="6">
        <f t="shared" si="17"/>
        <v>-0.20039560000000001</v>
      </c>
      <c r="AH94" s="6">
        <f t="shared" si="17"/>
        <v>-0.21679309999999999</v>
      </c>
      <c r="AI94" s="6">
        <f t="shared" si="17"/>
        <v>-0.2260566</v>
      </c>
      <c r="AJ94" s="6">
        <f t="shared" si="17"/>
        <v>-0.22435050000000001</v>
      </c>
      <c r="AK94" s="6">
        <f t="shared" si="17"/>
        <v>-0.2302613</v>
      </c>
      <c r="AL94" s="6">
        <f t="shared" si="17"/>
        <v>-0.23447899999999999</v>
      </c>
      <c r="AM94" s="6">
        <f t="shared" si="17"/>
        <v>-0.2277489</v>
      </c>
    </row>
    <row r="95" spans="7:39" x14ac:dyDescent="0.25">
      <c r="G95" s="5">
        <v>4</v>
      </c>
      <c r="H95" s="6">
        <f>G36</f>
        <v>0.17892649999999999</v>
      </c>
      <c r="I95" s="6">
        <f t="shared" ref="I95:W95" si="18">H36</f>
        <v>4.4933319999999999E-2</v>
      </c>
      <c r="J95" s="6">
        <f t="shared" si="18"/>
        <v>-3.6263940000000001E-2</v>
      </c>
      <c r="K95" s="6">
        <f t="shared" si="18"/>
        <v>-8.4902759999999994E-2</v>
      </c>
      <c r="L95" s="6">
        <f t="shared" si="18"/>
        <v>-0.1030741</v>
      </c>
      <c r="M95" s="6">
        <f t="shared" si="18"/>
        <v>-8.3870890000000003E-3</v>
      </c>
      <c r="N95" s="6">
        <f t="shared" si="18"/>
        <v>-0.13909669999999999</v>
      </c>
      <c r="O95" s="6">
        <f t="shared" si="18"/>
        <v>-0.13023760000000001</v>
      </c>
      <c r="P95" s="6">
        <f t="shared" si="18"/>
        <v>-0.1306882</v>
      </c>
      <c r="Q95" s="6">
        <f t="shared" si="18"/>
        <v>5.0755979999999999E-2</v>
      </c>
      <c r="R95" s="6">
        <f t="shared" si="18"/>
        <v>-0.1228433</v>
      </c>
      <c r="S95" s="6">
        <f t="shared" si="18"/>
        <v>-0.1090279</v>
      </c>
      <c r="T95" s="6">
        <f t="shared" si="18"/>
        <v>1.093674E-2</v>
      </c>
      <c r="U95" s="6">
        <f t="shared" si="18"/>
        <v>-9.0385439999999997E-2</v>
      </c>
      <c r="V95" s="6">
        <f t="shared" si="18"/>
        <v>-7.3481080000000004E-2</v>
      </c>
      <c r="W95" s="6">
        <f t="shared" si="18"/>
        <v>-5.6413650000000003E-2</v>
      </c>
      <c r="X95" s="6">
        <f>G37</f>
        <v>-4.7929289999999999E-2</v>
      </c>
      <c r="Y95" s="6">
        <f t="shared" ref="Y95:AM95" si="19">H37</f>
        <v>-1.8533230000000001E-2</v>
      </c>
      <c r="Z95" s="6">
        <f t="shared" si="19"/>
        <v>-6.2039850000000001E-2</v>
      </c>
      <c r="AA95" s="6">
        <f t="shared" si="19"/>
        <v>-7.9007149999999998E-2</v>
      </c>
      <c r="AB95" s="6">
        <f t="shared" si="19"/>
        <v>-9.475422E-2</v>
      </c>
      <c r="AC95" s="6">
        <f t="shared" si="19"/>
        <v>-0.1229982</v>
      </c>
      <c r="AD95" s="6">
        <f t="shared" si="19"/>
        <v>-0.17234179999999999</v>
      </c>
      <c r="AE95" s="6">
        <f t="shared" si="19"/>
        <v>-0.19147829999999999</v>
      </c>
      <c r="AF95" s="6">
        <f t="shared" si="19"/>
        <v>-0.20667740000000001</v>
      </c>
      <c r="AG95" s="6">
        <f t="shared" si="19"/>
        <v>-0.21849250000000001</v>
      </c>
      <c r="AH95" s="6">
        <f t="shared" si="19"/>
        <v>-0.23890400000000001</v>
      </c>
      <c r="AI95" s="6">
        <f t="shared" si="19"/>
        <v>-0.255774</v>
      </c>
      <c r="AJ95" s="6">
        <f t="shared" si="19"/>
        <v>-0.25967879999999999</v>
      </c>
      <c r="AK95" s="6">
        <f t="shared" si="19"/>
        <v>-0.2756729</v>
      </c>
      <c r="AL95" s="6">
        <f t="shared" si="19"/>
        <v>-0.29736849999999998</v>
      </c>
      <c r="AM95" s="6">
        <f t="shared" si="19"/>
        <v>-0.31074000000000002</v>
      </c>
    </row>
    <row r="96" spans="7:39" x14ac:dyDescent="0.25">
      <c r="G96" s="5">
        <v>5</v>
      </c>
      <c r="H96" s="6">
        <f>G39</f>
        <v>0.1320472</v>
      </c>
      <c r="I96" s="6">
        <f t="shared" ref="I96:W96" si="20">H39</f>
        <v>9.65395E-2</v>
      </c>
      <c r="J96" s="6">
        <f t="shared" si="20"/>
        <v>1.4818670000000001E-2</v>
      </c>
      <c r="K96" s="6">
        <f t="shared" si="20"/>
        <v>-4.2586800000000001E-2</v>
      </c>
      <c r="L96" s="6">
        <f t="shared" si="20"/>
        <v>-6.759453E-2</v>
      </c>
      <c r="M96" s="6">
        <f t="shared" si="20"/>
        <v>-5.089283E-3</v>
      </c>
      <c r="N96" s="6">
        <f t="shared" si="20"/>
        <v>-0.11294269999999999</v>
      </c>
      <c r="O96" s="6">
        <f t="shared" si="20"/>
        <v>-0.10796260000000001</v>
      </c>
      <c r="P96" s="6">
        <f t="shared" si="20"/>
        <v>-0.1117139</v>
      </c>
      <c r="Q96" s="6">
        <f t="shared" si="20"/>
        <v>5.1974770000000003E-2</v>
      </c>
      <c r="R96" s="6">
        <f t="shared" si="20"/>
        <v>-0.1098933</v>
      </c>
      <c r="S96" s="6">
        <f t="shared" si="20"/>
        <v>-9.8729129999999998E-2</v>
      </c>
      <c r="T96" s="6">
        <f t="shared" si="20"/>
        <v>1.129055E-2</v>
      </c>
      <c r="U96" s="6">
        <f t="shared" si="20"/>
        <v>-8.3081249999999995E-2</v>
      </c>
      <c r="V96" s="6">
        <f t="shared" si="20"/>
        <v>-6.9815160000000001E-2</v>
      </c>
      <c r="W96" s="6">
        <f t="shared" si="20"/>
        <v>-5.5032730000000002E-2</v>
      </c>
      <c r="X96" s="6">
        <f>G40</f>
        <v>-4.8659319999999999E-2</v>
      </c>
      <c r="Y96" s="6">
        <f t="shared" ref="Y96:AM96" si="21">H40</f>
        <v>-2.0643229999999999E-2</v>
      </c>
      <c r="Z96" s="6">
        <f t="shared" si="21"/>
        <v>-5.9309960000000002E-2</v>
      </c>
      <c r="AA96" s="6">
        <f t="shared" si="21"/>
        <v>-7.7440739999999994E-2</v>
      </c>
      <c r="AB96" s="6">
        <f t="shared" si="21"/>
        <v>-9.5304970000000003E-2</v>
      </c>
      <c r="AC96" s="6">
        <f t="shared" si="21"/>
        <v>-0.12497659999999999</v>
      </c>
      <c r="AD96" s="6">
        <f t="shared" si="21"/>
        <v>-0.18140510000000001</v>
      </c>
      <c r="AE96" s="6">
        <f t="shared" si="21"/>
        <v>-0.20538519999999999</v>
      </c>
      <c r="AF96" s="6">
        <f t="shared" si="21"/>
        <v>-0.22215270000000001</v>
      </c>
      <c r="AG96" s="6">
        <f t="shared" si="21"/>
        <v>-0.23713590000000001</v>
      </c>
      <c r="AH96" s="6">
        <f t="shared" si="21"/>
        <v>-0.26247219999999999</v>
      </c>
      <c r="AI96" s="6">
        <f t="shared" si="21"/>
        <v>-0.28694770000000003</v>
      </c>
      <c r="AJ96" s="6">
        <f t="shared" si="21"/>
        <v>-0.29659459999999999</v>
      </c>
      <c r="AK96" s="6">
        <f t="shared" si="21"/>
        <v>-0.32327990000000001</v>
      </c>
      <c r="AL96" s="6">
        <f t="shared" si="21"/>
        <v>-0.3630023</v>
      </c>
      <c r="AM96" s="6">
        <f t="shared" si="21"/>
        <v>-0.40141529999999997</v>
      </c>
    </row>
    <row r="97" spans="7:39" x14ac:dyDescent="0.25">
      <c r="G97" s="5">
        <v>6</v>
      </c>
      <c r="H97" s="6">
        <f>G42</f>
        <v>6.1889649999999997E-2</v>
      </c>
      <c r="I97" s="6">
        <f t="shared" ref="I97:W97" si="22">H42</f>
        <v>0.1374726</v>
      </c>
      <c r="J97" s="6">
        <f t="shared" si="22"/>
        <v>5.958509E-2</v>
      </c>
      <c r="K97" s="6">
        <f t="shared" si="22"/>
        <v>-3.3898349999999999E-3</v>
      </c>
      <c r="L97" s="6">
        <f t="shared" si="22"/>
        <v>-3.3832550000000003E-2</v>
      </c>
      <c r="M97" s="6">
        <f t="shared" si="22"/>
        <v>-2.9940610000000001E-3</v>
      </c>
      <c r="N97" s="6">
        <f t="shared" si="22"/>
        <v>-8.6733340000000006E-2</v>
      </c>
      <c r="O97" s="6">
        <f t="shared" si="22"/>
        <v>-8.5873130000000006E-2</v>
      </c>
      <c r="P97" s="6">
        <f t="shared" si="22"/>
        <v>-9.2638490000000004E-2</v>
      </c>
      <c r="Q97" s="6">
        <f t="shared" si="22"/>
        <v>5.1993850000000001E-2</v>
      </c>
      <c r="R97" s="6">
        <f t="shared" si="22"/>
        <v>-9.6882819999999994E-2</v>
      </c>
      <c r="S97" s="6">
        <f t="shared" si="22"/>
        <v>-8.8654040000000003E-2</v>
      </c>
      <c r="T97" s="6">
        <f t="shared" si="22"/>
        <v>1.111269E-2</v>
      </c>
      <c r="U97" s="6">
        <f t="shared" si="22"/>
        <v>-7.7168459999999994E-2</v>
      </c>
      <c r="V97" s="6">
        <f t="shared" si="22"/>
        <v>-6.5965179999999998E-2</v>
      </c>
      <c r="W97" s="6">
        <f t="shared" si="22"/>
        <v>-5.1506999999999997E-2</v>
      </c>
      <c r="X97" s="6">
        <f>G43</f>
        <v>-4.8476699999999998E-2</v>
      </c>
      <c r="Y97" s="6">
        <f t="shared" ref="Y97:AM97" si="23">H43</f>
        <v>-2.3936269999999999E-2</v>
      </c>
      <c r="Z97" s="6">
        <f t="shared" si="23"/>
        <v>-5.6753640000000001E-2</v>
      </c>
      <c r="AA97" s="6">
        <f t="shared" si="23"/>
        <v>-7.5874810000000001E-2</v>
      </c>
      <c r="AB97" s="6">
        <f t="shared" si="23"/>
        <v>-9.5849989999999996E-2</v>
      </c>
      <c r="AC97" s="6">
        <f t="shared" si="23"/>
        <v>-0.1265936</v>
      </c>
      <c r="AD97" s="6">
        <f t="shared" si="23"/>
        <v>-0.19429540000000001</v>
      </c>
      <c r="AE97" s="6">
        <f t="shared" si="23"/>
        <v>-0.21578549999999999</v>
      </c>
      <c r="AF97" s="6">
        <f t="shared" si="23"/>
        <v>-0.2406993</v>
      </c>
      <c r="AG97" s="6">
        <f t="shared" si="23"/>
        <v>-0.25744820000000002</v>
      </c>
      <c r="AH97" s="6">
        <f t="shared" si="23"/>
        <v>-0.28585339999999998</v>
      </c>
      <c r="AI97" s="6">
        <f t="shared" si="23"/>
        <v>-0.31846190000000002</v>
      </c>
      <c r="AJ97" s="6">
        <f t="shared" si="23"/>
        <v>-0.33474350000000003</v>
      </c>
      <c r="AK97" s="6">
        <f t="shared" si="23"/>
        <v>-0.37195869999999998</v>
      </c>
      <c r="AL97" s="6">
        <f t="shared" si="23"/>
        <v>-0.43230439999999998</v>
      </c>
      <c r="AM97" s="6">
        <f t="shared" si="23"/>
        <v>-0.49728159999999999</v>
      </c>
    </row>
    <row r="98" spans="7:39" x14ac:dyDescent="0.25">
      <c r="G98" s="5">
        <v>7</v>
      </c>
      <c r="H98" s="6">
        <f>G45</f>
        <v>-3.0269620000000001E-2</v>
      </c>
      <c r="I98" s="6">
        <f t="shared" ref="I98:W98" si="24">H45</f>
        <v>0.16725209999999999</v>
      </c>
      <c r="J98" s="6">
        <f t="shared" si="24"/>
        <v>9.6936229999999998E-2</v>
      </c>
      <c r="K98" s="6">
        <f t="shared" si="24"/>
        <v>3.1187530000000002E-2</v>
      </c>
      <c r="L98" s="6">
        <f t="shared" si="24"/>
        <v>-2.9978750000000001E-3</v>
      </c>
      <c r="M98" s="6">
        <f t="shared" si="24"/>
        <v>-1.6045569999999999E-3</v>
      </c>
      <c r="N98" s="6">
        <f t="shared" si="24"/>
        <v>-6.1971659999999998E-2</v>
      </c>
      <c r="O98" s="6">
        <f t="shared" si="24"/>
        <v>-6.5353389999999997E-2</v>
      </c>
      <c r="P98" s="6">
        <f t="shared" si="24"/>
        <v>-7.4680330000000003E-2</v>
      </c>
      <c r="Q98" s="6">
        <f t="shared" si="24"/>
        <v>5.2342409999999999E-2</v>
      </c>
      <c r="R98" s="6">
        <f t="shared" si="24"/>
        <v>-8.380079E-2</v>
      </c>
      <c r="S98" s="6">
        <f t="shared" si="24"/>
        <v>-7.8225610000000001E-2</v>
      </c>
      <c r="T98" s="6">
        <f t="shared" si="24"/>
        <v>1.236105E-2</v>
      </c>
      <c r="U98" s="6">
        <f t="shared" si="24"/>
        <v>-7.0211410000000002E-2</v>
      </c>
      <c r="V98" s="6">
        <f t="shared" si="24"/>
        <v>-5.8814529999999997E-2</v>
      </c>
      <c r="W98" s="6">
        <f t="shared" si="24"/>
        <v>-5.0415990000000001E-2</v>
      </c>
      <c r="X98" s="6">
        <f>G46</f>
        <v>-4.5007709999999999E-2</v>
      </c>
      <c r="Y98" s="6">
        <f t="shared" ref="Y98:AM98" si="25">H46</f>
        <v>-2.898216E-2</v>
      </c>
      <c r="Z98" s="6">
        <f t="shared" si="25"/>
        <v>-5.7300089999999998E-2</v>
      </c>
      <c r="AA98" s="6">
        <f t="shared" si="25"/>
        <v>-7.6396469999999994E-2</v>
      </c>
      <c r="AB98" s="6">
        <f t="shared" si="25"/>
        <v>-9.8210809999999996E-2</v>
      </c>
      <c r="AC98" s="6">
        <f t="shared" si="25"/>
        <v>-0.12893009999999999</v>
      </c>
      <c r="AD98" s="6">
        <f t="shared" si="25"/>
        <v>-0.20457890000000001</v>
      </c>
      <c r="AE98" s="6">
        <f t="shared" si="25"/>
        <v>-0.23515269999999999</v>
      </c>
      <c r="AF98" s="6">
        <f t="shared" si="25"/>
        <v>-0.25781199999999999</v>
      </c>
      <c r="AG98" s="6">
        <f t="shared" si="25"/>
        <v>-0.2748041</v>
      </c>
      <c r="AH98" s="6">
        <f t="shared" si="25"/>
        <v>-0.31611630000000002</v>
      </c>
      <c r="AI98" s="6">
        <f t="shared" si="25"/>
        <v>-0.3528848</v>
      </c>
      <c r="AJ98" s="6">
        <f t="shared" si="25"/>
        <v>-0.37515880000000001</v>
      </c>
      <c r="AK98" s="6">
        <f t="shared" si="25"/>
        <v>-0.42428779999999999</v>
      </c>
      <c r="AL98" s="6">
        <f t="shared" si="25"/>
        <v>-0.5041561</v>
      </c>
      <c r="AM98" s="6">
        <f t="shared" si="25"/>
        <v>-0.60136219999999996</v>
      </c>
    </row>
    <row r="99" spans="7:39" x14ac:dyDescent="0.25">
      <c r="G99" s="5">
        <v>8</v>
      </c>
      <c r="H99" s="6">
        <f>G48</f>
        <v>-0.14353750000000001</v>
      </c>
      <c r="I99" s="6">
        <f t="shared" ref="I99:W99" si="26">H48</f>
        <v>0.1866746</v>
      </c>
      <c r="J99" s="6">
        <f t="shared" si="26"/>
        <v>0.1286621</v>
      </c>
      <c r="K99" s="6">
        <f t="shared" si="26"/>
        <v>6.3212870000000004E-2</v>
      </c>
      <c r="L99" s="6">
        <f t="shared" si="26"/>
        <v>2.628088E-2</v>
      </c>
      <c r="M99" s="6">
        <f t="shared" si="26"/>
        <v>-4.1007999999999998E-5</v>
      </c>
      <c r="N99" s="6">
        <f t="shared" si="26"/>
        <v>-3.8337709999999997E-2</v>
      </c>
      <c r="O99" s="6">
        <f t="shared" si="26"/>
        <v>-4.5173169999999999E-2</v>
      </c>
      <c r="P99" s="6">
        <f t="shared" si="26"/>
        <v>-5.6139950000000001E-2</v>
      </c>
      <c r="Q99" s="6">
        <f t="shared" si="26"/>
        <v>5.2690510000000003E-2</v>
      </c>
      <c r="R99" s="6">
        <f t="shared" si="26"/>
        <v>-7.0613380000000003E-2</v>
      </c>
      <c r="S99" s="6">
        <f t="shared" si="26"/>
        <v>-6.7113880000000001E-2</v>
      </c>
      <c r="T99" s="6">
        <f t="shared" si="26"/>
        <v>1.3254169999999999E-2</v>
      </c>
      <c r="U99" s="6">
        <f t="shared" si="26"/>
        <v>-6.186295E-2</v>
      </c>
      <c r="V99" s="6">
        <f t="shared" si="26"/>
        <v>-5.1848890000000002E-2</v>
      </c>
      <c r="W99" s="6">
        <f t="shared" si="26"/>
        <v>-4.3218609999999998E-2</v>
      </c>
      <c r="X99" s="6">
        <f>G49</f>
        <v>-3.8982389999999999E-2</v>
      </c>
      <c r="Y99" s="6">
        <f t="shared" ref="Y99:AM99" si="27">H49</f>
        <v>-3.2531259999999999E-2</v>
      </c>
      <c r="Z99" s="6">
        <f t="shared" si="27"/>
        <v>-5.8404449999999997E-2</v>
      </c>
      <c r="AA99" s="6">
        <f t="shared" si="27"/>
        <v>-7.7093120000000001E-2</v>
      </c>
      <c r="AB99" s="6">
        <f t="shared" si="27"/>
        <v>-0.100215</v>
      </c>
      <c r="AC99" s="6">
        <f t="shared" si="27"/>
        <v>-0.13144639999999999</v>
      </c>
      <c r="AD99" s="6">
        <f t="shared" si="27"/>
        <v>-0.21347140000000001</v>
      </c>
      <c r="AE99" s="6">
        <f t="shared" si="27"/>
        <v>-0.24812980000000001</v>
      </c>
      <c r="AF99" s="6">
        <f t="shared" si="27"/>
        <v>-0.27496959999999998</v>
      </c>
      <c r="AG99" s="6">
        <f t="shared" si="27"/>
        <v>-0.29991770000000001</v>
      </c>
      <c r="AH99" s="6">
        <f t="shared" si="27"/>
        <v>-0.34312680000000001</v>
      </c>
      <c r="AI99" s="6">
        <f t="shared" si="27"/>
        <v>-0.37988810000000001</v>
      </c>
      <c r="AJ99" s="6">
        <f t="shared" si="27"/>
        <v>-0.42258790000000002</v>
      </c>
      <c r="AK99" s="6">
        <f t="shared" si="27"/>
        <v>-0.48373890000000003</v>
      </c>
      <c r="AL99" s="6">
        <f t="shared" si="27"/>
        <v>-0.57746889999999995</v>
      </c>
      <c r="AM99" s="6">
        <f t="shared" si="27"/>
        <v>-0.7039552</v>
      </c>
    </row>
    <row r="100" spans="7:39" x14ac:dyDescent="0.25">
      <c r="G100" s="5">
        <v>9</v>
      </c>
      <c r="H100" s="6">
        <f>G51</f>
        <v>-0.26103880000000002</v>
      </c>
      <c r="I100" s="6">
        <f t="shared" ref="I100:W100" si="28">H51</f>
        <v>0.19416</v>
      </c>
      <c r="J100" s="6">
        <f t="shared" si="28"/>
        <v>0.1515927</v>
      </c>
      <c r="K100" s="6">
        <f t="shared" si="28"/>
        <v>8.8156219999999993E-2</v>
      </c>
      <c r="L100" s="6">
        <f t="shared" si="28"/>
        <v>4.9886229999999997E-2</v>
      </c>
      <c r="M100" s="6">
        <f t="shared" si="28"/>
        <v>1.507282E-3</v>
      </c>
      <c r="N100" s="6">
        <f t="shared" si="28"/>
        <v>-1.8492700000000001E-2</v>
      </c>
      <c r="O100" s="6">
        <f t="shared" si="28"/>
        <v>-2.7983669999999999E-2</v>
      </c>
      <c r="P100" s="6">
        <f t="shared" si="28"/>
        <v>-4.0990350000000002E-2</v>
      </c>
      <c r="Q100" s="6">
        <f t="shared" si="28"/>
        <v>5.319405E-2</v>
      </c>
      <c r="R100" s="6">
        <f t="shared" si="28"/>
        <v>-5.9632299999999999E-2</v>
      </c>
      <c r="S100" s="6">
        <f t="shared" si="28"/>
        <v>-5.8428760000000003E-2</v>
      </c>
      <c r="T100" s="6">
        <f t="shared" si="28"/>
        <v>1.378822E-2</v>
      </c>
      <c r="U100" s="6">
        <f t="shared" si="28"/>
        <v>-5.6993009999999997E-2</v>
      </c>
      <c r="V100" s="6">
        <f t="shared" si="28"/>
        <v>-4.8916340000000003E-2</v>
      </c>
      <c r="W100" s="6">
        <f t="shared" si="28"/>
        <v>-4.1044240000000003E-2</v>
      </c>
      <c r="X100" s="6">
        <f>G52</f>
        <v>-3.6973480000000003E-2</v>
      </c>
      <c r="Y100" s="6">
        <f t="shared" ref="Y100:AM100" si="29">H52</f>
        <v>-3.3432480000000001E-2</v>
      </c>
      <c r="Z100" s="6">
        <f t="shared" si="29"/>
        <v>-5.5303570000000003E-2</v>
      </c>
      <c r="AA100" s="6">
        <f t="shared" si="29"/>
        <v>-7.3962689999999998E-2</v>
      </c>
      <c r="AB100" s="6">
        <f t="shared" si="29"/>
        <v>-9.8937029999999995E-2</v>
      </c>
      <c r="AC100" s="6">
        <f t="shared" si="29"/>
        <v>-0.1310868</v>
      </c>
      <c r="AD100" s="6">
        <f t="shared" si="29"/>
        <v>-0.21974469999999999</v>
      </c>
      <c r="AE100" s="6">
        <f t="shared" si="29"/>
        <v>-0.2578163</v>
      </c>
      <c r="AF100" s="6">
        <f t="shared" si="29"/>
        <v>-0.2873869</v>
      </c>
      <c r="AG100" s="6">
        <f t="shared" si="29"/>
        <v>-0.31672240000000002</v>
      </c>
      <c r="AH100" s="6">
        <f t="shared" si="29"/>
        <v>-0.36449340000000002</v>
      </c>
      <c r="AI100" s="6">
        <f t="shared" si="29"/>
        <v>-0.41952800000000001</v>
      </c>
      <c r="AJ100" s="6">
        <f t="shared" si="29"/>
        <v>-0.44313760000000002</v>
      </c>
      <c r="AK100" s="6">
        <f t="shared" si="29"/>
        <v>-0.55592200000000003</v>
      </c>
      <c r="AL100" s="6">
        <f t="shared" si="29"/>
        <v>-0.64948130000000004</v>
      </c>
      <c r="AM100" s="6">
        <f t="shared" si="29"/>
        <v>-0.80336620000000003</v>
      </c>
    </row>
    <row r="101" spans="7:39" x14ac:dyDescent="0.25">
      <c r="G101" s="5">
        <v>10</v>
      </c>
      <c r="H101" s="6">
        <f>G54</f>
        <v>-0.38223980000000002</v>
      </c>
      <c r="I101" s="6">
        <f t="shared" ref="I101:W101" si="30">H54</f>
        <v>0.19380810000000001</v>
      </c>
      <c r="J101" s="6">
        <f t="shared" si="30"/>
        <v>0.1671</v>
      </c>
      <c r="K101" s="6">
        <f t="shared" si="30"/>
        <v>0.1084595</v>
      </c>
      <c r="L101" s="6">
        <f t="shared" si="30"/>
        <v>6.9009780000000007E-2</v>
      </c>
      <c r="M101" s="6">
        <f t="shared" si="30"/>
        <v>2.72274E-3</v>
      </c>
      <c r="N101" s="6">
        <f t="shared" si="30"/>
        <v>-9.8085399999999997E-4</v>
      </c>
      <c r="O101" s="6">
        <f t="shared" si="30"/>
        <v>-1.2899880000000001E-2</v>
      </c>
      <c r="P101" s="6">
        <f t="shared" si="30"/>
        <v>-2.7739050000000001E-2</v>
      </c>
      <c r="Q101" s="6">
        <f t="shared" si="30"/>
        <v>5.319405E-2</v>
      </c>
      <c r="R101" s="6">
        <f t="shared" si="30"/>
        <v>-5.0038340000000001E-2</v>
      </c>
      <c r="S101" s="6">
        <f t="shared" si="30"/>
        <v>-5.1128859999999998E-2</v>
      </c>
      <c r="T101" s="6">
        <f t="shared" si="30"/>
        <v>1.485825E-2</v>
      </c>
      <c r="U101" s="6">
        <f t="shared" si="30"/>
        <v>-5.3340440000000003E-2</v>
      </c>
      <c r="V101" s="6">
        <f t="shared" si="30"/>
        <v>-4.6899799999999998E-2</v>
      </c>
      <c r="W101" s="6">
        <f t="shared" si="30"/>
        <v>-4.1408540000000001E-2</v>
      </c>
      <c r="X101" s="6">
        <f>G55</f>
        <v>-4.0259839999999998E-2</v>
      </c>
      <c r="Y101" s="6">
        <f t="shared" ref="Y101:AM101" si="31">H55</f>
        <v>-3.6136149999999999E-2</v>
      </c>
      <c r="Z101" s="6">
        <f t="shared" si="31"/>
        <v>-5.3300859999999999E-2</v>
      </c>
      <c r="AA101" s="6">
        <f t="shared" si="31"/>
        <v>-7.0657730000000002E-2</v>
      </c>
      <c r="AB101" s="6">
        <f t="shared" si="31"/>
        <v>-9.6031190000000002E-2</v>
      </c>
      <c r="AC101" s="6">
        <f t="shared" si="31"/>
        <v>-0.12875030000000001</v>
      </c>
      <c r="AD101" s="6">
        <f t="shared" si="31"/>
        <v>-0.22305630000000001</v>
      </c>
      <c r="AE101" s="6">
        <f t="shared" si="31"/>
        <v>-0.26548959999999999</v>
      </c>
      <c r="AF101" s="6">
        <f t="shared" si="31"/>
        <v>-0.29675289999999999</v>
      </c>
      <c r="AG101" s="6">
        <f t="shared" si="31"/>
        <v>-0.328907</v>
      </c>
      <c r="AH101" s="6">
        <f t="shared" si="31"/>
        <v>-0.38170670000000001</v>
      </c>
      <c r="AI101" s="6">
        <f t="shared" si="31"/>
        <v>-0.44506790000000002</v>
      </c>
      <c r="AJ101" s="6">
        <f t="shared" si="31"/>
        <v>-0.48038429999999999</v>
      </c>
      <c r="AK101" s="6">
        <f t="shared" si="31"/>
        <v>-0.51417729999999995</v>
      </c>
      <c r="AL101" s="6">
        <f t="shared" si="31"/>
        <v>-0.73211910000000002</v>
      </c>
      <c r="AM101" s="6">
        <f t="shared" si="31"/>
        <v>-0.88948249999999995</v>
      </c>
    </row>
    <row r="102" spans="7:39" x14ac:dyDescent="0.25">
      <c r="G102" s="5">
        <v>11</v>
      </c>
      <c r="H102" s="6">
        <f>G57</f>
        <v>-0.51777890000000004</v>
      </c>
      <c r="I102" s="6">
        <f t="shared" ref="I102:W102" si="32">H57</f>
        <v>0.18788389999999999</v>
      </c>
      <c r="J102" s="6">
        <f t="shared" si="32"/>
        <v>0.17723179999999999</v>
      </c>
      <c r="K102" s="6">
        <f t="shared" si="32"/>
        <v>0.12565989999999999</v>
      </c>
      <c r="L102" s="6">
        <f t="shared" si="32"/>
        <v>8.692598E-2</v>
      </c>
      <c r="M102" s="6">
        <f t="shared" si="32"/>
        <v>3.7784580000000002E-3</v>
      </c>
      <c r="N102" s="6">
        <f t="shared" si="32"/>
        <v>1.515388E-2</v>
      </c>
      <c r="O102" s="6">
        <f t="shared" si="32"/>
        <v>1.12772E-3</v>
      </c>
      <c r="P102" s="6">
        <f t="shared" si="32"/>
        <v>-1.5027520000000001E-2</v>
      </c>
      <c r="Q102" s="6">
        <f t="shared" si="32"/>
        <v>5.3019520000000001E-2</v>
      </c>
      <c r="R102" s="6">
        <f t="shared" si="32"/>
        <v>-4.0744299999999997E-2</v>
      </c>
      <c r="S102" s="6">
        <f t="shared" si="32"/>
        <v>-4.4703479999999997E-2</v>
      </c>
      <c r="T102" s="6">
        <f t="shared" si="32"/>
        <v>1.5214439999999999E-2</v>
      </c>
      <c r="U102" s="6">
        <f t="shared" si="32"/>
        <v>-5.0209520000000001E-2</v>
      </c>
      <c r="V102" s="6">
        <f t="shared" si="32"/>
        <v>-4.5799729999999997E-2</v>
      </c>
      <c r="W102" s="6">
        <f t="shared" si="32"/>
        <v>-4.3225769999999997E-2</v>
      </c>
      <c r="X102" s="6">
        <f>G58</f>
        <v>-4.464245E-2</v>
      </c>
      <c r="Y102" s="6">
        <f t="shared" ref="Y102:AM102" si="33">H58</f>
        <v>-4.0460589999999998E-2</v>
      </c>
      <c r="Z102" s="6">
        <f t="shared" si="33"/>
        <v>-5.3670879999999997E-2</v>
      </c>
      <c r="AA102" s="6">
        <f t="shared" si="33"/>
        <v>-6.9439890000000004E-2</v>
      </c>
      <c r="AB102" s="6">
        <f t="shared" si="33"/>
        <v>-9.4760419999999998E-2</v>
      </c>
      <c r="AC102" s="6">
        <f t="shared" si="33"/>
        <v>-0.12713379999999999</v>
      </c>
      <c r="AD102" s="6">
        <f t="shared" si="33"/>
        <v>-0.22828480000000001</v>
      </c>
      <c r="AE102" s="6">
        <f t="shared" si="33"/>
        <v>-0.27353100000000002</v>
      </c>
      <c r="AF102" s="6">
        <f t="shared" si="33"/>
        <v>-0.30682799999999999</v>
      </c>
      <c r="AG102" s="6">
        <f t="shared" si="33"/>
        <v>-0.34258650000000002</v>
      </c>
      <c r="AH102" s="6">
        <f t="shared" si="33"/>
        <v>-0.39983269999999999</v>
      </c>
      <c r="AI102" s="6">
        <f t="shared" si="33"/>
        <v>-0.47172639999999999</v>
      </c>
      <c r="AJ102" s="6">
        <f t="shared" si="33"/>
        <v>-0.51464750000000004</v>
      </c>
      <c r="AK102" s="6">
        <f t="shared" si="33"/>
        <v>-0.57084990000000002</v>
      </c>
      <c r="AL102" s="6">
        <f t="shared" si="33"/>
        <v>-0.81731750000000003</v>
      </c>
      <c r="AM102" s="6">
        <f t="shared" si="33"/>
        <v>-0.97646619999999995</v>
      </c>
    </row>
    <row r="103" spans="7:39" x14ac:dyDescent="0.25">
      <c r="G103" s="5">
        <v>12</v>
      </c>
      <c r="H103" s="6">
        <f>G60</f>
        <v>-0.67457820000000002</v>
      </c>
      <c r="I103" s="6">
        <f t="shared" ref="I103:W103" si="34">H60</f>
        <v>0.17979239999999999</v>
      </c>
      <c r="J103" s="6">
        <f t="shared" si="34"/>
        <v>0.18646960000000001</v>
      </c>
      <c r="K103" s="6">
        <f t="shared" si="34"/>
        <v>0.14253850000000001</v>
      </c>
      <c r="L103" s="6">
        <f t="shared" si="34"/>
        <v>0.10484980000000001</v>
      </c>
      <c r="M103" s="6">
        <f t="shared" si="34"/>
        <v>5.5146220000000003E-3</v>
      </c>
      <c r="N103" s="6">
        <f t="shared" si="34"/>
        <v>3.1188960000000002E-2</v>
      </c>
      <c r="O103" s="6">
        <f t="shared" si="34"/>
        <v>1.481009E-2</v>
      </c>
      <c r="P103" s="6">
        <f t="shared" si="34"/>
        <v>-2.7527810000000002E-3</v>
      </c>
      <c r="Q103" s="6">
        <f t="shared" si="34"/>
        <v>5.3909779999999997E-2</v>
      </c>
      <c r="R103" s="6">
        <f t="shared" si="34"/>
        <v>-3.2031539999999997E-2</v>
      </c>
      <c r="S103" s="6">
        <f t="shared" si="34"/>
        <v>-3.8050649999999998E-2</v>
      </c>
      <c r="T103" s="6">
        <f t="shared" si="34"/>
        <v>1.557302E-2</v>
      </c>
      <c r="U103" s="6">
        <f t="shared" si="34"/>
        <v>-4.7253129999999997E-2</v>
      </c>
      <c r="V103" s="6">
        <f t="shared" si="34"/>
        <v>-4.4700620000000003E-2</v>
      </c>
      <c r="W103" s="6">
        <f t="shared" si="34"/>
        <v>-4.4063089999999999E-2</v>
      </c>
      <c r="X103" s="6">
        <f>G61</f>
        <v>-4.9207210000000001E-2</v>
      </c>
      <c r="Y103" s="6">
        <f t="shared" ref="Y103:AM103" si="35">H61</f>
        <v>-4.676056E-2</v>
      </c>
      <c r="Z103" s="6">
        <f t="shared" si="35"/>
        <v>-5.5127620000000002E-2</v>
      </c>
      <c r="AA103" s="6">
        <f t="shared" si="35"/>
        <v>-6.8221089999999998E-2</v>
      </c>
      <c r="AB103" s="6">
        <f t="shared" si="35"/>
        <v>-9.2943670000000006E-2</v>
      </c>
      <c r="AC103" s="6">
        <f t="shared" si="35"/>
        <v>-0.1256948</v>
      </c>
      <c r="AD103" s="6">
        <f t="shared" si="35"/>
        <v>-0.23403599999999999</v>
      </c>
      <c r="AE103" s="6">
        <f t="shared" si="35"/>
        <v>-0.2833986</v>
      </c>
      <c r="AF103" s="6">
        <f t="shared" si="35"/>
        <v>-0.32014799999999999</v>
      </c>
      <c r="AG103" s="6">
        <f t="shared" si="35"/>
        <v>-0.35937599999999997</v>
      </c>
      <c r="AH103" s="6">
        <f t="shared" si="35"/>
        <v>-0.42191980000000001</v>
      </c>
      <c r="AI103" s="6">
        <f t="shared" si="35"/>
        <v>-0.50307179999999996</v>
      </c>
      <c r="AJ103" s="6">
        <f t="shared" si="35"/>
        <v>-0.55452920000000006</v>
      </c>
      <c r="AK103" s="6">
        <f t="shared" si="35"/>
        <v>-0.62721780000000005</v>
      </c>
      <c r="AL103" s="6">
        <f t="shared" si="35"/>
        <v>-0.93072699999999997</v>
      </c>
      <c r="AM103" s="6">
        <f t="shared" si="35"/>
        <v>-1.0743769999999999</v>
      </c>
    </row>
    <row r="104" spans="7:39" x14ac:dyDescent="0.25">
      <c r="G104" s="5">
        <v>13</v>
      </c>
      <c r="H104" s="6">
        <f>G63</f>
        <v>-0.82441620000000004</v>
      </c>
      <c r="I104" s="6">
        <f t="shared" ref="I104:W104" si="36">H63</f>
        <v>0.16269919999999999</v>
      </c>
      <c r="J104" s="6">
        <f t="shared" si="36"/>
        <v>0.1885848</v>
      </c>
      <c r="K104" s="6">
        <f t="shared" si="36"/>
        <v>0.15372420000000001</v>
      </c>
      <c r="L104" s="6">
        <f t="shared" si="36"/>
        <v>0.11777260000000001</v>
      </c>
      <c r="M104" s="6">
        <f t="shared" si="36"/>
        <v>5.8622359999999998E-3</v>
      </c>
      <c r="N104" s="6">
        <f t="shared" si="36"/>
        <v>4.4280050000000001E-2</v>
      </c>
      <c r="O104" s="6">
        <f t="shared" si="36"/>
        <v>2.691317E-2</v>
      </c>
      <c r="P104" s="6">
        <f t="shared" si="36"/>
        <v>8.4071159999999992E-3</v>
      </c>
      <c r="Q104" s="6">
        <f t="shared" si="36"/>
        <v>5.4084300000000002E-2</v>
      </c>
      <c r="R104" s="6">
        <f t="shared" si="36"/>
        <v>-2.4181370000000001E-2</v>
      </c>
      <c r="S104" s="6">
        <f t="shared" si="36"/>
        <v>-3.231382E-2</v>
      </c>
      <c r="T104" s="6">
        <f t="shared" si="36"/>
        <v>1.6820430000000001E-2</v>
      </c>
      <c r="U104" s="6">
        <f t="shared" si="36"/>
        <v>-4.4470790000000003E-2</v>
      </c>
      <c r="V104" s="6">
        <f t="shared" si="36"/>
        <v>-4.3416980000000001E-2</v>
      </c>
      <c r="W104" s="6">
        <f t="shared" si="36"/>
        <v>-4.6608919999999998E-2</v>
      </c>
      <c r="X104" s="6">
        <f>G64</f>
        <v>-5.4685119999999997E-2</v>
      </c>
      <c r="Y104" s="6">
        <f t="shared" ref="Y104:AM104" si="37">H64</f>
        <v>-5.4689880000000003E-2</v>
      </c>
      <c r="Z104" s="6">
        <f t="shared" si="37"/>
        <v>-5.986118E-2</v>
      </c>
      <c r="AA104" s="6">
        <f t="shared" si="37"/>
        <v>-6.9786550000000003E-2</v>
      </c>
      <c r="AB104" s="6">
        <f t="shared" si="37"/>
        <v>-9.0946200000000005E-2</v>
      </c>
      <c r="AC104" s="6">
        <f t="shared" si="37"/>
        <v>-0.1221008</v>
      </c>
      <c r="AD104" s="6">
        <f t="shared" si="37"/>
        <v>-0.23595289999999999</v>
      </c>
      <c r="AE104" s="6">
        <f t="shared" si="37"/>
        <v>-0.28869679999999998</v>
      </c>
      <c r="AF104" s="6">
        <f t="shared" si="37"/>
        <v>-0.32735199999999998</v>
      </c>
      <c r="AG104" s="6">
        <f t="shared" si="37"/>
        <v>-0.36971470000000001</v>
      </c>
      <c r="AH104" s="6">
        <f t="shared" si="37"/>
        <v>-0.43786330000000001</v>
      </c>
      <c r="AI104" s="6">
        <f t="shared" si="37"/>
        <v>-0.52625560000000005</v>
      </c>
      <c r="AJ104" s="6">
        <f t="shared" si="37"/>
        <v>-0.58456609999999998</v>
      </c>
      <c r="AK104" s="6">
        <f t="shared" si="37"/>
        <v>-0.67005009999999998</v>
      </c>
      <c r="AL104" s="6">
        <f t="shared" si="37"/>
        <v>-1.049231</v>
      </c>
      <c r="AM104" s="6">
        <f t="shared" si="37"/>
        <v>-1.1395150000000001</v>
      </c>
    </row>
    <row r="105" spans="7:39" x14ac:dyDescent="0.25">
      <c r="G105" s="5">
        <v>14</v>
      </c>
      <c r="H105" s="6">
        <f>G66</f>
        <v>-0.9632096</v>
      </c>
      <c r="I105" s="6">
        <f t="shared" ref="I105:W105" si="38">H66</f>
        <v>0.1419907</v>
      </c>
      <c r="J105" s="6">
        <f t="shared" si="38"/>
        <v>0.18611620000000001</v>
      </c>
      <c r="K105" s="6">
        <f t="shared" si="38"/>
        <v>0.16180900000000001</v>
      </c>
      <c r="L105" s="6">
        <f t="shared" si="38"/>
        <v>0.12879940000000001</v>
      </c>
      <c r="M105" s="6">
        <f t="shared" si="38"/>
        <v>7.0776939999999998E-3</v>
      </c>
      <c r="N105" s="6">
        <f t="shared" si="38"/>
        <v>5.6353569999999999E-2</v>
      </c>
      <c r="O105" s="6">
        <f t="shared" si="38"/>
        <v>3.7614349999999998E-2</v>
      </c>
      <c r="P105" s="6">
        <f t="shared" si="38"/>
        <v>1.8512730000000002E-2</v>
      </c>
      <c r="Q105" s="6">
        <f t="shared" si="38"/>
        <v>5.319405E-2</v>
      </c>
      <c r="R105" s="6">
        <f t="shared" si="38"/>
        <v>-1.6917709999999999E-2</v>
      </c>
      <c r="S105" s="6">
        <f t="shared" si="38"/>
        <v>-2.6581759999999999E-2</v>
      </c>
      <c r="T105" s="6">
        <f t="shared" si="38"/>
        <v>1.6999719999999999E-2</v>
      </c>
      <c r="U105" s="6">
        <f t="shared" si="38"/>
        <v>-4.1339870000000001E-2</v>
      </c>
      <c r="V105" s="6">
        <f t="shared" si="38"/>
        <v>-4.3233389999999997E-2</v>
      </c>
      <c r="W105" s="6">
        <f t="shared" si="38"/>
        <v>-4.8425200000000002E-2</v>
      </c>
      <c r="X105" s="6">
        <f>G67</f>
        <v>-6.015682E-2</v>
      </c>
      <c r="Y105" s="6">
        <f t="shared" ref="Y105:AM105" si="39">H67</f>
        <v>-6.3387390000000002E-2</v>
      </c>
      <c r="Z105" s="6">
        <f t="shared" si="39"/>
        <v>-6.6603659999999995E-2</v>
      </c>
      <c r="AA105" s="6">
        <f t="shared" si="39"/>
        <v>-7.3092939999999995E-2</v>
      </c>
      <c r="AB105" s="6">
        <f t="shared" si="39"/>
        <v>-8.7864880000000006E-2</v>
      </c>
      <c r="AC105" s="6">
        <f t="shared" si="39"/>
        <v>-0.11473179999999999</v>
      </c>
      <c r="AD105" s="6">
        <f t="shared" si="39"/>
        <v>-0.23106860000000001</v>
      </c>
      <c r="AE105" s="6">
        <f t="shared" si="39"/>
        <v>-0.28648659999999998</v>
      </c>
      <c r="AF105" s="6">
        <f t="shared" si="39"/>
        <v>-0.32783600000000002</v>
      </c>
      <c r="AG105" s="6">
        <f t="shared" si="39"/>
        <v>-0.37210080000000001</v>
      </c>
      <c r="AH105" s="6">
        <f t="shared" si="39"/>
        <v>-0.44350669999999998</v>
      </c>
      <c r="AI105" s="6">
        <f t="shared" si="39"/>
        <v>-0.53909589999999996</v>
      </c>
      <c r="AJ105" s="6">
        <f t="shared" si="39"/>
        <v>-0.60369680000000003</v>
      </c>
      <c r="AK105" s="6">
        <f t="shared" si="39"/>
        <v>-0.70429850000000005</v>
      </c>
      <c r="AL105" s="6">
        <f t="shared" si="39"/>
        <v>-1.1426320000000001</v>
      </c>
      <c r="AM105" s="6">
        <f t="shared" si="39"/>
        <v>-1.1987300000000001</v>
      </c>
    </row>
    <row r="106" spans="7:39" x14ac:dyDescent="0.25">
      <c r="G106" s="5">
        <v>15</v>
      </c>
      <c r="H106" s="6">
        <f>G69</f>
        <v>-1.1236109999999999</v>
      </c>
      <c r="I106" s="6">
        <f t="shared" ref="I106:W106" si="40">H69</f>
        <v>0.12278509999999999</v>
      </c>
      <c r="J106" s="6">
        <f t="shared" si="40"/>
        <v>0.1873493</v>
      </c>
      <c r="K106" s="6">
        <f t="shared" si="40"/>
        <v>0.17144580000000001</v>
      </c>
      <c r="L106" s="6">
        <f t="shared" si="40"/>
        <v>0.13982729999999999</v>
      </c>
      <c r="M106" s="6">
        <f t="shared" si="40"/>
        <v>7.9460139999999995E-3</v>
      </c>
      <c r="N106" s="6">
        <f t="shared" si="40"/>
        <v>6.749964E-2</v>
      </c>
      <c r="O106" s="6">
        <f t="shared" si="40"/>
        <v>4.7438139999999997E-2</v>
      </c>
      <c r="P106" s="6">
        <f t="shared" si="40"/>
        <v>2.6359560000000001E-2</v>
      </c>
      <c r="Q106" s="6">
        <f t="shared" si="40"/>
        <v>5.3716659999999999E-2</v>
      </c>
      <c r="R106" s="6">
        <f t="shared" si="40"/>
        <v>-1.185894E-2</v>
      </c>
      <c r="S106" s="6">
        <f t="shared" si="40"/>
        <v>-2.345324E-2</v>
      </c>
      <c r="T106" s="6">
        <f t="shared" si="40"/>
        <v>1.7534259999999999E-2</v>
      </c>
      <c r="U106" s="6">
        <f t="shared" si="40"/>
        <v>-4.2383190000000001E-2</v>
      </c>
      <c r="V106" s="6">
        <f t="shared" si="40"/>
        <v>-4.7084330000000001E-2</v>
      </c>
      <c r="W106" s="6">
        <f t="shared" si="40"/>
        <v>-5.6427480000000002E-2</v>
      </c>
      <c r="X106" s="5">
        <f>G70</f>
        <v>-7.2023870000000004E-2</v>
      </c>
      <c r="Y106" s="5">
        <f t="shared" ref="Y106:AM106" si="41">H70</f>
        <v>-8.1225870000000006E-2</v>
      </c>
      <c r="Z106" s="5">
        <f t="shared" si="41"/>
        <v>-8.2989690000000005E-2</v>
      </c>
      <c r="AA106" s="5">
        <f t="shared" si="41"/>
        <v>-8.6833949999999993E-2</v>
      </c>
      <c r="AB106" s="5">
        <f t="shared" si="41"/>
        <v>-9.4584470000000004E-2</v>
      </c>
      <c r="AC106" s="5">
        <f t="shared" si="41"/>
        <v>-0.1116767</v>
      </c>
      <c r="AD106" s="5">
        <f t="shared" si="41"/>
        <v>-0.2277575</v>
      </c>
      <c r="AE106" s="5">
        <f t="shared" si="41"/>
        <v>-0.28904439999999998</v>
      </c>
      <c r="AF106" s="5">
        <f t="shared" si="41"/>
        <v>-0.3330593</v>
      </c>
      <c r="AG106" s="5">
        <f t="shared" si="41"/>
        <v>-0.38243870000000002</v>
      </c>
      <c r="AH106" s="5">
        <f t="shared" si="41"/>
        <v>-0.45872499999999999</v>
      </c>
      <c r="AI106" s="5">
        <f t="shared" si="41"/>
        <v>-0.56336450000000005</v>
      </c>
      <c r="AJ106" s="5">
        <f t="shared" si="41"/>
        <v>-0.63636680000000001</v>
      </c>
      <c r="AK106" s="5">
        <f t="shared" si="41"/>
        <v>-0.75787780000000005</v>
      </c>
      <c r="AL106" s="5">
        <f t="shared" si="41"/>
        <v>-1.2585409999999999</v>
      </c>
      <c r="AM106" s="5">
        <f t="shared" si="41"/>
        <v>-1.3112619999999999</v>
      </c>
    </row>
    <row r="107" spans="7:39" x14ac:dyDescent="0.25">
      <c r="G107" s="5">
        <v>16</v>
      </c>
      <c r="H107" s="6">
        <f>G72</f>
        <v>-1.0674459999999999</v>
      </c>
      <c r="I107" s="6">
        <f t="shared" ref="I107:W107" si="42">H72</f>
        <v>0.12070889999999999</v>
      </c>
      <c r="J107" s="6">
        <f t="shared" si="42"/>
        <v>0.18356749999999999</v>
      </c>
      <c r="K107" s="6">
        <f t="shared" si="42"/>
        <v>0.1676569</v>
      </c>
      <c r="L107" s="6">
        <f t="shared" si="42"/>
        <v>0.13724140000000001</v>
      </c>
      <c r="M107" s="6">
        <f t="shared" si="42"/>
        <v>8.2917210000000002E-3</v>
      </c>
      <c r="N107" s="6">
        <f t="shared" si="42"/>
        <v>6.5897940000000002E-2</v>
      </c>
      <c r="O107" s="6">
        <f t="shared" si="42"/>
        <v>4.6035769999999997E-2</v>
      </c>
      <c r="P107" s="6">
        <f t="shared" si="42"/>
        <v>2.477789E-2</v>
      </c>
      <c r="Q107" s="6">
        <f t="shared" si="42"/>
        <v>5.4084300000000002E-2</v>
      </c>
      <c r="R107" s="6">
        <f t="shared" si="42"/>
        <v>-1.5527249999999999E-2</v>
      </c>
      <c r="S107" s="6">
        <f t="shared" si="42"/>
        <v>-2.820539E-2</v>
      </c>
      <c r="T107" s="6">
        <f t="shared" si="42"/>
        <v>1.788998E-2</v>
      </c>
      <c r="U107" s="6">
        <f t="shared" si="42"/>
        <v>-5.2819249999999998E-2</v>
      </c>
      <c r="V107" s="6">
        <f t="shared" si="42"/>
        <v>-6.1934950000000003E-2</v>
      </c>
      <c r="W107" s="6">
        <f t="shared" si="42"/>
        <v>-7.9513550000000002E-2</v>
      </c>
      <c r="X107" s="6">
        <f>G73</f>
        <v>-0.1072598</v>
      </c>
      <c r="Y107" s="6">
        <f t="shared" ref="Y107:AM107" si="43">H73</f>
        <v>-0.12279080000000001</v>
      </c>
      <c r="Z107" s="6">
        <f t="shared" si="43"/>
        <v>-0.14160539999999999</v>
      </c>
      <c r="AA107" s="6">
        <f t="shared" si="43"/>
        <v>-0.15292310000000001</v>
      </c>
      <c r="AB107" s="6">
        <f t="shared" si="43"/>
        <v>-0.16521739999999999</v>
      </c>
      <c r="AC107" s="6">
        <f t="shared" si="43"/>
        <v>-0.1801548</v>
      </c>
      <c r="AD107" s="6">
        <f t="shared" si="43"/>
        <v>-0.18732789999999999</v>
      </c>
      <c r="AE107" s="6">
        <f t="shared" si="43"/>
        <v>-0.2022591</v>
      </c>
      <c r="AF107" s="6">
        <f t="shared" si="43"/>
        <v>-0.23187830000000001</v>
      </c>
      <c r="AG107" s="6">
        <f t="shared" si="43"/>
        <v>-0.2796187</v>
      </c>
      <c r="AH107" s="6">
        <f t="shared" si="43"/>
        <v>-0.3590565</v>
      </c>
      <c r="AI107" s="6">
        <f t="shared" si="43"/>
        <v>-0.46484330000000001</v>
      </c>
      <c r="AJ107" s="6">
        <f t="shared" si="43"/>
        <v>-0.53854849999999999</v>
      </c>
      <c r="AK107" s="6">
        <f t="shared" si="43"/>
        <v>-0.64998049999999996</v>
      </c>
      <c r="AL107" s="6">
        <f t="shared" si="43"/>
        <v>-1.118957</v>
      </c>
      <c r="AM107" s="6">
        <f t="shared" si="43"/>
        <v>-1.151864</v>
      </c>
    </row>
    <row r="108" spans="7:39" x14ac:dyDescent="0.25">
      <c r="G108" s="5">
        <v>17</v>
      </c>
      <c r="H108" s="6">
        <f>G75</f>
        <v>-0.19234850000000001</v>
      </c>
      <c r="I108" s="6">
        <f t="shared" ref="I108:W108" si="44">H75</f>
        <v>0.1862607</v>
      </c>
      <c r="J108" s="6">
        <f t="shared" si="44"/>
        <v>0.17070630000000001</v>
      </c>
      <c r="K108" s="6">
        <f t="shared" si="44"/>
        <v>0.12618589999999999</v>
      </c>
      <c r="L108" s="6">
        <f t="shared" si="44"/>
        <v>9.3303200000000003E-2</v>
      </c>
      <c r="M108" s="6">
        <f t="shared" si="44"/>
        <v>4.4589039999999996E-3</v>
      </c>
      <c r="N108" s="6">
        <f t="shared" si="44"/>
        <v>2.6093479999999999E-2</v>
      </c>
      <c r="O108" s="6">
        <f t="shared" si="44"/>
        <v>1.077271E-2</v>
      </c>
      <c r="P108" s="6">
        <f t="shared" si="44"/>
        <v>-8.0027580000000004E-3</v>
      </c>
      <c r="Q108" s="6">
        <f t="shared" si="44"/>
        <v>5.3542609999999997E-2</v>
      </c>
      <c r="R108" s="6">
        <f t="shared" si="44"/>
        <v>-4.4831280000000001E-2</v>
      </c>
      <c r="S108" s="6">
        <f t="shared" si="44"/>
        <v>-5.7000639999999998E-2</v>
      </c>
      <c r="T108" s="6">
        <f t="shared" si="44"/>
        <v>1.8424510000000002E-2</v>
      </c>
      <c r="U108" s="6">
        <f t="shared" si="44"/>
        <v>-8.5864070000000001E-2</v>
      </c>
      <c r="V108" s="6">
        <f t="shared" si="44"/>
        <v>-9.9335670000000001E-2</v>
      </c>
      <c r="W108" s="6">
        <f t="shared" si="44"/>
        <v>-0.12211610000000001</v>
      </c>
      <c r="X108" s="6">
        <f>G76</f>
        <v>-0.15364030000000001</v>
      </c>
      <c r="Y108" s="6">
        <f t="shared" ref="Y108:AM108" si="45">H76</f>
        <v>-0.1992526</v>
      </c>
      <c r="Z108" s="6">
        <f t="shared" si="45"/>
        <v>-0.21257970000000001</v>
      </c>
      <c r="AA108" s="6">
        <f t="shared" si="45"/>
        <v>-0.22439339999999999</v>
      </c>
      <c r="AB108" s="6">
        <f t="shared" si="45"/>
        <v>-0.22931860000000001</v>
      </c>
      <c r="AC108" s="6">
        <f t="shared" si="45"/>
        <v>-0.23172280000000001</v>
      </c>
      <c r="AD108" s="6">
        <f t="shared" si="45"/>
        <v>-0.2124267</v>
      </c>
      <c r="AE108" s="6">
        <f t="shared" si="45"/>
        <v>-0.20483779999999999</v>
      </c>
      <c r="AF108" s="6">
        <f t="shared" si="45"/>
        <v>-0.20268820000000001</v>
      </c>
      <c r="AG108" s="6">
        <f t="shared" si="45"/>
        <v>-0.19911000000000001</v>
      </c>
      <c r="AH108" s="6">
        <f t="shared" si="45"/>
        <v>-0.1972265</v>
      </c>
      <c r="AI108" s="6">
        <f t="shared" si="45"/>
        <v>-0.1974158</v>
      </c>
      <c r="AJ108" s="6">
        <f t="shared" si="45"/>
        <v>-0.1920347</v>
      </c>
      <c r="AK108" s="6">
        <f t="shared" si="45"/>
        <v>-0.19744059999999999</v>
      </c>
      <c r="AL108" s="6">
        <f t="shared" si="45"/>
        <v>-0.19487950000000001</v>
      </c>
      <c r="AM108" s="6">
        <f t="shared" si="45"/>
        <v>-0.19315199999999999</v>
      </c>
    </row>
    <row r="109" spans="7:39" x14ac:dyDescent="0.25">
      <c r="G109" s="5">
        <v>18</v>
      </c>
      <c r="H109" s="6">
        <f>G78</f>
        <v>-0.1898637</v>
      </c>
      <c r="I109" s="6">
        <f t="shared" ref="I109:W109" si="46">H78</f>
        <v>0.1913705</v>
      </c>
      <c r="J109" s="6">
        <f t="shared" si="46"/>
        <v>0.17370179999999999</v>
      </c>
      <c r="K109" s="6">
        <f t="shared" si="46"/>
        <v>0.12721869999999999</v>
      </c>
      <c r="L109" s="6">
        <f t="shared" si="46"/>
        <v>9.2613699999999993E-2</v>
      </c>
      <c r="M109" s="6">
        <f t="shared" si="46"/>
        <v>3.9381980000000004E-3</v>
      </c>
      <c r="N109" s="6">
        <f t="shared" si="46"/>
        <v>2.2555349999999998E-2</v>
      </c>
      <c r="O109" s="6">
        <f t="shared" si="46"/>
        <v>6.9131849999999996E-3</v>
      </c>
      <c r="P109" s="6">
        <f t="shared" si="46"/>
        <v>-1.323366E-2</v>
      </c>
      <c r="Q109" s="6">
        <f t="shared" si="46"/>
        <v>5.2670960000000003E-2</v>
      </c>
      <c r="R109" s="6">
        <f t="shared" si="46"/>
        <v>-5.1983359999999999E-2</v>
      </c>
      <c r="S109" s="6">
        <f t="shared" si="46"/>
        <v>-6.4822199999999996E-2</v>
      </c>
      <c r="T109" s="6">
        <f t="shared" si="46"/>
        <v>1.8959520000000001E-2</v>
      </c>
      <c r="U109" s="6">
        <f t="shared" si="46"/>
        <v>-9.5255370000000006E-2</v>
      </c>
      <c r="V109" s="6">
        <f t="shared" si="46"/>
        <v>-0.108686</v>
      </c>
      <c r="W109" s="6">
        <f t="shared" si="46"/>
        <v>-0.1326628</v>
      </c>
      <c r="X109" s="5">
        <f>G79</f>
        <v>-0.1647758</v>
      </c>
      <c r="Y109" s="5">
        <f t="shared" ref="Y109:AM109" si="47">H79</f>
        <v>-0.21096229999999999</v>
      </c>
      <c r="Z109" s="5">
        <f t="shared" si="47"/>
        <v>-0.2264118</v>
      </c>
      <c r="AA109" s="5">
        <f t="shared" si="47"/>
        <v>-0.2381296</v>
      </c>
      <c r="AB109" s="5">
        <f t="shared" si="47"/>
        <v>-0.2443881</v>
      </c>
      <c r="AC109" s="5">
        <f t="shared" si="47"/>
        <v>-0.24753520000000001</v>
      </c>
      <c r="AD109" s="5">
        <f t="shared" si="47"/>
        <v>-0.22584580000000001</v>
      </c>
      <c r="AE109" s="5">
        <f t="shared" si="47"/>
        <v>-0.21653220000000001</v>
      </c>
      <c r="AF109" s="5">
        <f t="shared" si="47"/>
        <v>-0.2131371</v>
      </c>
      <c r="AG109" s="5">
        <f t="shared" si="47"/>
        <v>-0.20945169999999999</v>
      </c>
      <c r="AH109" s="5">
        <f t="shared" si="47"/>
        <v>-0.20828289999999999</v>
      </c>
      <c r="AI109" s="5">
        <f t="shared" si="47"/>
        <v>-0.20774509999999999</v>
      </c>
      <c r="AJ109" s="5">
        <f t="shared" si="47"/>
        <v>-0.20346020000000001</v>
      </c>
      <c r="AK109" s="5">
        <f t="shared" si="47"/>
        <v>-0.2087493</v>
      </c>
      <c r="AL109" s="5">
        <f t="shared" si="47"/>
        <v>-0.2060661</v>
      </c>
      <c r="AM109" s="5">
        <f t="shared" si="47"/>
        <v>-0.20390800000000001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M110"/>
  <sheetViews>
    <sheetView workbookViewId="0">
      <selection activeCell="N30" sqref="N30"/>
    </sheetView>
  </sheetViews>
  <sheetFormatPr defaultRowHeight="15" x14ac:dyDescent="0.25"/>
  <sheetData>
    <row r="1" spans="1:22" x14ac:dyDescent="0.25">
      <c r="B1">
        <v>9116</v>
      </c>
      <c r="C1">
        <v>6742</v>
      </c>
      <c r="D1">
        <v>1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</row>
    <row r="3" spans="1:22" x14ac:dyDescent="0.25">
      <c r="B3">
        <v>9116</v>
      </c>
      <c r="C3">
        <v>6744</v>
      </c>
      <c r="D3">
        <v>1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29</v>
      </c>
    </row>
    <row r="4" spans="1:22" x14ac:dyDescent="0.25">
      <c r="A4" t="s">
        <v>30</v>
      </c>
      <c r="B4" t="s">
        <v>31</v>
      </c>
      <c r="C4" t="s">
        <v>32</v>
      </c>
      <c r="D4" t="s">
        <v>33</v>
      </c>
      <c r="E4" t="s">
        <v>34</v>
      </c>
      <c r="F4" t="s">
        <v>35</v>
      </c>
    </row>
    <row r="5" spans="1:22" x14ac:dyDescent="0.25">
      <c r="A5" t="s">
        <v>36</v>
      </c>
    </row>
    <row r="6" spans="1:22" x14ac:dyDescent="0.25">
      <c r="A6" t="s">
        <v>36</v>
      </c>
    </row>
    <row r="7" spans="1:22" x14ac:dyDescent="0.25">
      <c r="A7" t="s">
        <v>308</v>
      </c>
    </row>
    <row r="8" spans="1:22" x14ac:dyDescent="0.25">
      <c r="A8" t="s">
        <v>98</v>
      </c>
    </row>
    <row r="9" spans="1:22" x14ac:dyDescent="0.25">
      <c r="A9">
        <v>11.244999999999999</v>
      </c>
      <c r="B9">
        <v>9116</v>
      </c>
      <c r="C9">
        <v>6742</v>
      </c>
      <c r="D9">
        <v>1</v>
      </c>
      <c r="E9">
        <v>1</v>
      </c>
      <c r="F9" t="s">
        <v>13</v>
      </c>
      <c r="G9" s="3">
        <v>-6.1464310000000004E-4</v>
      </c>
      <c r="H9" s="3">
        <v>-6.4849850000000002E-4</v>
      </c>
      <c r="I9" s="3">
        <v>-4.6157840000000001E-4</v>
      </c>
      <c r="J9" s="3">
        <v>3.9632319999999999E-2</v>
      </c>
      <c r="K9" s="3">
        <v>-2.5653839999999998E-4</v>
      </c>
      <c r="L9" s="3">
        <v>-6.1178209999999998E-4</v>
      </c>
      <c r="M9" s="3">
        <v>-1.2450219999999999E-3</v>
      </c>
      <c r="N9" s="3">
        <v>-1.192093E-4</v>
      </c>
      <c r="O9" s="3">
        <v>4.3630600000000002E-4</v>
      </c>
      <c r="P9" s="3">
        <v>4.3742179999999999E-2</v>
      </c>
      <c r="Q9" s="3">
        <v>7.2145460000000005E-4</v>
      </c>
      <c r="R9" s="3">
        <v>9.8705290000000004E-5</v>
      </c>
      <c r="S9" s="3">
        <v>1.8774030000000001E-2</v>
      </c>
      <c r="T9" s="3">
        <v>-3.0565259999999999E-4</v>
      </c>
      <c r="U9" s="3">
        <v>2.3031230000000001E-4</v>
      </c>
      <c r="V9" s="3">
        <v>-1.416206E-4</v>
      </c>
    </row>
    <row r="10" spans="1:22" x14ac:dyDescent="0.25">
      <c r="A10">
        <v>11.268000000000001</v>
      </c>
      <c r="B10">
        <v>9116</v>
      </c>
      <c r="C10">
        <v>6744</v>
      </c>
      <c r="D10">
        <v>1</v>
      </c>
      <c r="E10">
        <v>1</v>
      </c>
      <c r="F10" t="s">
        <v>13</v>
      </c>
      <c r="G10" s="3">
        <v>-6.5183639999999996E-4</v>
      </c>
      <c r="H10" s="3">
        <v>-1.280308E-3</v>
      </c>
      <c r="I10" s="3">
        <v>-8.8691710000000004E-5</v>
      </c>
      <c r="J10" s="3">
        <v>3.4039020000000003E-2</v>
      </c>
      <c r="K10" s="3">
        <v>-3.2901760000000001E-5</v>
      </c>
      <c r="L10" s="3">
        <v>-5.0067899999999997E-4</v>
      </c>
      <c r="M10" s="3">
        <v>-1.240253E-3</v>
      </c>
      <c r="N10" s="3">
        <v>9.9182129999999996E-5</v>
      </c>
      <c r="O10" s="3">
        <v>-9.5558169999999997E-4</v>
      </c>
      <c r="P10" s="3">
        <v>3.7574769999999997E-4</v>
      </c>
      <c r="Q10" s="3">
        <v>2.7942659999999998E-4</v>
      </c>
      <c r="R10" s="3">
        <v>-3.8957599999999998E-4</v>
      </c>
      <c r="S10" s="3">
        <v>-1.029968E-3</v>
      </c>
      <c r="T10" s="3">
        <v>3.9672850000000001E-4</v>
      </c>
      <c r="U10" s="3">
        <v>1.037121E-3</v>
      </c>
      <c r="V10" s="3">
        <v>2.0885470000000001E-4</v>
      </c>
    </row>
    <row r="11" spans="1:22" x14ac:dyDescent="0.25">
      <c r="A11" t="s">
        <v>265</v>
      </c>
    </row>
    <row r="12" spans="1:22" x14ac:dyDescent="0.25">
      <c r="A12">
        <v>12243.29</v>
      </c>
      <c r="B12">
        <v>9116</v>
      </c>
      <c r="C12">
        <v>6742</v>
      </c>
      <c r="D12">
        <v>1</v>
      </c>
      <c r="E12">
        <v>1</v>
      </c>
      <c r="F12" t="s">
        <v>13</v>
      </c>
      <c r="G12">
        <v>-0.12258860000000001</v>
      </c>
      <c r="H12">
        <v>-0.81377549999999998</v>
      </c>
      <c r="I12">
        <v>-0.70303729999999998</v>
      </c>
      <c r="J12">
        <v>-0.56988859999999997</v>
      </c>
      <c r="K12">
        <v>-0.4986949</v>
      </c>
      <c r="L12" s="3">
        <v>-4.5879839999999998E-2</v>
      </c>
      <c r="M12">
        <v>-0.40946199999999999</v>
      </c>
      <c r="N12">
        <v>-0.3544698</v>
      </c>
      <c r="O12">
        <v>-0.32296279999999999</v>
      </c>
      <c r="P12" s="3">
        <v>4.4503210000000001E-2</v>
      </c>
      <c r="Q12">
        <v>-0.25332690000000002</v>
      </c>
      <c r="R12">
        <v>-0.2106123</v>
      </c>
      <c r="S12" s="3">
        <v>3.7325379999999998E-2</v>
      </c>
      <c r="T12">
        <v>-0.1503854</v>
      </c>
      <c r="U12">
        <v>-0.1154633</v>
      </c>
      <c r="V12" s="3">
        <v>-8.1858159999999999E-2</v>
      </c>
    </row>
    <row r="13" spans="1:22" x14ac:dyDescent="0.25">
      <c r="A13">
        <v>12243.31</v>
      </c>
      <c r="B13">
        <v>9116</v>
      </c>
      <c r="C13">
        <v>6744</v>
      </c>
      <c r="D13">
        <v>1</v>
      </c>
      <c r="E13">
        <v>1</v>
      </c>
      <c r="F13" t="s">
        <v>13</v>
      </c>
      <c r="G13" s="3">
        <v>-6.874943E-2</v>
      </c>
      <c r="H13" s="3">
        <v>-5.4702760000000003E-2</v>
      </c>
      <c r="I13" s="3">
        <v>-6.2235829999999999E-2</v>
      </c>
      <c r="J13" s="3">
        <v>-7.2047230000000004E-2</v>
      </c>
      <c r="K13" s="3">
        <v>-7.6786989999999999E-2</v>
      </c>
      <c r="L13">
        <v>-8.8319300000000003E-2</v>
      </c>
      <c r="M13" s="3">
        <v>-9.546375E-2</v>
      </c>
      <c r="N13">
        <v>-8.6598400000000006E-2</v>
      </c>
      <c r="O13">
        <v>-8.3016400000000004E-2</v>
      </c>
      <c r="P13" s="3">
        <v>-7.0752620000000002E-2</v>
      </c>
      <c r="Q13" s="3">
        <v>-5.6211469999999999E-2</v>
      </c>
      <c r="R13" s="3">
        <v>-2.1439079999999999E-2</v>
      </c>
      <c r="S13" s="3">
        <v>1.002455E-2</v>
      </c>
      <c r="T13" s="3">
        <v>5.3052429999999998E-2</v>
      </c>
      <c r="U13">
        <v>0.1213598</v>
      </c>
      <c r="V13">
        <v>0.18873019999999999</v>
      </c>
    </row>
    <row r="14" spans="1:22" x14ac:dyDescent="0.25">
      <c r="A14" t="s">
        <v>266</v>
      </c>
    </row>
    <row r="15" spans="1:22" x14ac:dyDescent="0.25">
      <c r="A15">
        <v>12252.32</v>
      </c>
      <c r="B15">
        <v>9116</v>
      </c>
      <c r="C15">
        <v>6742</v>
      </c>
      <c r="D15">
        <v>1</v>
      </c>
      <c r="E15">
        <v>1</v>
      </c>
      <c r="F15" t="s">
        <v>13</v>
      </c>
      <c r="G15" s="3">
        <v>-3.1018259999999998E-3</v>
      </c>
      <c r="H15">
        <v>-0.67143540000000002</v>
      </c>
      <c r="I15">
        <v>-0.60556699999999997</v>
      </c>
      <c r="J15">
        <v>-0.50973840000000004</v>
      </c>
      <c r="K15">
        <v>-0.44689990000000002</v>
      </c>
      <c r="L15" s="3">
        <v>-3.9464949999999999E-2</v>
      </c>
      <c r="M15">
        <v>-0.37867119999999999</v>
      </c>
      <c r="N15">
        <v>-0.33676289999999998</v>
      </c>
      <c r="O15">
        <v>-0.29589890000000002</v>
      </c>
      <c r="P15">
        <v>4.5026299999999998E-2</v>
      </c>
      <c r="Q15">
        <v>-0.2439413</v>
      </c>
      <c r="R15">
        <v>-0.204566</v>
      </c>
      <c r="S15" s="3">
        <v>3.7862779999999999E-2</v>
      </c>
      <c r="T15">
        <v>-0.14742659999999999</v>
      </c>
      <c r="U15">
        <v>-0.1136289</v>
      </c>
      <c r="V15" s="3">
        <v>-7.9123970000000002E-2</v>
      </c>
    </row>
    <row r="16" spans="1:22" x14ac:dyDescent="0.25">
      <c r="A16">
        <v>12252.34</v>
      </c>
      <c r="B16">
        <v>9116</v>
      </c>
      <c r="C16">
        <v>6744</v>
      </c>
      <c r="D16">
        <v>1</v>
      </c>
      <c r="E16">
        <v>1</v>
      </c>
      <c r="F16" t="s">
        <v>13</v>
      </c>
      <c r="G16" s="3">
        <v>-6.4002989999999996E-2</v>
      </c>
      <c r="H16" s="3">
        <v>-4.5316219999999997E-2</v>
      </c>
      <c r="I16" s="3">
        <v>-7.1520329999999993E-2</v>
      </c>
      <c r="J16" s="3">
        <v>-8.0746170000000006E-2</v>
      </c>
      <c r="K16" s="3">
        <v>-8.5872169999999998E-2</v>
      </c>
      <c r="L16" s="3">
        <v>-9.8561759999999998E-2</v>
      </c>
      <c r="M16">
        <v>-0.112195</v>
      </c>
      <c r="N16">
        <v>-0.1070714</v>
      </c>
      <c r="O16">
        <v>-0.1049867</v>
      </c>
      <c r="P16" s="3">
        <v>-9.5872879999999994E-2</v>
      </c>
      <c r="Q16" s="3">
        <v>-8.4857940000000007E-2</v>
      </c>
      <c r="R16" s="3">
        <v>-5.4807660000000001E-2</v>
      </c>
      <c r="S16" s="3">
        <v>-2.5860790000000002E-2</v>
      </c>
      <c r="T16" s="3">
        <v>1.3818739999999999E-2</v>
      </c>
      <c r="U16" s="3">
        <v>7.9342839999999998E-2</v>
      </c>
      <c r="V16">
        <v>0.15175250000000001</v>
      </c>
    </row>
    <row r="17" spans="1:22" x14ac:dyDescent="0.25">
      <c r="A17" t="s">
        <v>267</v>
      </c>
    </row>
    <row r="18" spans="1:22" x14ac:dyDescent="0.25">
      <c r="A18">
        <v>12261.94</v>
      </c>
      <c r="B18">
        <v>9116</v>
      </c>
      <c r="C18">
        <v>6742</v>
      </c>
      <c r="D18">
        <v>1</v>
      </c>
      <c r="E18">
        <v>1</v>
      </c>
      <c r="F18" t="s">
        <v>13</v>
      </c>
      <c r="G18">
        <v>9.5989699999999997E-2</v>
      </c>
      <c r="H18">
        <v>-0.53545330000000002</v>
      </c>
      <c r="I18">
        <v>-0.51371100000000003</v>
      </c>
      <c r="J18">
        <v>-0.447351</v>
      </c>
      <c r="K18">
        <v>-0.39870070000000002</v>
      </c>
      <c r="L18" s="3">
        <v>-3.443003E-2</v>
      </c>
      <c r="M18">
        <v>-0.34827760000000002</v>
      </c>
      <c r="N18">
        <v>-0.30783650000000001</v>
      </c>
      <c r="O18">
        <v>-0.28302149999999998</v>
      </c>
      <c r="P18" s="3">
        <v>4.624557E-2</v>
      </c>
      <c r="Q18">
        <v>-0.2299957</v>
      </c>
      <c r="R18">
        <v>-0.1960044</v>
      </c>
      <c r="S18">
        <v>3.9107799999999998E-2</v>
      </c>
      <c r="T18">
        <v>-0.1436038</v>
      </c>
      <c r="U18">
        <v>-0.1103292</v>
      </c>
      <c r="V18" s="3">
        <v>-7.6398369999999993E-2</v>
      </c>
    </row>
    <row r="19" spans="1:22" x14ac:dyDescent="0.25">
      <c r="A19">
        <v>12261.96</v>
      </c>
      <c r="B19">
        <v>9116</v>
      </c>
      <c r="C19">
        <v>6744</v>
      </c>
      <c r="D19">
        <v>1</v>
      </c>
      <c r="E19">
        <v>1</v>
      </c>
      <c r="F19" t="s">
        <v>13</v>
      </c>
      <c r="G19" s="3">
        <v>-5.9437749999999998E-2</v>
      </c>
      <c r="H19" s="3">
        <v>-3.5180089999999997E-2</v>
      </c>
      <c r="I19" s="3">
        <v>-7.7893260000000006E-2</v>
      </c>
      <c r="J19" s="3">
        <v>-8.7529179999999998E-2</v>
      </c>
      <c r="K19" s="3">
        <v>-9.3676090000000004E-2</v>
      </c>
      <c r="L19">
        <v>-0.1073694</v>
      </c>
      <c r="M19">
        <v>-0.12840599999999999</v>
      </c>
      <c r="N19">
        <v>-0.1273599</v>
      </c>
      <c r="O19">
        <v>-0.1276774</v>
      </c>
      <c r="P19">
        <v>-0.1211715</v>
      </c>
      <c r="Q19">
        <v>-0.114954</v>
      </c>
      <c r="R19" s="3">
        <v>-8.9796539999999994E-2</v>
      </c>
      <c r="S19">
        <v>-6.3829899999999995E-2</v>
      </c>
      <c r="T19" s="3">
        <v>-2.9062270000000001E-2</v>
      </c>
      <c r="U19">
        <v>3.1274799999999998E-2</v>
      </c>
      <c r="V19">
        <v>0.1022377</v>
      </c>
    </row>
    <row r="20" spans="1:22" x14ac:dyDescent="0.25">
      <c r="A20" t="s">
        <v>268</v>
      </c>
    </row>
    <row r="21" spans="1:22" x14ac:dyDescent="0.25">
      <c r="A21">
        <v>12271.49</v>
      </c>
      <c r="B21">
        <v>9116</v>
      </c>
      <c r="C21">
        <v>6742</v>
      </c>
      <c r="D21">
        <v>1</v>
      </c>
      <c r="E21">
        <v>1</v>
      </c>
      <c r="F21" t="s">
        <v>13</v>
      </c>
      <c r="G21">
        <v>0.1727195</v>
      </c>
      <c r="H21">
        <v>-0.41331859999999998</v>
      </c>
      <c r="I21">
        <v>-0.42518470000000003</v>
      </c>
      <c r="J21">
        <v>-0.38633109999999998</v>
      </c>
      <c r="K21">
        <v>-0.35187960000000001</v>
      </c>
      <c r="L21" s="3">
        <v>-2.9567719999999999E-2</v>
      </c>
      <c r="M21">
        <v>-0.32016990000000001</v>
      </c>
      <c r="N21">
        <v>-0.28399560000000001</v>
      </c>
      <c r="O21">
        <v>-0.26402520000000002</v>
      </c>
      <c r="P21" s="3">
        <v>4.6942709999999999E-2</v>
      </c>
      <c r="Q21">
        <v>-0.2191844</v>
      </c>
      <c r="R21">
        <v>-0.18505720000000001</v>
      </c>
      <c r="S21" s="3">
        <v>3.982115E-2</v>
      </c>
      <c r="T21">
        <v>-0.14064740000000001</v>
      </c>
      <c r="U21">
        <v>-0.1084957</v>
      </c>
      <c r="V21" s="3">
        <v>-7.4943070000000001E-2</v>
      </c>
    </row>
    <row r="22" spans="1:22" x14ac:dyDescent="0.25">
      <c r="A22">
        <v>12271.51</v>
      </c>
      <c r="B22">
        <v>9116</v>
      </c>
      <c r="C22">
        <v>6744</v>
      </c>
      <c r="D22">
        <v>1</v>
      </c>
      <c r="E22">
        <v>1</v>
      </c>
      <c r="F22" t="s">
        <v>13</v>
      </c>
      <c r="G22">
        <v>-5.79772E-2</v>
      </c>
      <c r="H22" s="3">
        <v>-2.6529790000000001E-2</v>
      </c>
      <c r="I22" s="3">
        <v>-8.1352709999999995E-2</v>
      </c>
      <c r="J22" s="3">
        <v>-9.3269350000000001E-2</v>
      </c>
      <c r="K22">
        <v>-0.1016669</v>
      </c>
      <c r="L22">
        <v>-0.116715</v>
      </c>
      <c r="M22">
        <v>-0.1449656</v>
      </c>
      <c r="N22">
        <v>-0.14746239999999999</v>
      </c>
      <c r="O22">
        <v>-0.1514606</v>
      </c>
      <c r="P22">
        <v>-0.1479511</v>
      </c>
      <c r="Q22">
        <v>-0.14595369999999999</v>
      </c>
      <c r="R22">
        <v>-0.12695600000000001</v>
      </c>
      <c r="S22">
        <v>-0.1047959</v>
      </c>
      <c r="T22" s="3">
        <v>-7.6316830000000002E-2</v>
      </c>
      <c r="U22" s="3">
        <v>-2.430964E-2</v>
      </c>
      <c r="V22">
        <v>4.3395999999999997E-2</v>
      </c>
    </row>
    <row r="23" spans="1:22" x14ac:dyDescent="0.25">
      <c r="A23" t="s">
        <v>269</v>
      </c>
    </row>
    <row r="24" spans="1:22" x14ac:dyDescent="0.25">
      <c r="A24">
        <v>12280.67</v>
      </c>
      <c r="B24">
        <v>9116</v>
      </c>
      <c r="C24">
        <v>6742</v>
      </c>
      <c r="D24">
        <v>1</v>
      </c>
      <c r="E24">
        <v>1</v>
      </c>
      <c r="F24" t="s">
        <v>13</v>
      </c>
      <c r="G24">
        <v>0.2233386</v>
      </c>
      <c r="H24">
        <v>-0.30049749999999997</v>
      </c>
      <c r="I24">
        <v>-0.34070539999999999</v>
      </c>
      <c r="J24">
        <v>-0.32650089999999998</v>
      </c>
      <c r="K24">
        <v>-0.30626110000000001</v>
      </c>
      <c r="L24" s="3">
        <v>-2.556276E-2</v>
      </c>
      <c r="M24">
        <v>-0.2923946</v>
      </c>
      <c r="N24">
        <v>-0.2603221</v>
      </c>
      <c r="O24">
        <v>-0.245224</v>
      </c>
      <c r="P24" s="3">
        <v>4.7445769999999998E-2</v>
      </c>
      <c r="Q24">
        <v>-0.20646519999999999</v>
      </c>
      <c r="R24">
        <v>-0.175508</v>
      </c>
      <c r="S24" s="3">
        <v>4.0712829999999998E-2</v>
      </c>
      <c r="T24">
        <v>-0.1373405</v>
      </c>
      <c r="U24">
        <v>-0.1073804</v>
      </c>
      <c r="V24" s="3">
        <v>-7.5020790000000004E-2</v>
      </c>
    </row>
    <row r="25" spans="1:22" x14ac:dyDescent="0.25">
      <c r="A25">
        <v>12280.69</v>
      </c>
      <c r="B25">
        <v>9116</v>
      </c>
      <c r="C25">
        <v>6744</v>
      </c>
      <c r="D25">
        <v>1</v>
      </c>
      <c r="E25">
        <v>1</v>
      </c>
      <c r="F25" t="s">
        <v>13</v>
      </c>
      <c r="G25" s="3">
        <v>-5.943155E-2</v>
      </c>
      <c r="H25" s="3">
        <v>-2.2033690000000002E-2</v>
      </c>
      <c r="I25" s="3">
        <v>-8.2626820000000004E-2</v>
      </c>
      <c r="J25" s="3">
        <v>-9.5181940000000007E-2</v>
      </c>
      <c r="K25">
        <v>-0.1076674</v>
      </c>
      <c r="L25">
        <v>-0.12461609999999999</v>
      </c>
      <c r="M25">
        <v>-0.16134879999999999</v>
      </c>
      <c r="N25">
        <v>-0.1679196</v>
      </c>
      <c r="O25">
        <v>-0.1747417</v>
      </c>
      <c r="P25">
        <v>-0.1745563</v>
      </c>
      <c r="Q25">
        <v>-0.17804619999999999</v>
      </c>
      <c r="R25">
        <v>-0.1657276</v>
      </c>
      <c r="S25">
        <v>-0.14732310000000001</v>
      </c>
      <c r="T25">
        <v>-0.1270318</v>
      </c>
      <c r="U25" s="3">
        <v>-8.5394860000000003E-2</v>
      </c>
      <c r="V25" s="3">
        <v>-2.602053E-2</v>
      </c>
    </row>
    <row r="26" spans="1:22" x14ac:dyDescent="0.25">
      <c r="A26" t="s">
        <v>270</v>
      </c>
    </row>
    <row r="27" spans="1:22" x14ac:dyDescent="0.25">
      <c r="A27">
        <v>12290.02</v>
      </c>
      <c r="B27">
        <v>9116</v>
      </c>
      <c r="C27">
        <v>6742</v>
      </c>
      <c r="D27">
        <v>1</v>
      </c>
      <c r="E27">
        <v>1</v>
      </c>
      <c r="F27" t="s">
        <v>13</v>
      </c>
      <c r="G27">
        <v>0.25105860000000002</v>
      </c>
      <c r="H27">
        <v>-0.19995879999999999</v>
      </c>
      <c r="I27">
        <v>-0.26342870000000002</v>
      </c>
      <c r="J27">
        <v>-0.27286529999999998</v>
      </c>
      <c r="K27">
        <v>-0.26459880000000002</v>
      </c>
      <c r="L27" s="3">
        <v>-2.1570679999999998E-2</v>
      </c>
      <c r="M27">
        <v>-0.2671695</v>
      </c>
      <c r="N27">
        <v>-0.23962929999999999</v>
      </c>
      <c r="O27">
        <v>-0.22877220000000001</v>
      </c>
      <c r="P27" s="3">
        <v>4.7949310000000002E-2</v>
      </c>
      <c r="Q27">
        <v>-0.1969361</v>
      </c>
      <c r="R27">
        <v>-0.17174200000000001</v>
      </c>
      <c r="S27" s="3">
        <v>4.2320730000000001E-2</v>
      </c>
      <c r="T27">
        <v>-0.13455490000000001</v>
      </c>
      <c r="U27">
        <v>-0.107213</v>
      </c>
      <c r="V27" s="3">
        <v>-7.7492240000000004E-2</v>
      </c>
    </row>
    <row r="28" spans="1:22" x14ac:dyDescent="0.25">
      <c r="A28">
        <v>12290.04</v>
      </c>
      <c r="B28">
        <v>9116</v>
      </c>
      <c r="C28">
        <v>6744</v>
      </c>
      <c r="D28">
        <v>1</v>
      </c>
      <c r="E28">
        <v>1</v>
      </c>
      <c r="F28" t="s">
        <v>13</v>
      </c>
      <c r="G28" s="3">
        <v>-6.2541959999999994E-2</v>
      </c>
      <c r="H28" s="3">
        <v>-2.2984029999999999E-2</v>
      </c>
      <c r="I28" s="3">
        <v>-8.6086750000000004E-2</v>
      </c>
      <c r="J28" s="3">
        <v>-9.9356650000000005E-2</v>
      </c>
      <c r="K28">
        <v>-0.10947750000000001</v>
      </c>
      <c r="L28">
        <v>-0.13344049999999999</v>
      </c>
      <c r="M28">
        <v>-0.17773149999999999</v>
      </c>
      <c r="N28">
        <v>-0.18875600000000001</v>
      </c>
      <c r="O28">
        <v>-0.19850209999999999</v>
      </c>
      <c r="P28">
        <v>-0.2018828</v>
      </c>
      <c r="Q28">
        <v>-0.2110128</v>
      </c>
      <c r="R28">
        <v>-0.20614959999999999</v>
      </c>
      <c r="S28">
        <v>-0.1921592</v>
      </c>
      <c r="T28">
        <v>-0.1799383</v>
      </c>
      <c r="U28">
        <v>-0.15179680000000001</v>
      </c>
      <c r="V28">
        <v>-0.1051073</v>
      </c>
    </row>
    <row r="29" spans="1:22" x14ac:dyDescent="0.25">
      <c r="A29" t="s">
        <v>271</v>
      </c>
    </row>
    <row r="30" spans="1:22" x14ac:dyDescent="0.25">
      <c r="A30">
        <v>12299.37</v>
      </c>
      <c r="B30">
        <v>9116</v>
      </c>
      <c r="C30">
        <v>6742</v>
      </c>
      <c r="D30">
        <v>1</v>
      </c>
      <c r="E30">
        <v>1</v>
      </c>
      <c r="F30" t="s">
        <v>13</v>
      </c>
      <c r="G30">
        <v>0.25567719999999999</v>
      </c>
      <c r="H30">
        <v>-0.1075139</v>
      </c>
      <c r="I30">
        <v>-0.18824669999999999</v>
      </c>
      <c r="J30">
        <v>-0.21732760000000001</v>
      </c>
      <c r="K30">
        <v>-0.22000359999999999</v>
      </c>
      <c r="L30" s="3">
        <v>-1.7924309999999999E-2</v>
      </c>
      <c r="M30">
        <v>-0.2372909</v>
      </c>
      <c r="N30">
        <v>-0.21578649999999999</v>
      </c>
      <c r="O30">
        <v>-0.20872930000000001</v>
      </c>
      <c r="P30" s="3">
        <v>4.8646450000000001E-2</v>
      </c>
      <c r="Q30">
        <v>-0.1835089</v>
      </c>
      <c r="R30">
        <v>-0.1607943</v>
      </c>
      <c r="S30" s="3">
        <v>4.3034549999999998E-2</v>
      </c>
      <c r="T30">
        <v>-0.1244693</v>
      </c>
      <c r="U30">
        <v>-0.103363</v>
      </c>
      <c r="V30" s="3">
        <v>-7.6401709999999998E-2</v>
      </c>
    </row>
    <row r="31" spans="1:22" x14ac:dyDescent="0.25">
      <c r="A31">
        <v>12299.38</v>
      </c>
      <c r="B31">
        <v>9116</v>
      </c>
      <c r="C31">
        <v>6744</v>
      </c>
      <c r="D31">
        <v>1</v>
      </c>
      <c r="E31">
        <v>1</v>
      </c>
      <c r="F31" t="s">
        <v>13</v>
      </c>
      <c r="G31" s="3">
        <v>-6.3637260000000001E-2</v>
      </c>
      <c r="H31" s="3">
        <v>-2.280426E-2</v>
      </c>
      <c r="I31" s="3">
        <v>-8.4084030000000004E-2</v>
      </c>
      <c r="J31">
        <v>-0.1004</v>
      </c>
      <c r="K31">
        <v>-0.114562</v>
      </c>
      <c r="L31">
        <v>-0.14116809999999999</v>
      </c>
      <c r="M31">
        <v>-0.1890616</v>
      </c>
      <c r="N31">
        <v>-0.20538429999999999</v>
      </c>
      <c r="O31">
        <v>-0.2175984</v>
      </c>
      <c r="P31">
        <v>-0.224412</v>
      </c>
      <c r="Q31">
        <v>-0.23874329999999999</v>
      </c>
      <c r="R31">
        <v>-0.24185039999999999</v>
      </c>
      <c r="S31">
        <v>-0.23258780000000001</v>
      </c>
      <c r="T31">
        <v>-0.22991700000000001</v>
      </c>
      <c r="U31">
        <v>-0.2172694</v>
      </c>
      <c r="V31">
        <v>-0.1870494</v>
      </c>
    </row>
    <row r="32" spans="1:22" x14ac:dyDescent="0.25">
      <c r="A32" t="s">
        <v>272</v>
      </c>
    </row>
    <row r="33" spans="1:22" x14ac:dyDescent="0.25">
      <c r="A33">
        <v>12308.71</v>
      </c>
      <c r="B33">
        <v>9116</v>
      </c>
      <c r="C33">
        <v>6742</v>
      </c>
      <c r="D33">
        <v>1</v>
      </c>
      <c r="E33">
        <v>1</v>
      </c>
      <c r="F33" t="s">
        <v>13</v>
      </c>
      <c r="G33">
        <v>0.2485685</v>
      </c>
      <c r="H33" s="3">
        <v>-2.2690769999999999E-2</v>
      </c>
      <c r="I33">
        <v>-0.1154795</v>
      </c>
      <c r="J33">
        <v>-0.16108990000000001</v>
      </c>
      <c r="K33">
        <v>-0.1745429</v>
      </c>
      <c r="L33" s="3">
        <v>-1.375675E-2</v>
      </c>
      <c r="M33">
        <v>-0.20578859999999999</v>
      </c>
      <c r="N33">
        <v>-0.18950990000000001</v>
      </c>
      <c r="O33">
        <v>-0.18679090000000001</v>
      </c>
      <c r="P33" s="3">
        <v>4.9187660000000001E-2</v>
      </c>
      <c r="Q33">
        <v>-0.16911029999999999</v>
      </c>
      <c r="R33">
        <v>-0.148757</v>
      </c>
      <c r="S33" s="3">
        <v>4.3743129999999998E-2</v>
      </c>
      <c r="T33">
        <v>-0.1218629</v>
      </c>
      <c r="U33" s="3">
        <v>-9.4563010000000003E-2</v>
      </c>
      <c r="V33" s="3">
        <v>-7.3928830000000001E-2</v>
      </c>
    </row>
    <row r="34" spans="1:22" x14ac:dyDescent="0.25">
      <c r="A34">
        <v>12308.73</v>
      </c>
      <c r="B34">
        <v>9116</v>
      </c>
      <c r="C34">
        <v>6744</v>
      </c>
      <c r="D34">
        <v>1</v>
      </c>
      <c r="E34">
        <v>1</v>
      </c>
      <c r="F34" t="s">
        <v>13</v>
      </c>
      <c r="G34" s="3">
        <v>-6.3632010000000003E-2</v>
      </c>
      <c r="H34">
        <v>-2.41456E-2</v>
      </c>
      <c r="I34" s="3">
        <v>-8.1171510000000002E-2</v>
      </c>
      <c r="J34" s="3">
        <v>-9.9531170000000002E-2</v>
      </c>
      <c r="K34">
        <v>-0.1169229</v>
      </c>
      <c r="L34">
        <v>-0.14960670000000001</v>
      </c>
      <c r="M34">
        <v>-0.20144129999999999</v>
      </c>
      <c r="N34">
        <v>-0.2207355</v>
      </c>
      <c r="O34">
        <v>-0.23722219999999999</v>
      </c>
      <c r="P34">
        <v>-0.24787709999999999</v>
      </c>
      <c r="Q34">
        <v>-0.26774599999999998</v>
      </c>
      <c r="R34">
        <v>-0.2787924</v>
      </c>
      <c r="S34">
        <v>-0.27656560000000002</v>
      </c>
      <c r="T34">
        <v>-0.28444530000000001</v>
      </c>
      <c r="U34">
        <v>-0.289331</v>
      </c>
      <c r="V34">
        <v>-0.28098580000000001</v>
      </c>
    </row>
    <row r="35" spans="1:22" x14ac:dyDescent="0.25">
      <c r="A35" t="s">
        <v>273</v>
      </c>
    </row>
    <row r="36" spans="1:22" x14ac:dyDescent="0.25">
      <c r="A36">
        <v>12318.29</v>
      </c>
      <c r="B36">
        <v>9116</v>
      </c>
      <c r="C36">
        <v>6742</v>
      </c>
      <c r="D36">
        <v>1</v>
      </c>
      <c r="E36">
        <v>1</v>
      </c>
      <c r="F36" t="s">
        <v>13</v>
      </c>
      <c r="G36">
        <v>0.21517040000000001</v>
      </c>
      <c r="H36" s="3">
        <v>5.517006E-2</v>
      </c>
      <c r="I36" s="3">
        <v>-4.4322970000000003E-2</v>
      </c>
      <c r="J36">
        <v>-0.104507</v>
      </c>
      <c r="K36">
        <v>-0.12735750000000001</v>
      </c>
      <c r="L36" s="3">
        <v>-1.045799E-2</v>
      </c>
      <c r="M36">
        <v>-0.17166190000000001</v>
      </c>
      <c r="N36">
        <v>-0.16057830000000001</v>
      </c>
      <c r="O36">
        <v>-0.16186429999999999</v>
      </c>
      <c r="P36">
        <v>4.98848E-2</v>
      </c>
      <c r="Q36">
        <v>-0.1525416</v>
      </c>
      <c r="R36">
        <v>-0.135376</v>
      </c>
      <c r="S36" s="3">
        <v>4.4812680000000001E-2</v>
      </c>
      <c r="T36">
        <v>-0.1129937</v>
      </c>
      <c r="U36" s="3">
        <v>-9.0895649999999995E-2</v>
      </c>
      <c r="V36" s="3">
        <v>-6.9564340000000002E-2</v>
      </c>
    </row>
    <row r="37" spans="1:22" x14ac:dyDescent="0.25">
      <c r="A37">
        <v>12318.31</v>
      </c>
      <c r="B37">
        <v>9116</v>
      </c>
      <c r="C37">
        <v>6744</v>
      </c>
      <c r="D37">
        <v>1</v>
      </c>
      <c r="E37">
        <v>1</v>
      </c>
      <c r="F37" t="s">
        <v>13</v>
      </c>
      <c r="G37" s="3">
        <v>-6.2718869999999996E-2</v>
      </c>
      <c r="H37" s="3">
        <v>-2.4506569999999998E-2</v>
      </c>
      <c r="I37" s="3">
        <v>-7.7711580000000002E-2</v>
      </c>
      <c r="J37" s="3">
        <v>-9.8140240000000004E-2</v>
      </c>
      <c r="K37">
        <v>-0.1180124</v>
      </c>
      <c r="L37">
        <v>-0.15266179999999999</v>
      </c>
      <c r="M37">
        <v>-0.21399070000000001</v>
      </c>
      <c r="N37">
        <v>-0.2369976</v>
      </c>
      <c r="O37">
        <v>-0.25595709999999999</v>
      </c>
      <c r="P37">
        <v>-0.27095989999999998</v>
      </c>
      <c r="Q37">
        <v>-0.29674240000000002</v>
      </c>
      <c r="R37">
        <v>-0.31666040000000001</v>
      </c>
      <c r="S37">
        <v>-0.32155470000000003</v>
      </c>
      <c r="T37">
        <v>-0.34189079999999999</v>
      </c>
      <c r="U37">
        <v>-0.36835430000000002</v>
      </c>
      <c r="V37">
        <v>-0.38530059999999999</v>
      </c>
    </row>
    <row r="38" spans="1:22" x14ac:dyDescent="0.25">
      <c r="A38" t="s">
        <v>274</v>
      </c>
    </row>
    <row r="39" spans="1:22" x14ac:dyDescent="0.25">
      <c r="A39">
        <v>12327.57</v>
      </c>
      <c r="B39">
        <v>9116</v>
      </c>
      <c r="C39">
        <v>6742</v>
      </c>
      <c r="D39">
        <v>1</v>
      </c>
      <c r="E39">
        <v>1</v>
      </c>
      <c r="F39" t="s">
        <v>13</v>
      </c>
      <c r="G39">
        <v>0.15673210000000001</v>
      </c>
      <c r="H39">
        <v>0.1175995</v>
      </c>
      <c r="I39" s="3">
        <v>1.714516E-2</v>
      </c>
      <c r="J39" s="3">
        <v>-5.3765769999999997E-2</v>
      </c>
      <c r="K39" s="3">
        <v>-8.4645269999999995E-2</v>
      </c>
      <c r="L39" s="3">
        <v>-7.5078009999999997E-3</v>
      </c>
      <c r="M39">
        <v>-0.13981199999999999</v>
      </c>
      <c r="N39">
        <v>-0.13426920000000001</v>
      </c>
      <c r="O39">
        <v>-0.1395836</v>
      </c>
      <c r="P39" s="3">
        <v>5.005884E-2</v>
      </c>
      <c r="Q39">
        <v>-0.13773160000000001</v>
      </c>
      <c r="R39">
        <v>-0.12386419999999999</v>
      </c>
      <c r="S39" s="3">
        <v>4.6239849999999999E-2</v>
      </c>
      <c r="T39">
        <v>-0.1049953</v>
      </c>
      <c r="U39">
        <v>-8.9980599999999994E-2</v>
      </c>
      <c r="V39" s="3">
        <v>-6.5095420000000001E-2</v>
      </c>
    </row>
    <row r="40" spans="1:22" x14ac:dyDescent="0.25">
      <c r="A40">
        <v>12327.59</v>
      </c>
      <c r="B40">
        <v>9116</v>
      </c>
      <c r="C40">
        <v>6744</v>
      </c>
      <c r="D40">
        <v>1</v>
      </c>
      <c r="E40">
        <v>1</v>
      </c>
      <c r="F40" t="s">
        <v>13</v>
      </c>
      <c r="G40" s="3">
        <v>-6.0351849999999999E-2</v>
      </c>
      <c r="H40" s="3">
        <v>-2.7800559999999998E-2</v>
      </c>
      <c r="I40">
        <v>-7.4433799999999994E-2</v>
      </c>
      <c r="J40">
        <v>-9.6747399999999997E-2</v>
      </c>
      <c r="K40">
        <v>-0.1191025</v>
      </c>
      <c r="L40">
        <v>-0.15517900000000001</v>
      </c>
      <c r="M40">
        <v>-0.2239237</v>
      </c>
      <c r="N40">
        <v>-0.25509120000000002</v>
      </c>
      <c r="O40">
        <v>-0.27593329999999999</v>
      </c>
      <c r="P40">
        <v>-0.29439120000000002</v>
      </c>
      <c r="Q40">
        <v>-0.32611180000000001</v>
      </c>
      <c r="R40">
        <v>-0.35616920000000002</v>
      </c>
      <c r="S40">
        <v>-0.36793090000000001</v>
      </c>
      <c r="T40">
        <v>-0.40060620000000002</v>
      </c>
      <c r="U40">
        <v>-0.45120329999999997</v>
      </c>
      <c r="V40">
        <v>-0.49889329999999998</v>
      </c>
    </row>
    <row r="41" spans="1:22" x14ac:dyDescent="0.25">
      <c r="A41" t="s">
        <v>275</v>
      </c>
    </row>
    <row r="42" spans="1:22" x14ac:dyDescent="0.25">
      <c r="A42">
        <v>12336.7</v>
      </c>
      <c r="B42">
        <v>9116</v>
      </c>
      <c r="C42">
        <v>6742</v>
      </c>
      <c r="D42">
        <v>1</v>
      </c>
      <c r="E42">
        <v>1</v>
      </c>
      <c r="F42" t="s">
        <v>13</v>
      </c>
      <c r="G42" s="3">
        <v>6.8993570000000004E-2</v>
      </c>
      <c r="H42">
        <v>0.16804269999999999</v>
      </c>
      <c r="I42" s="3">
        <v>7.2268959999999993E-2</v>
      </c>
      <c r="J42" s="3">
        <v>-4.7464370000000001E-3</v>
      </c>
      <c r="K42" s="3">
        <v>-4.261732E-2</v>
      </c>
      <c r="L42" s="3">
        <v>-4.3816569999999997E-3</v>
      </c>
      <c r="M42">
        <v>-0.1075931</v>
      </c>
      <c r="N42">
        <v>-0.10744670000000001</v>
      </c>
      <c r="O42">
        <v>-0.11554150000000001</v>
      </c>
      <c r="P42" s="3">
        <v>5.094862E-2</v>
      </c>
      <c r="Q42">
        <v>-0.1208205</v>
      </c>
      <c r="R42">
        <v>-0.1103668</v>
      </c>
      <c r="S42" s="3">
        <v>4.6596529999999997E-2</v>
      </c>
      <c r="T42" s="3">
        <v>-9.6299650000000001E-2</v>
      </c>
      <c r="U42" s="3">
        <v>-8.2097050000000005E-2</v>
      </c>
      <c r="V42" s="3">
        <v>-6.7027569999999995E-2</v>
      </c>
    </row>
    <row r="43" spans="1:22" x14ac:dyDescent="0.25">
      <c r="A43">
        <v>12336.73</v>
      </c>
      <c r="B43">
        <v>9116</v>
      </c>
      <c r="C43">
        <v>6744</v>
      </c>
      <c r="D43">
        <v>1</v>
      </c>
      <c r="E43">
        <v>1</v>
      </c>
      <c r="F43" t="s">
        <v>13</v>
      </c>
      <c r="G43" s="3">
        <v>-5.9072970000000002E-2</v>
      </c>
      <c r="H43" s="3">
        <v>-3.1763550000000002E-2</v>
      </c>
      <c r="I43" s="3">
        <v>-7.0610049999999994E-2</v>
      </c>
      <c r="J43">
        <v>-9.37891E-2</v>
      </c>
      <c r="K43">
        <v>-0.119103</v>
      </c>
      <c r="L43">
        <v>-0.15607789999999999</v>
      </c>
      <c r="M43">
        <v>-0.2408295</v>
      </c>
      <c r="N43">
        <v>-0.26987499999999998</v>
      </c>
      <c r="O43">
        <v>-0.2939949</v>
      </c>
      <c r="P43">
        <v>-0.31987290000000002</v>
      </c>
      <c r="Q43">
        <v>-0.35474820000000001</v>
      </c>
      <c r="R43">
        <v>-0.39440199999999997</v>
      </c>
      <c r="S43">
        <v>-0.41378500000000001</v>
      </c>
      <c r="T43">
        <v>-0.46058130000000003</v>
      </c>
      <c r="U43">
        <v>-0.53661199999999998</v>
      </c>
      <c r="V43">
        <v>-0.61748119999999995</v>
      </c>
    </row>
    <row r="44" spans="1:22" x14ac:dyDescent="0.25">
      <c r="A44" t="s">
        <v>276</v>
      </c>
    </row>
    <row r="45" spans="1:22" x14ac:dyDescent="0.25">
      <c r="A45">
        <v>12346.76</v>
      </c>
      <c r="B45">
        <v>9116</v>
      </c>
      <c r="C45">
        <v>6742</v>
      </c>
      <c r="D45">
        <v>1</v>
      </c>
      <c r="E45">
        <v>1</v>
      </c>
      <c r="F45" t="s">
        <v>13</v>
      </c>
      <c r="G45">
        <v>-4.35853E-2</v>
      </c>
      <c r="H45">
        <v>0.20275969999999999</v>
      </c>
      <c r="I45">
        <v>0.11772580000000001</v>
      </c>
      <c r="J45" s="3">
        <v>3.7918569999999999E-2</v>
      </c>
      <c r="K45" s="3">
        <v>-4.3754579999999996E-3</v>
      </c>
      <c r="L45" s="3">
        <v>-2.1238329999999999E-3</v>
      </c>
      <c r="M45" s="3">
        <v>-7.6817990000000003E-2</v>
      </c>
      <c r="N45" s="3">
        <v>-8.1139559999999999E-2</v>
      </c>
      <c r="O45" s="3">
        <v>-9.2006210000000005E-2</v>
      </c>
      <c r="P45" s="3">
        <v>5.1819320000000002E-2</v>
      </c>
      <c r="Q45">
        <v>-0.10337880000000001</v>
      </c>
      <c r="R45" s="3">
        <v>-9.6984860000000006E-2</v>
      </c>
      <c r="S45" s="3">
        <v>4.7844890000000001E-2</v>
      </c>
      <c r="T45" s="3">
        <v>-8.6734290000000006E-2</v>
      </c>
      <c r="U45" s="3">
        <v>-7.4029449999999997E-2</v>
      </c>
      <c r="V45" s="3">
        <v>-6.3390249999999995E-2</v>
      </c>
    </row>
    <row r="46" spans="1:22" x14ac:dyDescent="0.25">
      <c r="A46">
        <v>12346.78</v>
      </c>
      <c r="B46">
        <v>9116</v>
      </c>
      <c r="C46">
        <v>6744</v>
      </c>
      <c r="D46">
        <v>1</v>
      </c>
      <c r="E46">
        <v>1</v>
      </c>
      <c r="F46" t="s">
        <v>13</v>
      </c>
      <c r="G46">
        <v>-5.6881899999999999E-2</v>
      </c>
      <c r="H46" s="3">
        <v>-3.5727979999999999E-2</v>
      </c>
      <c r="I46" s="3">
        <v>-7.0063589999999995E-2</v>
      </c>
      <c r="J46" s="3">
        <v>-9.2572210000000002E-2</v>
      </c>
      <c r="K46">
        <v>-0.1203742</v>
      </c>
      <c r="L46">
        <v>-0.1573358</v>
      </c>
      <c r="M46">
        <v>-0.25024079999999999</v>
      </c>
      <c r="N46">
        <v>-0.28869299999999998</v>
      </c>
      <c r="O46">
        <v>-0.31669039999999998</v>
      </c>
      <c r="P46">
        <v>-0.34110550000000001</v>
      </c>
      <c r="Q46">
        <v>-0.38138630000000001</v>
      </c>
      <c r="R46">
        <v>-0.43298910000000002</v>
      </c>
      <c r="S46">
        <v>-0.45929150000000002</v>
      </c>
      <c r="T46">
        <v>-0.52074290000000001</v>
      </c>
      <c r="U46">
        <v>-0.6181664</v>
      </c>
      <c r="V46">
        <v>-0.73890690000000003</v>
      </c>
    </row>
    <row r="47" spans="1:22" x14ac:dyDescent="0.25">
      <c r="A47" t="s">
        <v>277</v>
      </c>
    </row>
    <row r="48" spans="1:22" x14ac:dyDescent="0.25">
      <c r="A48">
        <v>12355.76</v>
      </c>
      <c r="B48">
        <v>9116</v>
      </c>
      <c r="C48">
        <v>6742</v>
      </c>
      <c r="D48">
        <v>1</v>
      </c>
      <c r="E48">
        <v>1</v>
      </c>
      <c r="F48" t="s">
        <v>13</v>
      </c>
      <c r="G48">
        <v>-0.1829443</v>
      </c>
      <c r="H48">
        <v>0.22636220000000001</v>
      </c>
      <c r="I48">
        <v>0.15737719999999999</v>
      </c>
      <c r="J48" s="3">
        <v>7.7493670000000001E-2</v>
      </c>
      <c r="K48" s="3">
        <v>3.1631470000000002E-2</v>
      </c>
      <c r="L48" s="3">
        <v>-3.8814539999999998E-4</v>
      </c>
      <c r="M48" s="3">
        <v>-4.6597479999999997E-2</v>
      </c>
      <c r="N48" s="3">
        <v>-5.5705070000000002E-2</v>
      </c>
      <c r="O48" s="3">
        <v>-6.9812769999999996E-2</v>
      </c>
      <c r="P48" s="3">
        <v>5.2168369999999999E-2</v>
      </c>
      <c r="Q48" s="3">
        <v>-8.7696549999999998E-2</v>
      </c>
      <c r="R48" s="3">
        <v>-8.3560469999999998E-2</v>
      </c>
      <c r="S48" s="3">
        <v>4.8379419999999999E-2</v>
      </c>
      <c r="T48" s="3">
        <v>-7.7342510000000003E-2</v>
      </c>
      <c r="U48" s="3">
        <v>-6.6130159999999993E-2</v>
      </c>
      <c r="V48" s="3">
        <v>-5.5864329999999997E-2</v>
      </c>
    </row>
    <row r="49" spans="1:22" x14ac:dyDescent="0.25">
      <c r="A49">
        <v>12355.78</v>
      </c>
      <c r="B49">
        <v>9116</v>
      </c>
      <c r="C49">
        <v>6744</v>
      </c>
      <c r="D49">
        <v>1</v>
      </c>
      <c r="E49">
        <v>1</v>
      </c>
      <c r="F49" t="s">
        <v>13</v>
      </c>
      <c r="G49">
        <v>-4.9938200000000002E-2</v>
      </c>
      <c r="H49" s="3">
        <v>-4.058933E-2</v>
      </c>
      <c r="I49" s="3">
        <v>-7.1520810000000004E-2</v>
      </c>
      <c r="J49">
        <v>-9.4139100000000003E-2</v>
      </c>
      <c r="K49">
        <v>-0.1232796</v>
      </c>
      <c r="L49">
        <v>-0.16146849999999999</v>
      </c>
      <c r="M49">
        <v>-0.26226430000000001</v>
      </c>
      <c r="N49">
        <v>-0.30442999999999998</v>
      </c>
      <c r="O49">
        <v>-0.337563</v>
      </c>
      <c r="P49">
        <v>-0.36917299999999997</v>
      </c>
      <c r="Q49">
        <v>-0.42214200000000002</v>
      </c>
      <c r="R49">
        <v>-0.47319559999999999</v>
      </c>
      <c r="S49">
        <v>-0.51514720000000003</v>
      </c>
      <c r="T49">
        <v>-0.59384060000000005</v>
      </c>
      <c r="U49">
        <v>-0.71218159999999997</v>
      </c>
      <c r="V49">
        <v>-0.86818169999999995</v>
      </c>
    </row>
    <row r="50" spans="1:22" x14ac:dyDescent="0.25">
      <c r="A50" t="s">
        <v>278</v>
      </c>
    </row>
    <row r="51" spans="1:22" x14ac:dyDescent="0.25">
      <c r="A51">
        <v>12365.6</v>
      </c>
      <c r="B51">
        <v>9116</v>
      </c>
      <c r="C51">
        <v>6742</v>
      </c>
      <c r="D51">
        <v>1</v>
      </c>
      <c r="E51">
        <v>1</v>
      </c>
      <c r="F51" t="s">
        <v>13</v>
      </c>
      <c r="G51">
        <v>-0.33504489999999998</v>
      </c>
      <c r="H51">
        <v>0.23536869999999999</v>
      </c>
      <c r="I51">
        <v>0.18454219999999999</v>
      </c>
      <c r="J51">
        <v>0.10847710000000001</v>
      </c>
      <c r="K51" s="3">
        <v>6.0573580000000002E-2</v>
      </c>
      <c r="L51" s="3">
        <v>1.5201570000000001E-3</v>
      </c>
      <c r="M51" s="3">
        <v>-2.321291E-2</v>
      </c>
      <c r="N51" s="3">
        <v>-3.5532950000000001E-2</v>
      </c>
      <c r="O51" s="3">
        <v>-5.1173690000000001E-2</v>
      </c>
      <c r="P51" s="3">
        <v>5.286503E-2</v>
      </c>
      <c r="Q51" s="3">
        <v>-7.4741360000000007E-2</v>
      </c>
      <c r="R51" s="3">
        <v>-7.4007030000000001E-2</v>
      </c>
      <c r="S51" s="3">
        <v>4.9448489999999998E-2</v>
      </c>
      <c r="T51" s="3">
        <v>-7.229853E-2</v>
      </c>
      <c r="U51" s="3">
        <v>-6.2647820000000007E-2</v>
      </c>
      <c r="V51" s="3">
        <v>-5.2598480000000003E-2</v>
      </c>
    </row>
    <row r="52" spans="1:22" x14ac:dyDescent="0.25">
      <c r="A52">
        <v>12365.63</v>
      </c>
      <c r="B52">
        <v>9116</v>
      </c>
      <c r="C52">
        <v>6744</v>
      </c>
      <c r="D52">
        <v>1</v>
      </c>
      <c r="E52">
        <v>1</v>
      </c>
      <c r="F52" t="s">
        <v>13</v>
      </c>
      <c r="G52" s="3">
        <v>-4.7934530000000003E-2</v>
      </c>
      <c r="H52" s="3">
        <v>-4.3111320000000002E-2</v>
      </c>
      <c r="I52" s="3">
        <v>-6.9700239999999997E-2</v>
      </c>
      <c r="J52">
        <v>-9.2224600000000004E-2</v>
      </c>
      <c r="K52">
        <v>-0.1236429</v>
      </c>
      <c r="L52">
        <v>-0.16272780000000001</v>
      </c>
      <c r="M52">
        <v>-0.27202320000000002</v>
      </c>
      <c r="N52">
        <v>-0.3201251</v>
      </c>
      <c r="O52">
        <v>-0.35616300000000001</v>
      </c>
      <c r="P52">
        <v>-0.3922544</v>
      </c>
      <c r="Q52">
        <v>-0.45240639999999999</v>
      </c>
      <c r="R52">
        <v>-0.52102230000000005</v>
      </c>
      <c r="S52">
        <v>-0.55696579999999996</v>
      </c>
      <c r="T52">
        <v>-0.59567829999999999</v>
      </c>
      <c r="U52">
        <v>-0.81132700000000002</v>
      </c>
      <c r="V52">
        <v>-0.99581580000000003</v>
      </c>
    </row>
    <row r="53" spans="1:22" x14ac:dyDescent="0.25">
      <c r="A53" t="s">
        <v>279</v>
      </c>
    </row>
    <row r="54" spans="1:22" x14ac:dyDescent="0.25">
      <c r="A54">
        <v>12375.03</v>
      </c>
      <c r="B54">
        <v>9116</v>
      </c>
      <c r="C54">
        <v>6742</v>
      </c>
      <c r="D54">
        <v>1</v>
      </c>
      <c r="E54">
        <v>1</v>
      </c>
      <c r="F54" t="s">
        <v>13</v>
      </c>
      <c r="G54">
        <v>-0.4874578</v>
      </c>
      <c r="H54">
        <v>0.23343040000000001</v>
      </c>
      <c r="I54">
        <v>0.20251749999999999</v>
      </c>
      <c r="J54">
        <v>0.13187979999999999</v>
      </c>
      <c r="K54" s="3">
        <v>8.4177970000000005E-2</v>
      </c>
      <c r="L54" s="3">
        <v>3.256321E-3</v>
      </c>
      <c r="M54" s="3">
        <v>-2.3393630000000001E-3</v>
      </c>
      <c r="N54" s="3">
        <v>-1.7993450000000001E-2</v>
      </c>
      <c r="O54" s="3">
        <v>-3.5481449999999998E-2</v>
      </c>
      <c r="P54" s="3">
        <v>5.3039070000000001E-2</v>
      </c>
      <c r="Q54" s="3">
        <v>-6.3577649999999999E-2</v>
      </c>
      <c r="R54" s="3">
        <v>-6.549025E-2</v>
      </c>
      <c r="S54">
        <v>4.99835E-2</v>
      </c>
      <c r="T54" s="3">
        <v>-6.7950250000000004E-2</v>
      </c>
      <c r="U54">
        <v>-6.0813899999999997E-2</v>
      </c>
      <c r="V54" s="3">
        <v>-5.405331E-2</v>
      </c>
    </row>
    <row r="55" spans="1:22" x14ac:dyDescent="0.25">
      <c r="A55">
        <v>12375.04</v>
      </c>
      <c r="B55">
        <v>9116</v>
      </c>
      <c r="C55">
        <v>6744</v>
      </c>
      <c r="D55">
        <v>1</v>
      </c>
      <c r="E55">
        <v>1</v>
      </c>
      <c r="F55" t="s">
        <v>13</v>
      </c>
      <c r="G55" s="3">
        <v>-5.2316670000000003E-2</v>
      </c>
      <c r="H55" s="3">
        <v>-4.6535489999999999E-2</v>
      </c>
      <c r="I55">
        <v>-6.8243499999999999E-2</v>
      </c>
      <c r="J55" s="3">
        <v>-8.9094160000000006E-2</v>
      </c>
      <c r="K55">
        <v>-0.1211004</v>
      </c>
      <c r="L55">
        <v>-0.16129019999999999</v>
      </c>
      <c r="M55">
        <v>-0.27794839999999998</v>
      </c>
      <c r="N55">
        <v>-0.3296251</v>
      </c>
      <c r="O55">
        <v>-0.36913010000000002</v>
      </c>
      <c r="P55">
        <v>-0.40905380000000002</v>
      </c>
      <c r="Q55">
        <v>-0.47469090000000003</v>
      </c>
      <c r="R55">
        <v>-0.55326180000000003</v>
      </c>
      <c r="S55">
        <v>-0.60105609999999998</v>
      </c>
      <c r="T55">
        <v>-0.65072540000000001</v>
      </c>
      <c r="U55">
        <v>-0.91501759999999999</v>
      </c>
      <c r="V55">
        <v>-1.1042719999999999</v>
      </c>
    </row>
    <row r="56" spans="1:22" x14ac:dyDescent="0.25">
      <c r="A56" t="s">
        <v>280</v>
      </c>
    </row>
    <row r="57" spans="1:22" x14ac:dyDescent="0.25">
      <c r="A57">
        <v>12384.16</v>
      </c>
      <c r="B57">
        <v>9116</v>
      </c>
      <c r="C57">
        <v>6742</v>
      </c>
      <c r="D57">
        <v>1</v>
      </c>
      <c r="E57">
        <v>1</v>
      </c>
      <c r="F57" t="s">
        <v>13</v>
      </c>
      <c r="G57">
        <v>-0.65595910000000002</v>
      </c>
      <c r="H57">
        <v>0.22725490000000001</v>
      </c>
      <c r="I57">
        <v>0.21624660000000001</v>
      </c>
      <c r="J57">
        <v>0.1547809</v>
      </c>
      <c r="K57">
        <v>0.10743469999999999</v>
      </c>
      <c r="L57" s="3">
        <v>4.8055650000000004E-3</v>
      </c>
      <c r="M57" s="3">
        <v>1.9526959999999999E-2</v>
      </c>
      <c r="N57" s="3">
        <v>1.9984249999999999E-3</v>
      </c>
      <c r="O57" s="3">
        <v>-1.824665E-2</v>
      </c>
      <c r="P57" s="3">
        <v>5.3406240000000001E-2</v>
      </c>
      <c r="Q57" s="3">
        <v>-5.0856110000000003E-2</v>
      </c>
      <c r="R57" s="3">
        <v>-5.5418969999999998E-2</v>
      </c>
      <c r="S57" s="3">
        <v>5.1053519999999998E-2</v>
      </c>
      <c r="T57" s="3">
        <v>-6.2036510000000003E-2</v>
      </c>
      <c r="U57" s="3">
        <v>-5.7515139999999999E-2</v>
      </c>
      <c r="V57" s="3">
        <v>-5.310869E-2</v>
      </c>
    </row>
    <row r="58" spans="1:22" x14ac:dyDescent="0.25">
      <c r="A58">
        <v>12384.18</v>
      </c>
      <c r="B58">
        <v>9116</v>
      </c>
      <c r="C58">
        <v>6744</v>
      </c>
      <c r="D58">
        <v>1</v>
      </c>
      <c r="E58">
        <v>1</v>
      </c>
      <c r="F58" t="s">
        <v>13</v>
      </c>
      <c r="G58" s="3">
        <v>-5.6157110000000003E-2</v>
      </c>
      <c r="H58" s="3">
        <v>-5.0678250000000001E-2</v>
      </c>
      <c r="I58" s="3">
        <v>-6.6610810000000006E-2</v>
      </c>
      <c r="J58" s="3">
        <v>-8.5790160000000004E-2</v>
      </c>
      <c r="K58">
        <v>-0.11692329999999999</v>
      </c>
      <c r="L58">
        <v>-0.15769430000000001</v>
      </c>
      <c r="M58">
        <v>-0.28143410000000002</v>
      </c>
      <c r="N58">
        <v>-0.3374839</v>
      </c>
      <c r="O58">
        <v>-0.37896780000000002</v>
      </c>
      <c r="P58">
        <v>-0.42288779999999998</v>
      </c>
      <c r="Q58">
        <v>-0.49406149999999999</v>
      </c>
      <c r="R58">
        <v>-0.58367970000000002</v>
      </c>
      <c r="S58">
        <v>-0.63847259999999995</v>
      </c>
      <c r="T58">
        <v>-0.71434589999999998</v>
      </c>
      <c r="U58">
        <v>-1.0182770000000001</v>
      </c>
      <c r="V58">
        <v>-1.2104140000000001</v>
      </c>
    </row>
    <row r="59" spans="1:22" x14ac:dyDescent="0.25">
      <c r="A59" t="s">
        <v>281</v>
      </c>
    </row>
    <row r="60" spans="1:22" x14ac:dyDescent="0.25">
      <c r="A60">
        <v>12393.53</v>
      </c>
      <c r="B60">
        <v>9116</v>
      </c>
      <c r="C60">
        <v>6742</v>
      </c>
      <c r="D60">
        <v>1</v>
      </c>
      <c r="E60">
        <v>1</v>
      </c>
      <c r="F60" t="s">
        <v>13</v>
      </c>
      <c r="G60">
        <v>-0.83736900000000003</v>
      </c>
      <c r="H60">
        <v>0.2133389</v>
      </c>
      <c r="I60">
        <v>0.2236428</v>
      </c>
      <c r="J60">
        <v>0.1723285</v>
      </c>
      <c r="K60">
        <v>0.1260424</v>
      </c>
      <c r="L60" s="3">
        <v>6.5546040000000003E-3</v>
      </c>
      <c r="M60" s="3">
        <v>3.7079330000000001E-2</v>
      </c>
      <c r="N60" s="3">
        <v>1.761675E-2</v>
      </c>
      <c r="O60" s="3">
        <v>-4.2209630000000003E-3</v>
      </c>
      <c r="P60" s="3">
        <v>5.3735730000000002E-2</v>
      </c>
      <c r="Q60" s="3">
        <v>-4.0221689999999997E-2</v>
      </c>
      <c r="R60" s="3">
        <v>-4.7254560000000001E-2</v>
      </c>
      <c r="S60" s="3">
        <v>5.1945690000000003E-2</v>
      </c>
      <c r="T60" s="3">
        <v>-5.8384419999999999E-2</v>
      </c>
      <c r="U60" s="3">
        <v>-5.5882929999999997E-2</v>
      </c>
      <c r="V60" s="3">
        <v>-5.5398459999999997E-2</v>
      </c>
    </row>
    <row r="61" spans="1:22" x14ac:dyDescent="0.25">
      <c r="A61">
        <v>12393.55</v>
      </c>
      <c r="B61">
        <v>9116</v>
      </c>
      <c r="C61">
        <v>6744</v>
      </c>
      <c r="D61">
        <v>1</v>
      </c>
      <c r="E61">
        <v>1</v>
      </c>
      <c r="F61" t="s">
        <v>13</v>
      </c>
      <c r="G61" s="3">
        <v>-6.181097E-2</v>
      </c>
      <c r="H61" s="3">
        <v>-5.8064459999999998E-2</v>
      </c>
      <c r="I61" s="3">
        <v>-6.9335460000000002E-2</v>
      </c>
      <c r="J61" s="3">
        <v>-8.5094450000000002E-2</v>
      </c>
      <c r="K61">
        <v>-0.1149259</v>
      </c>
      <c r="L61">
        <v>-0.15463070000000001</v>
      </c>
      <c r="M61">
        <v>-0.28631259999999997</v>
      </c>
      <c r="N61">
        <v>-0.3468251</v>
      </c>
      <c r="O61">
        <v>-0.39120480000000002</v>
      </c>
      <c r="P61">
        <v>-0.4391351</v>
      </c>
      <c r="Q61">
        <v>-0.51617000000000002</v>
      </c>
      <c r="R61">
        <v>-0.6161065</v>
      </c>
      <c r="S61">
        <v>-0.68044420000000005</v>
      </c>
      <c r="T61">
        <v>-0.77903270000000002</v>
      </c>
      <c r="U61">
        <v>-1.1448259999999999</v>
      </c>
      <c r="V61">
        <v>-1.3141499999999999</v>
      </c>
    </row>
    <row r="62" spans="1:22" x14ac:dyDescent="0.25">
      <c r="A62" t="s">
        <v>282</v>
      </c>
    </row>
    <row r="63" spans="1:22" x14ac:dyDescent="0.25">
      <c r="A63">
        <v>12403.28</v>
      </c>
      <c r="B63">
        <v>9116</v>
      </c>
      <c r="C63">
        <v>6742</v>
      </c>
      <c r="D63">
        <v>1</v>
      </c>
      <c r="E63">
        <v>1</v>
      </c>
      <c r="F63" t="s">
        <v>13</v>
      </c>
      <c r="G63">
        <v>-1.029004</v>
      </c>
      <c r="H63">
        <v>0.19342419999999999</v>
      </c>
      <c r="I63">
        <v>0.2278724</v>
      </c>
      <c r="J63">
        <v>0.1874738</v>
      </c>
      <c r="K63">
        <v>0.1439629</v>
      </c>
      <c r="L63" s="3">
        <v>7.5964930000000002E-3</v>
      </c>
      <c r="M63" s="3">
        <v>5.5123810000000002E-2</v>
      </c>
      <c r="N63" s="3">
        <v>3.3403870000000002E-2</v>
      </c>
      <c r="O63" s="3">
        <v>1.025248E-2</v>
      </c>
      <c r="P63" s="3">
        <v>5.3561690000000002E-2</v>
      </c>
      <c r="Q63" s="3">
        <v>-2.958059E-2</v>
      </c>
      <c r="R63" s="3">
        <v>-3.9085389999999998E-2</v>
      </c>
      <c r="S63" s="3">
        <v>5.2837370000000002E-2</v>
      </c>
      <c r="T63" s="3">
        <v>-5.4210189999999998E-2</v>
      </c>
      <c r="U63">
        <v>-5.4232599999999999E-2</v>
      </c>
      <c r="V63" s="3">
        <v>-5.6853290000000001E-2</v>
      </c>
    </row>
    <row r="64" spans="1:22" x14ac:dyDescent="0.25">
      <c r="A64">
        <v>12403.3</v>
      </c>
      <c r="B64">
        <v>9116</v>
      </c>
      <c r="C64">
        <v>6744</v>
      </c>
      <c r="D64">
        <v>1</v>
      </c>
      <c r="E64">
        <v>1</v>
      </c>
      <c r="F64" t="s">
        <v>13</v>
      </c>
      <c r="G64" s="3">
        <v>-6.7106250000000006E-2</v>
      </c>
      <c r="H64" s="3">
        <v>-6.6534040000000003E-2</v>
      </c>
      <c r="I64" s="3">
        <v>-7.2794910000000004E-2</v>
      </c>
      <c r="J64" s="3">
        <v>-8.4746360000000007E-2</v>
      </c>
      <c r="K64">
        <v>-0.11147550000000001</v>
      </c>
      <c r="L64">
        <v>-0.1490602</v>
      </c>
      <c r="M64">
        <v>-0.2878809</v>
      </c>
      <c r="N64">
        <v>-0.35230590000000001</v>
      </c>
      <c r="O64">
        <v>-0.40092990000000001</v>
      </c>
      <c r="P64">
        <v>-0.452795</v>
      </c>
      <c r="Q64">
        <v>-0.53555390000000003</v>
      </c>
      <c r="R64">
        <v>-0.64544389999999996</v>
      </c>
      <c r="S64">
        <v>-0.71890589999999999</v>
      </c>
      <c r="T64">
        <v>-0.83588600000000002</v>
      </c>
      <c r="U64">
        <v>-1.3015639999999999</v>
      </c>
      <c r="V64">
        <v>-1.4077040000000001</v>
      </c>
    </row>
    <row r="65" spans="1:22" x14ac:dyDescent="0.25">
      <c r="A65" t="s">
        <v>283</v>
      </c>
    </row>
    <row r="66" spans="1:22" x14ac:dyDescent="0.25">
      <c r="A66">
        <v>12412.61</v>
      </c>
      <c r="B66">
        <v>9116</v>
      </c>
      <c r="C66">
        <v>6742</v>
      </c>
      <c r="D66">
        <v>1</v>
      </c>
      <c r="E66">
        <v>1</v>
      </c>
      <c r="F66" t="s">
        <v>13</v>
      </c>
      <c r="G66">
        <v>-1.208737</v>
      </c>
      <c r="H66">
        <v>0.16656209999999999</v>
      </c>
      <c r="I66">
        <v>0.2243028</v>
      </c>
      <c r="J66">
        <v>0.1962457</v>
      </c>
      <c r="K66">
        <v>0.15603210000000001</v>
      </c>
      <c r="L66" s="3">
        <v>8.9879039999999997E-3</v>
      </c>
      <c r="M66" s="3">
        <v>6.8380360000000001E-2</v>
      </c>
      <c r="N66" s="3">
        <v>4.5329090000000002E-2</v>
      </c>
      <c r="O66" s="3">
        <v>2.1393780000000001E-2</v>
      </c>
      <c r="P66" s="3">
        <v>5.3890710000000001E-2</v>
      </c>
      <c r="Q66" s="3">
        <v>-2.1972180000000001E-2</v>
      </c>
      <c r="R66" s="3">
        <v>-3.3355709999999997E-2</v>
      </c>
      <c r="S66" s="3">
        <v>5.4802419999999998E-2</v>
      </c>
      <c r="T66" s="3">
        <v>-5.2296639999999998E-2</v>
      </c>
      <c r="U66" s="3">
        <v>-5.4765220000000003E-2</v>
      </c>
      <c r="V66" s="3">
        <v>-6.1033249999999997E-2</v>
      </c>
    </row>
    <row r="67" spans="1:22" x14ac:dyDescent="0.25">
      <c r="A67">
        <v>12412.63</v>
      </c>
      <c r="B67">
        <v>9116</v>
      </c>
      <c r="C67">
        <v>6744</v>
      </c>
      <c r="D67">
        <v>1</v>
      </c>
      <c r="E67">
        <v>1</v>
      </c>
      <c r="F67" t="s">
        <v>13</v>
      </c>
      <c r="G67">
        <v>-7.5146199999999996E-2</v>
      </c>
      <c r="H67" s="3">
        <v>-8.0092430000000006E-2</v>
      </c>
      <c r="I67" s="3">
        <v>-8.3901409999999996E-2</v>
      </c>
      <c r="J67" s="3">
        <v>-9.1181280000000003E-2</v>
      </c>
      <c r="K67">
        <v>-0.1098471</v>
      </c>
      <c r="L67">
        <v>-0.14296629999999999</v>
      </c>
      <c r="M67">
        <v>-0.2857904</v>
      </c>
      <c r="N67">
        <v>-0.35502719999999999</v>
      </c>
      <c r="O67">
        <v>-0.40488390000000002</v>
      </c>
      <c r="P67">
        <v>-0.46018310000000001</v>
      </c>
      <c r="Q67">
        <v>-0.54842329999999995</v>
      </c>
      <c r="R67">
        <v>-0.66661599999999999</v>
      </c>
      <c r="S67">
        <v>-0.74823569999999995</v>
      </c>
      <c r="T67">
        <v>-0.88584280000000004</v>
      </c>
      <c r="U67">
        <v>-1.427583</v>
      </c>
      <c r="V67">
        <v>-1.5026969999999999</v>
      </c>
    </row>
    <row r="68" spans="1:22" x14ac:dyDescent="0.25">
      <c r="A68" t="s">
        <v>284</v>
      </c>
    </row>
    <row r="69" spans="1:22" x14ac:dyDescent="0.25">
      <c r="A69">
        <v>12422.41</v>
      </c>
      <c r="B69">
        <v>9116</v>
      </c>
      <c r="C69">
        <v>6742</v>
      </c>
      <c r="D69">
        <v>1</v>
      </c>
      <c r="E69">
        <v>1</v>
      </c>
      <c r="F69" t="s">
        <v>13</v>
      </c>
      <c r="G69">
        <v>-1.3982810000000001</v>
      </c>
      <c r="H69">
        <v>0.1401782</v>
      </c>
      <c r="I69">
        <v>0.22245029999999999</v>
      </c>
      <c r="J69">
        <v>0.20570559999999999</v>
      </c>
      <c r="K69">
        <v>0.1679206</v>
      </c>
      <c r="L69" s="3">
        <v>9.6812249999999999E-3</v>
      </c>
      <c r="M69" s="3">
        <v>8.0803390000000003E-2</v>
      </c>
      <c r="N69" s="3">
        <v>5.602741E-2</v>
      </c>
      <c r="O69" s="3">
        <v>3.0617709999999999E-2</v>
      </c>
      <c r="P69" s="3">
        <v>5.4432389999999997E-2</v>
      </c>
      <c r="Q69" s="3">
        <v>-1.6515249999999999E-2</v>
      </c>
      <c r="R69" s="3">
        <v>-3.005934E-2</v>
      </c>
      <c r="S69" s="3">
        <v>5.4441929999999999E-2</v>
      </c>
      <c r="T69" s="3">
        <v>-5.4209710000000001E-2</v>
      </c>
      <c r="U69">
        <v>-5.9366700000000001E-2</v>
      </c>
      <c r="V69" s="3">
        <v>-7.0301059999999999E-2</v>
      </c>
    </row>
    <row r="70" spans="1:22" x14ac:dyDescent="0.25">
      <c r="A70">
        <v>12422.43</v>
      </c>
      <c r="B70">
        <v>9116</v>
      </c>
      <c r="C70">
        <v>6744</v>
      </c>
      <c r="D70">
        <v>1</v>
      </c>
      <c r="E70">
        <v>1</v>
      </c>
      <c r="F70" t="s">
        <v>13</v>
      </c>
      <c r="G70" s="3">
        <v>-9.0478420000000004E-2</v>
      </c>
      <c r="H70">
        <v>-0.1007533</v>
      </c>
      <c r="I70">
        <v>-0.10392949999999999</v>
      </c>
      <c r="J70">
        <v>-0.10840229999999999</v>
      </c>
      <c r="K70">
        <v>-0.1183829</v>
      </c>
      <c r="L70">
        <v>-0.14008139999999999</v>
      </c>
      <c r="M70">
        <v>-0.28108450000000001</v>
      </c>
      <c r="N70">
        <v>-0.35593839999999999</v>
      </c>
      <c r="O70">
        <v>-0.40902850000000002</v>
      </c>
      <c r="P70">
        <v>-0.46922920000000001</v>
      </c>
      <c r="Q70">
        <v>-0.56346419999999997</v>
      </c>
      <c r="R70">
        <v>-0.6920056</v>
      </c>
      <c r="S70">
        <v>-0.78370669999999998</v>
      </c>
      <c r="T70">
        <v>-0.94195130000000005</v>
      </c>
      <c r="U70">
        <v>-1.4981640000000001</v>
      </c>
      <c r="V70">
        <v>-1.6330450000000001</v>
      </c>
    </row>
    <row r="71" spans="1:22" x14ac:dyDescent="0.25">
      <c r="A71" t="s">
        <v>285</v>
      </c>
    </row>
    <row r="72" spans="1:22" x14ac:dyDescent="0.25">
      <c r="A72">
        <v>12431.82</v>
      </c>
      <c r="B72">
        <v>9116</v>
      </c>
      <c r="C72">
        <v>6742</v>
      </c>
      <c r="D72">
        <v>1</v>
      </c>
      <c r="E72">
        <v>1</v>
      </c>
      <c r="F72" t="s">
        <v>13</v>
      </c>
      <c r="G72">
        <v>-1.2856000000000001</v>
      </c>
      <c r="H72">
        <v>0.14986940000000001</v>
      </c>
      <c r="I72">
        <v>0.2226262</v>
      </c>
      <c r="J72">
        <v>0.202436</v>
      </c>
      <c r="K72">
        <v>0.16516400000000001</v>
      </c>
      <c r="L72" s="3">
        <v>9.5076559999999997E-3</v>
      </c>
      <c r="M72" s="3">
        <v>7.9210760000000005E-2</v>
      </c>
      <c r="N72">
        <v>5.3746700000000001E-2</v>
      </c>
      <c r="O72">
        <v>2.8874400000000001E-2</v>
      </c>
      <c r="P72" s="3">
        <v>5.4606439999999999E-2</v>
      </c>
      <c r="Q72" s="3">
        <v>-2.0353320000000001E-2</v>
      </c>
      <c r="R72" s="3">
        <v>-3.6316870000000001E-2</v>
      </c>
      <c r="S72" s="3">
        <v>5.479813E-2</v>
      </c>
      <c r="T72">
        <v>-6.7080500000000001E-2</v>
      </c>
      <c r="U72" s="3">
        <v>-7.9535480000000006E-2</v>
      </c>
      <c r="V72">
        <v>-0.1024904</v>
      </c>
    </row>
    <row r="73" spans="1:22" x14ac:dyDescent="0.25">
      <c r="A73">
        <v>12431.84</v>
      </c>
      <c r="B73">
        <v>9116</v>
      </c>
      <c r="C73">
        <v>6744</v>
      </c>
      <c r="D73">
        <v>1</v>
      </c>
      <c r="E73">
        <v>1</v>
      </c>
      <c r="F73" t="s">
        <v>13</v>
      </c>
      <c r="G73">
        <v>-0.1370344</v>
      </c>
      <c r="H73">
        <v>-0.15516949999999999</v>
      </c>
      <c r="I73">
        <v>-0.18057200000000001</v>
      </c>
      <c r="J73">
        <v>-0.1958838</v>
      </c>
      <c r="K73">
        <v>-0.2135377</v>
      </c>
      <c r="L73">
        <v>-0.23154930000000001</v>
      </c>
      <c r="M73">
        <v>-0.23089270000000001</v>
      </c>
      <c r="N73">
        <v>-0.2346258</v>
      </c>
      <c r="O73">
        <v>-0.25989010000000001</v>
      </c>
      <c r="P73">
        <v>-0.31212380000000001</v>
      </c>
      <c r="Q73">
        <v>-0.4078388</v>
      </c>
      <c r="R73">
        <v>-0.54277560000000002</v>
      </c>
      <c r="S73">
        <v>-0.63021280000000002</v>
      </c>
      <c r="T73">
        <v>-0.77540779999999998</v>
      </c>
      <c r="U73">
        <v>-1.3044800000000001</v>
      </c>
      <c r="V73">
        <v>-1.385888</v>
      </c>
    </row>
    <row r="74" spans="1:22" x14ac:dyDescent="0.25">
      <c r="A74" t="s">
        <v>286</v>
      </c>
    </row>
    <row r="75" spans="1:22" x14ac:dyDescent="0.25">
      <c r="A75">
        <v>12441.67</v>
      </c>
      <c r="B75">
        <v>9116</v>
      </c>
      <c r="C75">
        <v>6742</v>
      </c>
      <c r="D75">
        <v>1</v>
      </c>
      <c r="E75">
        <v>1</v>
      </c>
      <c r="F75" t="s">
        <v>13</v>
      </c>
      <c r="G75">
        <v>-0.24365000000000001</v>
      </c>
      <c r="H75">
        <v>0.2271552</v>
      </c>
      <c r="I75">
        <v>0.2091904</v>
      </c>
      <c r="J75">
        <v>0.15459300000000001</v>
      </c>
      <c r="K75">
        <v>0.1133041</v>
      </c>
      <c r="L75" s="3">
        <v>5.8741569999999996E-3</v>
      </c>
      <c r="M75" s="3">
        <v>3.091383E-2</v>
      </c>
      <c r="N75" s="3">
        <v>1.1825560000000001E-2</v>
      </c>
      <c r="O75" s="3">
        <v>-1.175261E-2</v>
      </c>
      <c r="P75" s="3">
        <v>5.3561690000000002E-2</v>
      </c>
      <c r="Q75" s="3">
        <v>-5.7504649999999997E-2</v>
      </c>
      <c r="R75" s="3">
        <v>-7.2812559999999998E-2</v>
      </c>
      <c r="S75" s="3">
        <v>5.5337909999999997E-2</v>
      </c>
      <c r="T75">
        <v>-0.1091685</v>
      </c>
      <c r="U75">
        <v>-0.12535189999999999</v>
      </c>
      <c r="V75">
        <v>-0.15373609999999999</v>
      </c>
    </row>
    <row r="76" spans="1:22" x14ac:dyDescent="0.25">
      <c r="A76">
        <v>12441.69</v>
      </c>
      <c r="B76">
        <v>9116</v>
      </c>
      <c r="C76">
        <v>6744</v>
      </c>
      <c r="D76">
        <v>1</v>
      </c>
      <c r="E76">
        <v>1</v>
      </c>
      <c r="F76" t="s">
        <v>13</v>
      </c>
      <c r="G76">
        <v>-0.1927075</v>
      </c>
      <c r="H76">
        <v>-0.25333929999999999</v>
      </c>
      <c r="I76">
        <v>-0.26795239999999998</v>
      </c>
      <c r="J76">
        <v>-0.28231099999999998</v>
      </c>
      <c r="K76">
        <v>-0.28852220000000001</v>
      </c>
      <c r="L76">
        <v>-0.28995559999999998</v>
      </c>
      <c r="M76">
        <v>-0.26226189999999999</v>
      </c>
      <c r="N76">
        <v>-0.25271700000000002</v>
      </c>
      <c r="O76">
        <v>-0.24926519999999999</v>
      </c>
      <c r="P76">
        <v>-0.24491070000000001</v>
      </c>
      <c r="Q76">
        <v>-0.24254700000000001</v>
      </c>
      <c r="R76">
        <v>-0.2427435</v>
      </c>
      <c r="S76">
        <v>-0.23610400000000001</v>
      </c>
      <c r="T76">
        <v>-0.2450476</v>
      </c>
      <c r="U76">
        <v>-0.24257419999999999</v>
      </c>
      <c r="V76">
        <v>-0.23993780000000001</v>
      </c>
    </row>
    <row r="77" spans="1:22" x14ac:dyDescent="0.25">
      <c r="A77" t="s">
        <v>287</v>
      </c>
    </row>
    <row r="78" spans="1:22" x14ac:dyDescent="0.25">
      <c r="A78">
        <v>12450.99</v>
      </c>
      <c r="B78">
        <v>9116</v>
      </c>
      <c r="C78">
        <v>6742</v>
      </c>
      <c r="D78">
        <v>1</v>
      </c>
      <c r="E78">
        <v>1</v>
      </c>
      <c r="F78" t="s">
        <v>13</v>
      </c>
      <c r="G78">
        <v>-0.28038740000000001</v>
      </c>
      <c r="H78">
        <v>0.22697880000000001</v>
      </c>
      <c r="I78">
        <v>0.21641589999999999</v>
      </c>
      <c r="J78">
        <v>0.16577910000000001</v>
      </c>
      <c r="K78">
        <v>0.1248493</v>
      </c>
      <c r="L78" s="3">
        <v>6.3948629999999998E-3</v>
      </c>
      <c r="M78" s="3">
        <v>4.1528219999999998E-2</v>
      </c>
      <c r="N78" s="3">
        <v>2.094698E-2</v>
      </c>
      <c r="O78" s="3">
        <v>-3.382683E-3</v>
      </c>
      <c r="P78" s="3">
        <v>5.3561690000000002E-2</v>
      </c>
      <c r="Q78" s="3">
        <v>-5.2445890000000002E-2</v>
      </c>
      <c r="R78" s="3">
        <v>-7.0205210000000004E-2</v>
      </c>
      <c r="S78" s="3">
        <v>5.6229590000000003E-2</v>
      </c>
      <c r="T78">
        <v>-0.1098642</v>
      </c>
      <c r="U78">
        <v>-0.1281023</v>
      </c>
      <c r="V78">
        <v>-0.1591911</v>
      </c>
    </row>
    <row r="79" spans="1:22" x14ac:dyDescent="0.25">
      <c r="A79">
        <v>12451.01</v>
      </c>
      <c r="B79">
        <v>9116</v>
      </c>
      <c r="C79">
        <v>6744</v>
      </c>
      <c r="D79">
        <v>1</v>
      </c>
      <c r="E79">
        <v>1</v>
      </c>
      <c r="F79" t="s">
        <v>13</v>
      </c>
      <c r="G79">
        <v>-0.20128679999999999</v>
      </c>
      <c r="H79">
        <v>-0.26234669999999999</v>
      </c>
      <c r="I79">
        <v>-0.27505059999999998</v>
      </c>
      <c r="J79">
        <v>-0.28665780000000002</v>
      </c>
      <c r="K79">
        <v>-0.28997469999999997</v>
      </c>
      <c r="L79">
        <v>-0.29193210000000003</v>
      </c>
      <c r="M79">
        <v>-0.26714130000000003</v>
      </c>
      <c r="N79">
        <v>-0.25874659999999999</v>
      </c>
      <c r="O79">
        <v>-0.25629089999999999</v>
      </c>
      <c r="P79">
        <v>-0.25229689999999999</v>
      </c>
      <c r="Q79">
        <v>-0.2510657</v>
      </c>
      <c r="R79">
        <v>-0.2507162</v>
      </c>
      <c r="S79">
        <v>-0.24506810000000001</v>
      </c>
      <c r="T79">
        <v>-0.25307229999999997</v>
      </c>
      <c r="U79">
        <v>-0.2506428</v>
      </c>
      <c r="V79">
        <v>-0.24710850000000001</v>
      </c>
    </row>
    <row r="84" spans="7:39" x14ac:dyDescent="0.25">
      <c r="G84" s="5"/>
      <c r="H84" s="5" t="s">
        <v>44</v>
      </c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</row>
    <row r="85" spans="7:39" x14ac:dyDescent="0.25">
      <c r="G85" s="5" t="s">
        <v>45</v>
      </c>
      <c r="H85" s="5" t="s">
        <v>14</v>
      </c>
      <c r="I85" s="5" t="s">
        <v>15</v>
      </c>
      <c r="J85" s="5" t="s">
        <v>16</v>
      </c>
      <c r="K85" s="5" t="s">
        <v>17</v>
      </c>
      <c r="L85" s="5" t="s">
        <v>18</v>
      </c>
      <c r="M85" s="5" t="s">
        <v>19</v>
      </c>
      <c r="N85" s="5" t="s">
        <v>20</v>
      </c>
      <c r="O85" s="5" t="s">
        <v>21</v>
      </c>
      <c r="P85" s="5" t="s">
        <v>22</v>
      </c>
      <c r="Q85" s="5" t="s">
        <v>23</v>
      </c>
      <c r="R85" s="5" t="s">
        <v>24</v>
      </c>
      <c r="S85" s="5" t="s">
        <v>25</v>
      </c>
      <c r="T85" s="5" t="s">
        <v>26</v>
      </c>
      <c r="U85" s="5" t="s">
        <v>27</v>
      </c>
      <c r="V85" s="5" t="s">
        <v>28</v>
      </c>
      <c r="W85" s="5" t="s">
        <v>29</v>
      </c>
      <c r="X85" s="5" t="s">
        <v>46</v>
      </c>
      <c r="Y85" s="5" t="s">
        <v>47</v>
      </c>
      <c r="Z85" s="5" t="s">
        <v>48</v>
      </c>
      <c r="AA85" s="5" t="s">
        <v>49</v>
      </c>
      <c r="AB85" s="5" t="s">
        <v>50</v>
      </c>
      <c r="AC85" s="5" t="s">
        <v>51</v>
      </c>
      <c r="AD85" s="5" t="s">
        <v>52</v>
      </c>
      <c r="AE85" s="5" t="s">
        <v>53</v>
      </c>
      <c r="AF85" s="5" t="s">
        <v>54</v>
      </c>
      <c r="AG85" s="5" t="s">
        <v>55</v>
      </c>
      <c r="AH85" s="5" t="s">
        <v>56</v>
      </c>
      <c r="AI85" s="5" t="s">
        <v>57</v>
      </c>
      <c r="AJ85" s="5" t="s">
        <v>58</v>
      </c>
      <c r="AK85" s="5" t="s">
        <v>59</v>
      </c>
      <c r="AL85" s="5" t="s">
        <v>60</v>
      </c>
      <c r="AM85" s="5" t="s">
        <v>61</v>
      </c>
    </row>
    <row r="86" spans="7:39" x14ac:dyDescent="0.25">
      <c r="G86" s="5" t="s">
        <v>62</v>
      </c>
      <c r="H86" s="6">
        <f>G9</f>
        <v>-6.1464310000000004E-4</v>
      </c>
      <c r="I86" s="6">
        <f t="shared" ref="I86:W86" si="0">H9</f>
        <v>-6.4849850000000002E-4</v>
      </c>
      <c r="J86" s="6">
        <f t="shared" si="0"/>
        <v>-4.6157840000000001E-4</v>
      </c>
      <c r="K86" s="6">
        <f t="shared" si="0"/>
        <v>3.9632319999999999E-2</v>
      </c>
      <c r="L86" s="6">
        <f t="shared" si="0"/>
        <v>-2.5653839999999998E-4</v>
      </c>
      <c r="M86" s="6">
        <f t="shared" si="0"/>
        <v>-6.1178209999999998E-4</v>
      </c>
      <c r="N86" s="6">
        <f t="shared" si="0"/>
        <v>-1.2450219999999999E-3</v>
      </c>
      <c r="O86" s="6">
        <f t="shared" si="0"/>
        <v>-1.192093E-4</v>
      </c>
      <c r="P86" s="6">
        <f t="shared" si="0"/>
        <v>4.3630600000000002E-4</v>
      </c>
      <c r="Q86" s="6">
        <f t="shared" si="0"/>
        <v>4.3742179999999999E-2</v>
      </c>
      <c r="R86" s="6">
        <f t="shared" si="0"/>
        <v>7.2145460000000005E-4</v>
      </c>
      <c r="S86" s="6">
        <f t="shared" si="0"/>
        <v>9.8705290000000004E-5</v>
      </c>
      <c r="T86" s="6">
        <f t="shared" si="0"/>
        <v>1.8774030000000001E-2</v>
      </c>
      <c r="U86" s="6">
        <f t="shared" si="0"/>
        <v>-3.0565259999999999E-4</v>
      </c>
      <c r="V86" s="6">
        <f t="shared" si="0"/>
        <v>2.3031230000000001E-4</v>
      </c>
      <c r="W86" s="6">
        <f t="shared" si="0"/>
        <v>-1.416206E-4</v>
      </c>
      <c r="X86" s="6">
        <f>G10</f>
        <v>-6.5183639999999996E-4</v>
      </c>
      <c r="Y86" s="6">
        <f t="shared" ref="Y86:AM86" si="1">H10</f>
        <v>-1.280308E-3</v>
      </c>
      <c r="Z86" s="6">
        <f t="shared" si="1"/>
        <v>-8.8691710000000004E-5</v>
      </c>
      <c r="AA86" s="6">
        <f t="shared" si="1"/>
        <v>3.4039020000000003E-2</v>
      </c>
      <c r="AB86" s="6">
        <f t="shared" si="1"/>
        <v>-3.2901760000000001E-5</v>
      </c>
      <c r="AC86" s="6">
        <f t="shared" si="1"/>
        <v>-5.0067899999999997E-4</v>
      </c>
      <c r="AD86" s="6">
        <f t="shared" si="1"/>
        <v>-1.240253E-3</v>
      </c>
      <c r="AE86" s="6">
        <f t="shared" si="1"/>
        <v>9.9182129999999996E-5</v>
      </c>
      <c r="AF86" s="6">
        <f t="shared" si="1"/>
        <v>-9.5558169999999997E-4</v>
      </c>
      <c r="AG86" s="6">
        <f t="shared" si="1"/>
        <v>3.7574769999999997E-4</v>
      </c>
      <c r="AH86" s="6">
        <f t="shared" si="1"/>
        <v>2.7942659999999998E-4</v>
      </c>
      <c r="AI86" s="6">
        <f t="shared" si="1"/>
        <v>-3.8957599999999998E-4</v>
      </c>
      <c r="AJ86" s="6">
        <f t="shared" si="1"/>
        <v>-1.029968E-3</v>
      </c>
      <c r="AK86" s="6">
        <f t="shared" si="1"/>
        <v>3.9672850000000001E-4</v>
      </c>
      <c r="AL86" s="6">
        <f t="shared" si="1"/>
        <v>1.037121E-3</v>
      </c>
      <c r="AM86" s="6">
        <f t="shared" si="1"/>
        <v>2.0885470000000001E-4</v>
      </c>
    </row>
    <row r="87" spans="7:39" x14ac:dyDescent="0.25">
      <c r="G87" s="5">
        <v>-4</v>
      </c>
      <c r="H87" s="6">
        <f>G12</f>
        <v>-0.12258860000000001</v>
      </c>
      <c r="I87" s="6">
        <f t="shared" ref="I87:W87" si="2">H12</f>
        <v>-0.81377549999999998</v>
      </c>
      <c r="J87" s="6">
        <f t="shared" si="2"/>
        <v>-0.70303729999999998</v>
      </c>
      <c r="K87" s="6">
        <f t="shared" si="2"/>
        <v>-0.56988859999999997</v>
      </c>
      <c r="L87" s="6">
        <f t="shared" si="2"/>
        <v>-0.4986949</v>
      </c>
      <c r="M87" s="6">
        <f t="shared" si="2"/>
        <v>-4.5879839999999998E-2</v>
      </c>
      <c r="N87" s="6">
        <f t="shared" si="2"/>
        <v>-0.40946199999999999</v>
      </c>
      <c r="O87" s="6">
        <f t="shared" si="2"/>
        <v>-0.3544698</v>
      </c>
      <c r="P87" s="6">
        <f t="shared" si="2"/>
        <v>-0.32296279999999999</v>
      </c>
      <c r="Q87" s="6">
        <f t="shared" si="2"/>
        <v>4.4503210000000001E-2</v>
      </c>
      <c r="R87" s="6">
        <f t="shared" si="2"/>
        <v>-0.25332690000000002</v>
      </c>
      <c r="S87" s="6">
        <f t="shared" si="2"/>
        <v>-0.2106123</v>
      </c>
      <c r="T87" s="6">
        <f t="shared" si="2"/>
        <v>3.7325379999999998E-2</v>
      </c>
      <c r="U87" s="6">
        <f t="shared" si="2"/>
        <v>-0.1503854</v>
      </c>
      <c r="V87" s="6">
        <f t="shared" si="2"/>
        <v>-0.1154633</v>
      </c>
      <c r="W87" s="6">
        <f t="shared" si="2"/>
        <v>-8.1858159999999999E-2</v>
      </c>
      <c r="X87" s="6">
        <f>G13</f>
        <v>-6.874943E-2</v>
      </c>
      <c r="Y87" s="6">
        <f t="shared" ref="Y87:AM87" si="3">H13</f>
        <v>-5.4702760000000003E-2</v>
      </c>
      <c r="Z87" s="6">
        <f t="shared" si="3"/>
        <v>-6.2235829999999999E-2</v>
      </c>
      <c r="AA87" s="6">
        <f t="shared" si="3"/>
        <v>-7.2047230000000004E-2</v>
      </c>
      <c r="AB87" s="6">
        <f t="shared" si="3"/>
        <v>-7.6786989999999999E-2</v>
      </c>
      <c r="AC87" s="6">
        <f t="shared" si="3"/>
        <v>-8.8319300000000003E-2</v>
      </c>
      <c r="AD87" s="6">
        <f t="shared" si="3"/>
        <v>-9.546375E-2</v>
      </c>
      <c r="AE87" s="6">
        <f t="shared" si="3"/>
        <v>-8.6598400000000006E-2</v>
      </c>
      <c r="AF87" s="6">
        <f t="shared" si="3"/>
        <v>-8.3016400000000004E-2</v>
      </c>
      <c r="AG87" s="6">
        <f t="shared" si="3"/>
        <v>-7.0752620000000002E-2</v>
      </c>
      <c r="AH87" s="6">
        <f t="shared" si="3"/>
        <v>-5.6211469999999999E-2</v>
      </c>
      <c r="AI87" s="6">
        <f t="shared" si="3"/>
        <v>-2.1439079999999999E-2</v>
      </c>
      <c r="AJ87" s="6">
        <f t="shared" si="3"/>
        <v>1.002455E-2</v>
      </c>
      <c r="AK87" s="6">
        <f t="shared" si="3"/>
        <v>5.3052429999999998E-2</v>
      </c>
      <c r="AL87" s="6">
        <f t="shared" si="3"/>
        <v>0.1213598</v>
      </c>
      <c r="AM87" s="6">
        <f t="shared" si="3"/>
        <v>0.18873019999999999</v>
      </c>
    </row>
    <row r="88" spans="7:39" x14ac:dyDescent="0.25">
      <c r="G88" s="5">
        <v>-3</v>
      </c>
      <c r="H88" s="6">
        <f>G15</f>
        <v>-3.1018259999999998E-3</v>
      </c>
      <c r="I88" s="6">
        <f t="shared" ref="I88:W88" si="4">H15</f>
        <v>-0.67143540000000002</v>
      </c>
      <c r="J88" s="6">
        <f t="shared" si="4"/>
        <v>-0.60556699999999997</v>
      </c>
      <c r="K88" s="6">
        <f t="shared" si="4"/>
        <v>-0.50973840000000004</v>
      </c>
      <c r="L88" s="6">
        <f t="shared" si="4"/>
        <v>-0.44689990000000002</v>
      </c>
      <c r="M88" s="6">
        <f t="shared" si="4"/>
        <v>-3.9464949999999999E-2</v>
      </c>
      <c r="N88" s="6">
        <f t="shared" si="4"/>
        <v>-0.37867119999999999</v>
      </c>
      <c r="O88" s="6">
        <f t="shared" si="4"/>
        <v>-0.33676289999999998</v>
      </c>
      <c r="P88" s="6">
        <f t="shared" si="4"/>
        <v>-0.29589890000000002</v>
      </c>
      <c r="Q88" s="6">
        <f t="shared" si="4"/>
        <v>4.5026299999999998E-2</v>
      </c>
      <c r="R88" s="6">
        <f t="shared" si="4"/>
        <v>-0.2439413</v>
      </c>
      <c r="S88" s="6">
        <f t="shared" si="4"/>
        <v>-0.204566</v>
      </c>
      <c r="T88" s="6">
        <f t="shared" si="4"/>
        <v>3.7862779999999999E-2</v>
      </c>
      <c r="U88" s="6">
        <f t="shared" si="4"/>
        <v>-0.14742659999999999</v>
      </c>
      <c r="V88" s="6">
        <f t="shared" si="4"/>
        <v>-0.1136289</v>
      </c>
      <c r="W88" s="6">
        <f t="shared" si="4"/>
        <v>-7.9123970000000002E-2</v>
      </c>
      <c r="X88" s="6">
        <f>G16</f>
        <v>-6.4002989999999996E-2</v>
      </c>
      <c r="Y88" s="6">
        <f t="shared" ref="Y88:AM88" si="5">H16</f>
        <v>-4.5316219999999997E-2</v>
      </c>
      <c r="Z88" s="6">
        <f t="shared" si="5"/>
        <v>-7.1520329999999993E-2</v>
      </c>
      <c r="AA88" s="6">
        <f t="shared" si="5"/>
        <v>-8.0746170000000006E-2</v>
      </c>
      <c r="AB88" s="6">
        <f t="shared" si="5"/>
        <v>-8.5872169999999998E-2</v>
      </c>
      <c r="AC88" s="6">
        <f t="shared" si="5"/>
        <v>-9.8561759999999998E-2</v>
      </c>
      <c r="AD88" s="6">
        <f t="shared" si="5"/>
        <v>-0.112195</v>
      </c>
      <c r="AE88" s="6">
        <f t="shared" si="5"/>
        <v>-0.1070714</v>
      </c>
      <c r="AF88" s="6">
        <f t="shared" si="5"/>
        <v>-0.1049867</v>
      </c>
      <c r="AG88" s="6">
        <f t="shared" si="5"/>
        <v>-9.5872879999999994E-2</v>
      </c>
      <c r="AH88" s="6">
        <f t="shared" si="5"/>
        <v>-8.4857940000000007E-2</v>
      </c>
      <c r="AI88" s="6">
        <f t="shared" si="5"/>
        <v>-5.4807660000000001E-2</v>
      </c>
      <c r="AJ88" s="6">
        <f t="shared" si="5"/>
        <v>-2.5860790000000002E-2</v>
      </c>
      <c r="AK88" s="6">
        <f t="shared" si="5"/>
        <v>1.3818739999999999E-2</v>
      </c>
      <c r="AL88" s="6">
        <f t="shared" si="5"/>
        <v>7.9342839999999998E-2</v>
      </c>
      <c r="AM88" s="6">
        <f t="shared" si="5"/>
        <v>0.15175250000000001</v>
      </c>
    </row>
    <row r="89" spans="7:39" x14ac:dyDescent="0.25">
      <c r="G89" s="5">
        <v>-2</v>
      </c>
      <c r="H89" s="6">
        <f>G18</f>
        <v>9.5989699999999997E-2</v>
      </c>
      <c r="I89" s="6">
        <f t="shared" ref="I89:W89" si="6">H18</f>
        <v>-0.53545330000000002</v>
      </c>
      <c r="J89" s="6">
        <f t="shared" si="6"/>
        <v>-0.51371100000000003</v>
      </c>
      <c r="K89" s="6">
        <f t="shared" si="6"/>
        <v>-0.447351</v>
      </c>
      <c r="L89" s="6">
        <f t="shared" si="6"/>
        <v>-0.39870070000000002</v>
      </c>
      <c r="M89" s="6">
        <f t="shared" si="6"/>
        <v>-3.443003E-2</v>
      </c>
      <c r="N89" s="6">
        <f t="shared" si="6"/>
        <v>-0.34827760000000002</v>
      </c>
      <c r="O89" s="6">
        <f t="shared" si="6"/>
        <v>-0.30783650000000001</v>
      </c>
      <c r="P89" s="6">
        <f t="shared" si="6"/>
        <v>-0.28302149999999998</v>
      </c>
      <c r="Q89" s="6">
        <f t="shared" si="6"/>
        <v>4.624557E-2</v>
      </c>
      <c r="R89" s="6">
        <f t="shared" si="6"/>
        <v>-0.2299957</v>
      </c>
      <c r="S89" s="6">
        <f t="shared" si="6"/>
        <v>-0.1960044</v>
      </c>
      <c r="T89" s="6">
        <f t="shared" si="6"/>
        <v>3.9107799999999998E-2</v>
      </c>
      <c r="U89" s="6">
        <f t="shared" si="6"/>
        <v>-0.1436038</v>
      </c>
      <c r="V89" s="6">
        <f t="shared" si="6"/>
        <v>-0.1103292</v>
      </c>
      <c r="W89" s="6">
        <f t="shared" si="6"/>
        <v>-7.6398369999999993E-2</v>
      </c>
      <c r="X89" s="6">
        <f>G19</f>
        <v>-5.9437749999999998E-2</v>
      </c>
      <c r="Y89" s="6">
        <f t="shared" ref="Y89:AM89" si="7">H19</f>
        <v>-3.5180089999999997E-2</v>
      </c>
      <c r="Z89" s="6">
        <f t="shared" si="7"/>
        <v>-7.7893260000000006E-2</v>
      </c>
      <c r="AA89" s="6">
        <f t="shared" si="7"/>
        <v>-8.7529179999999998E-2</v>
      </c>
      <c r="AB89" s="6">
        <f t="shared" si="7"/>
        <v>-9.3676090000000004E-2</v>
      </c>
      <c r="AC89" s="6">
        <f t="shared" si="7"/>
        <v>-0.1073694</v>
      </c>
      <c r="AD89" s="6">
        <f t="shared" si="7"/>
        <v>-0.12840599999999999</v>
      </c>
      <c r="AE89" s="6">
        <f t="shared" si="7"/>
        <v>-0.1273599</v>
      </c>
      <c r="AF89" s="6">
        <f t="shared" si="7"/>
        <v>-0.1276774</v>
      </c>
      <c r="AG89" s="6">
        <f t="shared" si="7"/>
        <v>-0.1211715</v>
      </c>
      <c r="AH89" s="6">
        <f t="shared" si="7"/>
        <v>-0.114954</v>
      </c>
      <c r="AI89" s="6">
        <f t="shared" si="7"/>
        <v>-8.9796539999999994E-2</v>
      </c>
      <c r="AJ89" s="6">
        <f t="shared" si="7"/>
        <v>-6.3829899999999995E-2</v>
      </c>
      <c r="AK89" s="6">
        <f t="shared" si="7"/>
        <v>-2.9062270000000001E-2</v>
      </c>
      <c r="AL89" s="6">
        <f t="shared" si="7"/>
        <v>3.1274799999999998E-2</v>
      </c>
      <c r="AM89" s="6">
        <f t="shared" si="7"/>
        <v>0.1022377</v>
      </c>
    </row>
    <row r="90" spans="7:39" x14ac:dyDescent="0.25">
      <c r="G90" s="5">
        <v>-1</v>
      </c>
      <c r="H90" s="6">
        <f>G21</f>
        <v>0.1727195</v>
      </c>
      <c r="I90" s="6">
        <f t="shared" ref="I90:W90" si="8">H21</f>
        <v>-0.41331859999999998</v>
      </c>
      <c r="J90" s="6">
        <f t="shared" si="8"/>
        <v>-0.42518470000000003</v>
      </c>
      <c r="K90" s="6">
        <f t="shared" si="8"/>
        <v>-0.38633109999999998</v>
      </c>
      <c r="L90" s="6">
        <f t="shared" si="8"/>
        <v>-0.35187960000000001</v>
      </c>
      <c r="M90" s="6">
        <f t="shared" si="8"/>
        <v>-2.9567719999999999E-2</v>
      </c>
      <c r="N90" s="6">
        <f t="shared" si="8"/>
        <v>-0.32016990000000001</v>
      </c>
      <c r="O90" s="6">
        <f t="shared" si="8"/>
        <v>-0.28399560000000001</v>
      </c>
      <c r="P90" s="6">
        <f t="shared" si="8"/>
        <v>-0.26402520000000002</v>
      </c>
      <c r="Q90" s="6">
        <f t="shared" si="8"/>
        <v>4.6942709999999999E-2</v>
      </c>
      <c r="R90" s="6">
        <f t="shared" si="8"/>
        <v>-0.2191844</v>
      </c>
      <c r="S90" s="6">
        <f t="shared" si="8"/>
        <v>-0.18505720000000001</v>
      </c>
      <c r="T90" s="6">
        <f t="shared" si="8"/>
        <v>3.982115E-2</v>
      </c>
      <c r="U90" s="6">
        <f t="shared" si="8"/>
        <v>-0.14064740000000001</v>
      </c>
      <c r="V90" s="6">
        <f t="shared" si="8"/>
        <v>-0.1084957</v>
      </c>
      <c r="W90" s="6">
        <f t="shared" si="8"/>
        <v>-7.4943070000000001E-2</v>
      </c>
      <c r="X90" s="6">
        <f>G22</f>
        <v>-5.79772E-2</v>
      </c>
      <c r="Y90" s="6">
        <f t="shared" ref="Y90:AM90" si="9">H22</f>
        <v>-2.6529790000000001E-2</v>
      </c>
      <c r="Z90" s="6">
        <f t="shared" si="9"/>
        <v>-8.1352709999999995E-2</v>
      </c>
      <c r="AA90" s="6">
        <f t="shared" si="9"/>
        <v>-9.3269350000000001E-2</v>
      </c>
      <c r="AB90" s="6">
        <f t="shared" si="9"/>
        <v>-0.1016669</v>
      </c>
      <c r="AC90" s="6">
        <f t="shared" si="9"/>
        <v>-0.116715</v>
      </c>
      <c r="AD90" s="6">
        <f t="shared" si="9"/>
        <v>-0.1449656</v>
      </c>
      <c r="AE90" s="6">
        <f t="shared" si="9"/>
        <v>-0.14746239999999999</v>
      </c>
      <c r="AF90" s="6">
        <f t="shared" si="9"/>
        <v>-0.1514606</v>
      </c>
      <c r="AG90" s="6">
        <f t="shared" si="9"/>
        <v>-0.1479511</v>
      </c>
      <c r="AH90" s="6">
        <f t="shared" si="9"/>
        <v>-0.14595369999999999</v>
      </c>
      <c r="AI90" s="6">
        <f t="shared" si="9"/>
        <v>-0.12695600000000001</v>
      </c>
      <c r="AJ90" s="6">
        <f t="shared" si="9"/>
        <v>-0.1047959</v>
      </c>
      <c r="AK90" s="6">
        <f t="shared" si="9"/>
        <v>-7.6316830000000002E-2</v>
      </c>
      <c r="AL90" s="6">
        <f t="shared" si="9"/>
        <v>-2.430964E-2</v>
      </c>
      <c r="AM90" s="6">
        <f t="shared" si="9"/>
        <v>4.3395999999999997E-2</v>
      </c>
    </row>
    <row r="91" spans="7:39" x14ac:dyDescent="0.25">
      <c r="G91" s="5">
        <v>0</v>
      </c>
      <c r="H91" s="6">
        <f>G24</f>
        <v>0.2233386</v>
      </c>
      <c r="I91" s="6">
        <f t="shared" ref="I91:W91" si="10">H24</f>
        <v>-0.30049749999999997</v>
      </c>
      <c r="J91" s="6">
        <f t="shared" si="10"/>
        <v>-0.34070539999999999</v>
      </c>
      <c r="K91" s="6">
        <f t="shared" si="10"/>
        <v>-0.32650089999999998</v>
      </c>
      <c r="L91" s="6">
        <f t="shared" si="10"/>
        <v>-0.30626110000000001</v>
      </c>
      <c r="M91" s="6">
        <f t="shared" si="10"/>
        <v>-2.556276E-2</v>
      </c>
      <c r="N91" s="6">
        <f t="shared" si="10"/>
        <v>-0.2923946</v>
      </c>
      <c r="O91" s="6">
        <f t="shared" si="10"/>
        <v>-0.2603221</v>
      </c>
      <c r="P91" s="6">
        <f t="shared" si="10"/>
        <v>-0.245224</v>
      </c>
      <c r="Q91" s="6">
        <f t="shared" si="10"/>
        <v>4.7445769999999998E-2</v>
      </c>
      <c r="R91" s="6">
        <f t="shared" si="10"/>
        <v>-0.20646519999999999</v>
      </c>
      <c r="S91" s="6">
        <f t="shared" si="10"/>
        <v>-0.175508</v>
      </c>
      <c r="T91" s="6">
        <f t="shared" si="10"/>
        <v>4.0712829999999998E-2</v>
      </c>
      <c r="U91" s="6">
        <f t="shared" si="10"/>
        <v>-0.1373405</v>
      </c>
      <c r="V91" s="6">
        <f t="shared" si="10"/>
        <v>-0.1073804</v>
      </c>
      <c r="W91" s="6">
        <f t="shared" si="10"/>
        <v>-7.5020790000000004E-2</v>
      </c>
      <c r="X91" s="6">
        <f>G25</f>
        <v>-5.943155E-2</v>
      </c>
      <c r="Y91" s="6">
        <f t="shared" ref="Y91:AM91" si="11">H25</f>
        <v>-2.2033690000000002E-2</v>
      </c>
      <c r="Z91" s="6">
        <f t="shared" si="11"/>
        <v>-8.2626820000000004E-2</v>
      </c>
      <c r="AA91" s="6">
        <f t="shared" si="11"/>
        <v>-9.5181940000000007E-2</v>
      </c>
      <c r="AB91" s="6">
        <f t="shared" si="11"/>
        <v>-0.1076674</v>
      </c>
      <c r="AC91" s="6">
        <f t="shared" si="11"/>
        <v>-0.12461609999999999</v>
      </c>
      <c r="AD91" s="6">
        <f t="shared" si="11"/>
        <v>-0.16134879999999999</v>
      </c>
      <c r="AE91" s="6">
        <f t="shared" si="11"/>
        <v>-0.1679196</v>
      </c>
      <c r="AF91" s="6">
        <f t="shared" si="11"/>
        <v>-0.1747417</v>
      </c>
      <c r="AG91" s="6">
        <f t="shared" si="11"/>
        <v>-0.1745563</v>
      </c>
      <c r="AH91" s="6">
        <f t="shared" si="11"/>
        <v>-0.17804619999999999</v>
      </c>
      <c r="AI91" s="6">
        <f t="shared" si="11"/>
        <v>-0.1657276</v>
      </c>
      <c r="AJ91" s="6">
        <f t="shared" si="11"/>
        <v>-0.14732310000000001</v>
      </c>
      <c r="AK91" s="6">
        <f t="shared" si="11"/>
        <v>-0.1270318</v>
      </c>
      <c r="AL91" s="6">
        <f t="shared" si="11"/>
        <v>-8.5394860000000003E-2</v>
      </c>
      <c r="AM91" s="6">
        <f t="shared" si="11"/>
        <v>-2.602053E-2</v>
      </c>
    </row>
    <row r="92" spans="7:39" x14ac:dyDescent="0.25">
      <c r="G92" s="5">
        <v>1</v>
      </c>
      <c r="H92" s="6">
        <f>G27</f>
        <v>0.25105860000000002</v>
      </c>
      <c r="I92" s="6">
        <f t="shared" ref="I92:W92" si="12">H27</f>
        <v>-0.19995879999999999</v>
      </c>
      <c r="J92" s="6">
        <f t="shared" si="12"/>
        <v>-0.26342870000000002</v>
      </c>
      <c r="K92" s="6">
        <f t="shared" si="12"/>
        <v>-0.27286529999999998</v>
      </c>
      <c r="L92" s="6">
        <f t="shared" si="12"/>
        <v>-0.26459880000000002</v>
      </c>
      <c r="M92" s="6">
        <f t="shared" si="12"/>
        <v>-2.1570679999999998E-2</v>
      </c>
      <c r="N92" s="6">
        <f t="shared" si="12"/>
        <v>-0.2671695</v>
      </c>
      <c r="O92" s="6">
        <f t="shared" si="12"/>
        <v>-0.23962929999999999</v>
      </c>
      <c r="P92" s="6">
        <f t="shared" si="12"/>
        <v>-0.22877220000000001</v>
      </c>
      <c r="Q92" s="6">
        <f t="shared" si="12"/>
        <v>4.7949310000000002E-2</v>
      </c>
      <c r="R92" s="6">
        <f t="shared" si="12"/>
        <v>-0.1969361</v>
      </c>
      <c r="S92" s="6">
        <f t="shared" si="12"/>
        <v>-0.17174200000000001</v>
      </c>
      <c r="T92" s="6">
        <f t="shared" si="12"/>
        <v>4.2320730000000001E-2</v>
      </c>
      <c r="U92" s="6">
        <f t="shared" si="12"/>
        <v>-0.13455490000000001</v>
      </c>
      <c r="V92" s="6">
        <f t="shared" si="12"/>
        <v>-0.107213</v>
      </c>
      <c r="W92" s="6">
        <f t="shared" si="12"/>
        <v>-7.7492240000000004E-2</v>
      </c>
      <c r="X92" s="6">
        <f>G28</f>
        <v>-6.2541959999999994E-2</v>
      </c>
      <c r="Y92" s="6">
        <f t="shared" ref="Y92:AM92" si="13">H28</f>
        <v>-2.2984029999999999E-2</v>
      </c>
      <c r="Z92" s="6">
        <f t="shared" si="13"/>
        <v>-8.6086750000000004E-2</v>
      </c>
      <c r="AA92" s="6">
        <f t="shared" si="13"/>
        <v>-9.9356650000000005E-2</v>
      </c>
      <c r="AB92" s="6">
        <f t="shared" si="13"/>
        <v>-0.10947750000000001</v>
      </c>
      <c r="AC92" s="6">
        <f t="shared" si="13"/>
        <v>-0.13344049999999999</v>
      </c>
      <c r="AD92" s="6">
        <f t="shared" si="13"/>
        <v>-0.17773149999999999</v>
      </c>
      <c r="AE92" s="6">
        <f t="shared" si="13"/>
        <v>-0.18875600000000001</v>
      </c>
      <c r="AF92" s="6">
        <f t="shared" si="13"/>
        <v>-0.19850209999999999</v>
      </c>
      <c r="AG92" s="6">
        <f t="shared" si="13"/>
        <v>-0.2018828</v>
      </c>
      <c r="AH92" s="6">
        <f t="shared" si="13"/>
        <v>-0.2110128</v>
      </c>
      <c r="AI92" s="6">
        <f t="shared" si="13"/>
        <v>-0.20614959999999999</v>
      </c>
      <c r="AJ92" s="6">
        <f t="shared" si="13"/>
        <v>-0.1921592</v>
      </c>
      <c r="AK92" s="6">
        <f t="shared" si="13"/>
        <v>-0.1799383</v>
      </c>
      <c r="AL92" s="6">
        <f t="shared" si="13"/>
        <v>-0.15179680000000001</v>
      </c>
      <c r="AM92" s="6">
        <f t="shared" si="13"/>
        <v>-0.1051073</v>
      </c>
    </row>
    <row r="93" spans="7:39" x14ac:dyDescent="0.25">
      <c r="G93" s="5">
        <v>2</v>
      </c>
      <c r="H93" s="6">
        <f>G30</f>
        <v>0.25567719999999999</v>
      </c>
      <c r="I93" s="6">
        <f t="shared" ref="I93:W93" si="14">H30</f>
        <v>-0.1075139</v>
      </c>
      <c r="J93" s="6">
        <f t="shared" si="14"/>
        <v>-0.18824669999999999</v>
      </c>
      <c r="K93" s="6">
        <f t="shared" si="14"/>
        <v>-0.21732760000000001</v>
      </c>
      <c r="L93" s="6">
        <f t="shared" si="14"/>
        <v>-0.22000359999999999</v>
      </c>
      <c r="M93" s="6">
        <f t="shared" si="14"/>
        <v>-1.7924309999999999E-2</v>
      </c>
      <c r="N93" s="6">
        <f t="shared" si="14"/>
        <v>-0.2372909</v>
      </c>
      <c r="O93" s="6">
        <f t="shared" si="14"/>
        <v>-0.21578649999999999</v>
      </c>
      <c r="P93" s="6">
        <f t="shared" si="14"/>
        <v>-0.20872930000000001</v>
      </c>
      <c r="Q93" s="6">
        <f t="shared" si="14"/>
        <v>4.8646450000000001E-2</v>
      </c>
      <c r="R93" s="6">
        <f t="shared" si="14"/>
        <v>-0.1835089</v>
      </c>
      <c r="S93" s="6">
        <f t="shared" si="14"/>
        <v>-0.1607943</v>
      </c>
      <c r="T93" s="6">
        <f t="shared" si="14"/>
        <v>4.3034549999999998E-2</v>
      </c>
      <c r="U93" s="6">
        <f t="shared" si="14"/>
        <v>-0.1244693</v>
      </c>
      <c r="V93" s="6">
        <f t="shared" si="14"/>
        <v>-0.103363</v>
      </c>
      <c r="W93" s="6">
        <f t="shared" si="14"/>
        <v>-7.6401709999999998E-2</v>
      </c>
      <c r="X93" s="6">
        <f>G31</f>
        <v>-6.3637260000000001E-2</v>
      </c>
      <c r="Y93" s="6">
        <f t="shared" ref="Y93:AM93" si="15">H31</f>
        <v>-2.280426E-2</v>
      </c>
      <c r="Z93" s="6">
        <f t="shared" si="15"/>
        <v>-8.4084030000000004E-2</v>
      </c>
      <c r="AA93" s="6">
        <f t="shared" si="15"/>
        <v>-0.1004</v>
      </c>
      <c r="AB93" s="6">
        <f t="shared" si="15"/>
        <v>-0.114562</v>
      </c>
      <c r="AC93" s="6">
        <f t="shared" si="15"/>
        <v>-0.14116809999999999</v>
      </c>
      <c r="AD93" s="6">
        <f t="shared" si="15"/>
        <v>-0.1890616</v>
      </c>
      <c r="AE93" s="6">
        <f t="shared" si="15"/>
        <v>-0.20538429999999999</v>
      </c>
      <c r="AF93" s="6">
        <f t="shared" si="15"/>
        <v>-0.2175984</v>
      </c>
      <c r="AG93" s="6">
        <f t="shared" si="15"/>
        <v>-0.224412</v>
      </c>
      <c r="AH93" s="6">
        <f t="shared" si="15"/>
        <v>-0.23874329999999999</v>
      </c>
      <c r="AI93" s="6">
        <f t="shared" si="15"/>
        <v>-0.24185039999999999</v>
      </c>
      <c r="AJ93" s="6">
        <f t="shared" si="15"/>
        <v>-0.23258780000000001</v>
      </c>
      <c r="AK93" s="6">
        <f t="shared" si="15"/>
        <v>-0.22991700000000001</v>
      </c>
      <c r="AL93" s="6">
        <f t="shared" si="15"/>
        <v>-0.2172694</v>
      </c>
      <c r="AM93" s="6">
        <f t="shared" si="15"/>
        <v>-0.1870494</v>
      </c>
    </row>
    <row r="94" spans="7:39" x14ac:dyDescent="0.25">
      <c r="G94" s="5">
        <v>3</v>
      </c>
      <c r="H94" s="6">
        <f>G33</f>
        <v>0.2485685</v>
      </c>
      <c r="I94" s="6">
        <f t="shared" ref="I94:W94" si="16">H33</f>
        <v>-2.2690769999999999E-2</v>
      </c>
      <c r="J94" s="6">
        <f t="shared" si="16"/>
        <v>-0.1154795</v>
      </c>
      <c r="K94" s="6">
        <f t="shared" si="16"/>
        <v>-0.16108990000000001</v>
      </c>
      <c r="L94" s="6">
        <f t="shared" si="16"/>
        <v>-0.1745429</v>
      </c>
      <c r="M94" s="6">
        <f t="shared" si="16"/>
        <v>-1.375675E-2</v>
      </c>
      <c r="N94" s="6">
        <f t="shared" si="16"/>
        <v>-0.20578859999999999</v>
      </c>
      <c r="O94" s="6">
        <f t="shared" si="16"/>
        <v>-0.18950990000000001</v>
      </c>
      <c r="P94" s="6">
        <f t="shared" si="16"/>
        <v>-0.18679090000000001</v>
      </c>
      <c r="Q94" s="6">
        <f t="shared" si="16"/>
        <v>4.9187660000000001E-2</v>
      </c>
      <c r="R94" s="6">
        <f t="shared" si="16"/>
        <v>-0.16911029999999999</v>
      </c>
      <c r="S94" s="6">
        <f t="shared" si="16"/>
        <v>-0.148757</v>
      </c>
      <c r="T94" s="6">
        <f t="shared" si="16"/>
        <v>4.3743129999999998E-2</v>
      </c>
      <c r="U94" s="6">
        <f t="shared" si="16"/>
        <v>-0.1218629</v>
      </c>
      <c r="V94" s="6">
        <f t="shared" si="16"/>
        <v>-9.4563010000000003E-2</v>
      </c>
      <c r="W94" s="6">
        <f t="shared" si="16"/>
        <v>-7.3928830000000001E-2</v>
      </c>
      <c r="X94" s="6">
        <f>G34</f>
        <v>-6.3632010000000003E-2</v>
      </c>
      <c r="Y94" s="6">
        <f t="shared" ref="Y94:AM94" si="17">H34</f>
        <v>-2.41456E-2</v>
      </c>
      <c r="Z94" s="6">
        <f t="shared" si="17"/>
        <v>-8.1171510000000002E-2</v>
      </c>
      <c r="AA94" s="6">
        <f t="shared" si="17"/>
        <v>-9.9531170000000002E-2</v>
      </c>
      <c r="AB94" s="6">
        <f t="shared" si="17"/>
        <v>-0.1169229</v>
      </c>
      <c r="AC94" s="6">
        <f t="shared" si="17"/>
        <v>-0.14960670000000001</v>
      </c>
      <c r="AD94" s="6">
        <f t="shared" si="17"/>
        <v>-0.20144129999999999</v>
      </c>
      <c r="AE94" s="6">
        <f t="shared" si="17"/>
        <v>-0.2207355</v>
      </c>
      <c r="AF94" s="6">
        <f t="shared" si="17"/>
        <v>-0.23722219999999999</v>
      </c>
      <c r="AG94" s="6">
        <f t="shared" si="17"/>
        <v>-0.24787709999999999</v>
      </c>
      <c r="AH94" s="6">
        <f t="shared" si="17"/>
        <v>-0.26774599999999998</v>
      </c>
      <c r="AI94" s="6">
        <f t="shared" si="17"/>
        <v>-0.2787924</v>
      </c>
      <c r="AJ94" s="6">
        <f t="shared" si="17"/>
        <v>-0.27656560000000002</v>
      </c>
      <c r="AK94" s="6">
        <f t="shared" si="17"/>
        <v>-0.28444530000000001</v>
      </c>
      <c r="AL94" s="6">
        <f t="shared" si="17"/>
        <v>-0.289331</v>
      </c>
      <c r="AM94" s="6">
        <f t="shared" si="17"/>
        <v>-0.28098580000000001</v>
      </c>
    </row>
    <row r="95" spans="7:39" x14ac:dyDescent="0.25">
      <c r="G95" s="5">
        <v>4</v>
      </c>
      <c r="H95" s="6">
        <f>G36</f>
        <v>0.21517040000000001</v>
      </c>
      <c r="I95" s="6">
        <f t="shared" ref="I95:W95" si="18">H36</f>
        <v>5.517006E-2</v>
      </c>
      <c r="J95" s="6">
        <f t="shared" si="18"/>
        <v>-4.4322970000000003E-2</v>
      </c>
      <c r="K95" s="6">
        <f t="shared" si="18"/>
        <v>-0.104507</v>
      </c>
      <c r="L95" s="6">
        <f t="shared" si="18"/>
        <v>-0.12735750000000001</v>
      </c>
      <c r="M95" s="6">
        <f t="shared" si="18"/>
        <v>-1.045799E-2</v>
      </c>
      <c r="N95" s="6">
        <f t="shared" si="18"/>
        <v>-0.17166190000000001</v>
      </c>
      <c r="O95" s="6">
        <f t="shared" si="18"/>
        <v>-0.16057830000000001</v>
      </c>
      <c r="P95" s="6">
        <f t="shared" si="18"/>
        <v>-0.16186429999999999</v>
      </c>
      <c r="Q95" s="6">
        <f t="shared" si="18"/>
        <v>4.98848E-2</v>
      </c>
      <c r="R95" s="6">
        <f t="shared" si="18"/>
        <v>-0.1525416</v>
      </c>
      <c r="S95" s="6">
        <f t="shared" si="18"/>
        <v>-0.135376</v>
      </c>
      <c r="T95" s="6">
        <f t="shared" si="18"/>
        <v>4.4812680000000001E-2</v>
      </c>
      <c r="U95" s="6">
        <f t="shared" si="18"/>
        <v>-0.1129937</v>
      </c>
      <c r="V95" s="6">
        <f t="shared" si="18"/>
        <v>-9.0895649999999995E-2</v>
      </c>
      <c r="W95" s="6">
        <f t="shared" si="18"/>
        <v>-6.9564340000000002E-2</v>
      </c>
      <c r="X95" s="6">
        <f>G37</f>
        <v>-6.2718869999999996E-2</v>
      </c>
      <c r="Y95" s="6">
        <f t="shared" ref="Y95:AM95" si="19">H37</f>
        <v>-2.4506569999999998E-2</v>
      </c>
      <c r="Z95" s="6">
        <f t="shared" si="19"/>
        <v>-7.7711580000000002E-2</v>
      </c>
      <c r="AA95" s="6">
        <f t="shared" si="19"/>
        <v>-9.8140240000000004E-2</v>
      </c>
      <c r="AB95" s="6">
        <f t="shared" si="19"/>
        <v>-0.1180124</v>
      </c>
      <c r="AC95" s="6">
        <f t="shared" si="19"/>
        <v>-0.15266179999999999</v>
      </c>
      <c r="AD95" s="6">
        <f t="shared" si="19"/>
        <v>-0.21399070000000001</v>
      </c>
      <c r="AE95" s="6">
        <f t="shared" si="19"/>
        <v>-0.2369976</v>
      </c>
      <c r="AF95" s="6">
        <f t="shared" si="19"/>
        <v>-0.25595709999999999</v>
      </c>
      <c r="AG95" s="6">
        <f t="shared" si="19"/>
        <v>-0.27095989999999998</v>
      </c>
      <c r="AH95" s="6">
        <f t="shared" si="19"/>
        <v>-0.29674240000000002</v>
      </c>
      <c r="AI95" s="6">
        <f t="shared" si="19"/>
        <v>-0.31666040000000001</v>
      </c>
      <c r="AJ95" s="6">
        <f t="shared" si="19"/>
        <v>-0.32155470000000003</v>
      </c>
      <c r="AK95" s="6">
        <f t="shared" si="19"/>
        <v>-0.34189079999999999</v>
      </c>
      <c r="AL95" s="6">
        <f t="shared" si="19"/>
        <v>-0.36835430000000002</v>
      </c>
      <c r="AM95" s="6">
        <f t="shared" si="19"/>
        <v>-0.38530059999999999</v>
      </c>
    </row>
    <row r="96" spans="7:39" x14ac:dyDescent="0.25">
      <c r="G96" s="5">
        <v>5</v>
      </c>
      <c r="H96" s="6">
        <f>G39</f>
        <v>0.15673210000000001</v>
      </c>
      <c r="I96" s="6">
        <f t="shared" ref="I96:W96" si="20">H39</f>
        <v>0.1175995</v>
      </c>
      <c r="J96" s="6">
        <f t="shared" si="20"/>
        <v>1.714516E-2</v>
      </c>
      <c r="K96" s="6">
        <f t="shared" si="20"/>
        <v>-5.3765769999999997E-2</v>
      </c>
      <c r="L96" s="6">
        <f t="shared" si="20"/>
        <v>-8.4645269999999995E-2</v>
      </c>
      <c r="M96" s="6">
        <f t="shared" si="20"/>
        <v>-7.5078009999999997E-3</v>
      </c>
      <c r="N96" s="6">
        <f t="shared" si="20"/>
        <v>-0.13981199999999999</v>
      </c>
      <c r="O96" s="6">
        <f t="shared" si="20"/>
        <v>-0.13426920000000001</v>
      </c>
      <c r="P96" s="6">
        <f t="shared" si="20"/>
        <v>-0.1395836</v>
      </c>
      <c r="Q96" s="6">
        <f t="shared" si="20"/>
        <v>5.005884E-2</v>
      </c>
      <c r="R96" s="6">
        <f t="shared" si="20"/>
        <v>-0.13773160000000001</v>
      </c>
      <c r="S96" s="6">
        <f t="shared" si="20"/>
        <v>-0.12386419999999999</v>
      </c>
      <c r="T96" s="6">
        <f t="shared" si="20"/>
        <v>4.6239849999999999E-2</v>
      </c>
      <c r="U96" s="6">
        <f t="shared" si="20"/>
        <v>-0.1049953</v>
      </c>
      <c r="V96" s="6">
        <f t="shared" si="20"/>
        <v>-8.9980599999999994E-2</v>
      </c>
      <c r="W96" s="6">
        <f t="shared" si="20"/>
        <v>-6.5095420000000001E-2</v>
      </c>
      <c r="X96" s="6">
        <f>G40</f>
        <v>-6.0351849999999999E-2</v>
      </c>
      <c r="Y96" s="6">
        <f t="shared" ref="Y96:AM96" si="21">H40</f>
        <v>-2.7800559999999998E-2</v>
      </c>
      <c r="Z96" s="6">
        <f t="shared" si="21"/>
        <v>-7.4433799999999994E-2</v>
      </c>
      <c r="AA96" s="6">
        <f t="shared" si="21"/>
        <v>-9.6747399999999997E-2</v>
      </c>
      <c r="AB96" s="6">
        <f t="shared" si="21"/>
        <v>-0.1191025</v>
      </c>
      <c r="AC96" s="6">
        <f t="shared" si="21"/>
        <v>-0.15517900000000001</v>
      </c>
      <c r="AD96" s="6">
        <f t="shared" si="21"/>
        <v>-0.2239237</v>
      </c>
      <c r="AE96" s="6">
        <f t="shared" si="21"/>
        <v>-0.25509120000000002</v>
      </c>
      <c r="AF96" s="6">
        <f t="shared" si="21"/>
        <v>-0.27593329999999999</v>
      </c>
      <c r="AG96" s="6">
        <f t="shared" si="21"/>
        <v>-0.29439120000000002</v>
      </c>
      <c r="AH96" s="6">
        <f t="shared" si="21"/>
        <v>-0.32611180000000001</v>
      </c>
      <c r="AI96" s="6">
        <f t="shared" si="21"/>
        <v>-0.35616920000000002</v>
      </c>
      <c r="AJ96" s="6">
        <f t="shared" si="21"/>
        <v>-0.36793090000000001</v>
      </c>
      <c r="AK96" s="6">
        <f t="shared" si="21"/>
        <v>-0.40060620000000002</v>
      </c>
      <c r="AL96" s="6">
        <f t="shared" si="21"/>
        <v>-0.45120329999999997</v>
      </c>
      <c r="AM96" s="6">
        <f t="shared" si="21"/>
        <v>-0.49889329999999998</v>
      </c>
    </row>
    <row r="97" spans="7:39" x14ac:dyDescent="0.25">
      <c r="G97" s="5">
        <v>6</v>
      </c>
      <c r="H97" s="6">
        <f>G42</f>
        <v>6.8993570000000004E-2</v>
      </c>
      <c r="I97" s="6">
        <f t="shared" ref="I97:W97" si="22">H42</f>
        <v>0.16804269999999999</v>
      </c>
      <c r="J97" s="6">
        <f t="shared" si="22"/>
        <v>7.2268959999999993E-2</v>
      </c>
      <c r="K97" s="6">
        <f t="shared" si="22"/>
        <v>-4.7464370000000001E-3</v>
      </c>
      <c r="L97" s="6">
        <f t="shared" si="22"/>
        <v>-4.261732E-2</v>
      </c>
      <c r="M97" s="6">
        <f t="shared" si="22"/>
        <v>-4.3816569999999997E-3</v>
      </c>
      <c r="N97" s="6">
        <f t="shared" si="22"/>
        <v>-0.1075931</v>
      </c>
      <c r="O97" s="6">
        <f t="shared" si="22"/>
        <v>-0.10744670000000001</v>
      </c>
      <c r="P97" s="6">
        <f t="shared" si="22"/>
        <v>-0.11554150000000001</v>
      </c>
      <c r="Q97" s="6">
        <f t="shared" si="22"/>
        <v>5.094862E-2</v>
      </c>
      <c r="R97" s="6">
        <f t="shared" si="22"/>
        <v>-0.1208205</v>
      </c>
      <c r="S97" s="6">
        <f t="shared" si="22"/>
        <v>-0.1103668</v>
      </c>
      <c r="T97" s="6">
        <f t="shared" si="22"/>
        <v>4.6596529999999997E-2</v>
      </c>
      <c r="U97" s="6">
        <f t="shared" si="22"/>
        <v>-9.6299650000000001E-2</v>
      </c>
      <c r="V97" s="6">
        <f t="shared" si="22"/>
        <v>-8.2097050000000005E-2</v>
      </c>
      <c r="W97" s="6">
        <f t="shared" si="22"/>
        <v>-6.7027569999999995E-2</v>
      </c>
      <c r="X97" s="6">
        <f>G43</f>
        <v>-5.9072970000000002E-2</v>
      </c>
      <c r="Y97" s="6">
        <f t="shared" ref="Y97:AM97" si="23">H43</f>
        <v>-3.1763550000000002E-2</v>
      </c>
      <c r="Z97" s="6">
        <f t="shared" si="23"/>
        <v>-7.0610049999999994E-2</v>
      </c>
      <c r="AA97" s="6">
        <f t="shared" si="23"/>
        <v>-9.37891E-2</v>
      </c>
      <c r="AB97" s="6">
        <f t="shared" si="23"/>
        <v>-0.119103</v>
      </c>
      <c r="AC97" s="6">
        <f t="shared" si="23"/>
        <v>-0.15607789999999999</v>
      </c>
      <c r="AD97" s="6">
        <f t="shared" si="23"/>
        <v>-0.2408295</v>
      </c>
      <c r="AE97" s="6">
        <f t="shared" si="23"/>
        <v>-0.26987499999999998</v>
      </c>
      <c r="AF97" s="6">
        <f t="shared" si="23"/>
        <v>-0.2939949</v>
      </c>
      <c r="AG97" s="6">
        <f t="shared" si="23"/>
        <v>-0.31987290000000002</v>
      </c>
      <c r="AH97" s="6">
        <f t="shared" si="23"/>
        <v>-0.35474820000000001</v>
      </c>
      <c r="AI97" s="6">
        <f t="shared" si="23"/>
        <v>-0.39440199999999997</v>
      </c>
      <c r="AJ97" s="6">
        <f t="shared" si="23"/>
        <v>-0.41378500000000001</v>
      </c>
      <c r="AK97" s="6">
        <f t="shared" si="23"/>
        <v>-0.46058130000000003</v>
      </c>
      <c r="AL97" s="6">
        <f t="shared" si="23"/>
        <v>-0.53661199999999998</v>
      </c>
      <c r="AM97" s="6">
        <f t="shared" si="23"/>
        <v>-0.61748119999999995</v>
      </c>
    </row>
    <row r="98" spans="7:39" x14ac:dyDescent="0.25">
      <c r="G98" s="5">
        <v>7</v>
      </c>
      <c r="H98" s="6">
        <f>G45</f>
        <v>-4.35853E-2</v>
      </c>
      <c r="I98" s="6">
        <f t="shared" ref="I98:W98" si="24">H45</f>
        <v>0.20275969999999999</v>
      </c>
      <c r="J98" s="6">
        <f t="shared" si="24"/>
        <v>0.11772580000000001</v>
      </c>
      <c r="K98" s="6">
        <f t="shared" si="24"/>
        <v>3.7918569999999999E-2</v>
      </c>
      <c r="L98" s="6">
        <f t="shared" si="24"/>
        <v>-4.3754579999999996E-3</v>
      </c>
      <c r="M98" s="6">
        <f t="shared" si="24"/>
        <v>-2.1238329999999999E-3</v>
      </c>
      <c r="N98" s="6">
        <f t="shared" si="24"/>
        <v>-7.6817990000000003E-2</v>
      </c>
      <c r="O98" s="6">
        <f t="shared" si="24"/>
        <v>-8.1139559999999999E-2</v>
      </c>
      <c r="P98" s="6">
        <f t="shared" si="24"/>
        <v>-9.2006210000000005E-2</v>
      </c>
      <c r="Q98" s="6">
        <f t="shared" si="24"/>
        <v>5.1819320000000002E-2</v>
      </c>
      <c r="R98" s="6">
        <f t="shared" si="24"/>
        <v>-0.10337880000000001</v>
      </c>
      <c r="S98" s="6">
        <f t="shared" si="24"/>
        <v>-9.6984860000000006E-2</v>
      </c>
      <c r="T98" s="6">
        <f t="shared" si="24"/>
        <v>4.7844890000000001E-2</v>
      </c>
      <c r="U98" s="6">
        <f t="shared" si="24"/>
        <v>-8.6734290000000006E-2</v>
      </c>
      <c r="V98" s="6">
        <f t="shared" si="24"/>
        <v>-7.4029449999999997E-2</v>
      </c>
      <c r="W98" s="6">
        <f t="shared" si="24"/>
        <v>-6.3390249999999995E-2</v>
      </c>
      <c r="X98" s="6">
        <f>G46</f>
        <v>-5.6881899999999999E-2</v>
      </c>
      <c r="Y98" s="6">
        <f t="shared" ref="Y98:AM98" si="25">H46</f>
        <v>-3.5727979999999999E-2</v>
      </c>
      <c r="Z98" s="6">
        <f t="shared" si="25"/>
        <v>-7.0063589999999995E-2</v>
      </c>
      <c r="AA98" s="6">
        <f t="shared" si="25"/>
        <v>-9.2572210000000002E-2</v>
      </c>
      <c r="AB98" s="6">
        <f t="shared" si="25"/>
        <v>-0.1203742</v>
      </c>
      <c r="AC98" s="6">
        <f t="shared" si="25"/>
        <v>-0.1573358</v>
      </c>
      <c r="AD98" s="6">
        <f t="shared" si="25"/>
        <v>-0.25024079999999999</v>
      </c>
      <c r="AE98" s="6">
        <f t="shared" si="25"/>
        <v>-0.28869299999999998</v>
      </c>
      <c r="AF98" s="6">
        <f t="shared" si="25"/>
        <v>-0.31669039999999998</v>
      </c>
      <c r="AG98" s="6">
        <f t="shared" si="25"/>
        <v>-0.34110550000000001</v>
      </c>
      <c r="AH98" s="6">
        <f t="shared" si="25"/>
        <v>-0.38138630000000001</v>
      </c>
      <c r="AI98" s="6">
        <f t="shared" si="25"/>
        <v>-0.43298910000000002</v>
      </c>
      <c r="AJ98" s="6">
        <f t="shared" si="25"/>
        <v>-0.45929150000000002</v>
      </c>
      <c r="AK98" s="6">
        <f t="shared" si="25"/>
        <v>-0.52074290000000001</v>
      </c>
      <c r="AL98" s="6">
        <f t="shared" si="25"/>
        <v>-0.6181664</v>
      </c>
      <c r="AM98" s="6">
        <f t="shared" si="25"/>
        <v>-0.73890690000000003</v>
      </c>
    </row>
    <row r="99" spans="7:39" x14ac:dyDescent="0.25">
      <c r="G99" s="5">
        <v>8</v>
      </c>
      <c r="H99" s="6">
        <f>G48</f>
        <v>-0.1829443</v>
      </c>
      <c r="I99" s="6">
        <f t="shared" ref="I99:W99" si="26">H48</f>
        <v>0.22636220000000001</v>
      </c>
      <c r="J99" s="6">
        <f t="shared" si="26"/>
        <v>0.15737719999999999</v>
      </c>
      <c r="K99" s="6">
        <f t="shared" si="26"/>
        <v>7.7493670000000001E-2</v>
      </c>
      <c r="L99" s="6">
        <f t="shared" si="26"/>
        <v>3.1631470000000002E-2</v>
      </c>
      <c r="M99" s="6">
        <f t="shared" si="26"/>
        <v>-3.8814539999999998E-4</v>
      </c>
      <c r="N99" s="6">
        <f t="shared" si="26"/>
        <v>-4.6597479999999997E-2</v>
      </c>
      <c r="O99" s="6">
        <f t="shared" si="26"/>
        <v>-5.5705070000000002E-2</v>
      </c>
      <c r="P99" s="6">
        <f t="shared" si="26"/>
        <v>-6.9812769999999996E-2</v>
      </c>
      <c r="Q99" s="6">
        <f t="shared" si="26"/>
        <v>5.2168369999999999E-2</v>
      </c>
      <c r="R99" s="6">
        <f t="shared" si="26"/>
        <v>-8.7696549999999998E-2</v>
      </c>
      <c r="S99" s="6">
        <f t="shared" si="26"/>
        <v>-8.3560469999999998E-2</v>
      </c>
      <c r="T99" s="6">
        <f t="shared" si="26"/>
        <v>4.8379419999999999E-2</v>
      </c>
      <c r="U99" s="6">
        <f t="shared" si="26"/>
        <v>-7.7342510000000003E-2</v>
      </c>
      <c r="V99" s="6">
        <f t="shared" si="26"/>
        <v>-6.6130159999999993E-2</v>
      </c>
      <c r="W99" s="6">
        <f t="shared" si="26"/>
        <v>-5.5864329999999997E-2</v>
      </c>
      <c r="X99" s="6">
        <f>G49</f>
        <v>-4.9938200000000002E-2</v>
      </c>
      <c r="Y99" s="6">
        <f t="shared" ref="Y99:AM99" si="27">H49</f>
        <v>-4.058933E-2</v>
      </c>
      <c r="Z99" s="6">
        <f t="shared" si="27"/>
        <v>-7.1520810000000004E-2</v>
      </c>
      <c r="AA99" s="6">
        <f t="shared" si="27"/>
        <v>-9.4139100000000003E-2</v>
      </c>
      <c r="AB99" s="6">
        <f t="shared" si="27"/>
        <v>-0.1232796</v>
      </c>
      <c r="AC99" s="6">
        <f t="shared" si="27"/>
        <v>-0.16146849999999999</v>
      </c>
      <c r="AD99" s="6">
        <f t="shared" si="27"/>
        <v>-0.26226430000000001</v>
      </c>
      <c r="AE99" s="6">
        <f t="shared" si="27"/>
        <v>-0.30442999999999998</v>
      </c>
      <c r="AF99" s="6">
        <f t="shared" si="27"/>
        <v>-0.337563</v>
      </c>
      <c r="AG99" s="6">
        <f t="shared" si="27"/>
        <v>-0.36917299999999997</v>
      </c>
      <c r="AH99" s="6">
        <f t="shared" si="27"/>
        <v>-0.42214200000000002</v>
      </c>
      <c r="AI99" s="6">
        <f t="shared" si="27"/>
        <v>-0.47319559999999999</v>
      </c>
      <c r="AJ99" s="6">
        <f t="shared" si="27"/>
        <v>-0.51514720000000003</v>
      </c>
      <c r="AK99" s="6">
        <f t="shared" si="27"/>
        <v>-0.59384060000000005</v>
      </c>
      <c r="AL99" s="6">
        <f t="shared" si="27"/>
        <v>-0.71218159999999997</v>
      </c>
      <c r="AM99" s="6">
        <f t="shared" si="27"/>
        <v>-0.86818169999999995</v>
      </c>
    </row>
    <row r="100" spans="7:39" x14ac:dyDescent="0.25">
      <c r="G100" s="5">
        <v>9</v>
      </c>
      <c r="H100" s="6">
        <f>G51</f>
        <v>-0.33504489999999998</v>
      </c>
      <c r="I100" s="6">
        <f t="shared" ref="I100:W100" si="28">H51</f>
        <v>0.23536869999999999</v>
      </c>
      <c r="J100" s="6">
        <f t="shared" si="28"/>
        <v>0.18454219999999999</v>
      </c>
      <c r="K100" s="6">
        <f t="shared" si="28"/>
        <v>0.10847710000000001</v>
      </c>
      <c r="L100" s="6">
        <f t="shared" si="28"/>
        <v>6.0573580000000002E-2</v>
      </c>
      <c r="M100" s="6">
        <f t="shared" si="28"/>
        <v>1.5201570000000001E-3</v>
      </c>
      <c r="N100" s="6">
        <f t="shared" si="28"/>
        <v>-2.321291E-2</v>
      </c>
      <c r="O100" s="6">
        <f t="shared" si="28"/>
        <v>-3.5532950000000001E-2</v>
      </c>
      <c r="P100" s="6">
        <f t="shared" si="28"/>
        <v>-5.1173690000000001E-2</v>
      </c>
      <c r="Q100" s="6">
        <f t="shared" si="28"/>
        <v>5.286503E-2</v>
      </c>
      <c r="R100" s="6">
        <f t="shared" si="28"/>
        <v>-7.4741360000000007E-2</v>
      </c>
      <c r="S100" s="6">
        <f t="shared" si="28"/>
        <v>-7.4007030000000001E-2</v>
      </c>
      <c r="T100" s="6">
        <f t="shared" si="28"/>
        <v>4.9448489999999998E-2</v>
      </c>
      <c r="U100" s="6">
        <f t="shared" si="28"/>
        <v>-7.229853E-2</v>
      </c>
      <c r="V100" s="6">
        <f t="shared" si="28"/>
        <v>-6.2647820000000007E-2</v>
      </c>
      <c r="W100" s="6">
        <f t="shared" si="28"/>
        <v>-5.2598480000000003E-2</v>
      </c>
      <c r="X100" s="6">
        <f>G52</f>
        <v>-4.7934530000000003E-2</v>
      </c>
      <c r="Y100" s="6">
        <f t="shared" ref="Y100:AM100" si="29">H52</f>
        <v>-4.3111320000000002E-2</v>
      </c>
      <c r="Z100" s="6">
        <f t="shared" si="29"/>
        <v>-6.9700239999999997E-2</v>
      </c>
      <c r="AA100" s="6">
        <f t="shared" si="29"/>
        <v>-9.2224600000000004E-2</v>
      </c>
      <c r="AB100" s="6">
        <f t="shared" si="29"/>
        <v>-0.1236429</v>
      </c>
      <c r="AC100" s="6">
        <f t="shared" si="29"/>
        <v>-0.16272780000000001</v>
      </c>
      <c r="AD100" s="6">
        <f t="shared" si="29"/>
        <v>-0.27202320000000002</v>
      </c>
      <c r="AE100" s="6">
        <f t="shared" si="29"/>
        <v>-0.3201251</v>
      </c>
      <c r="AF100" s="6">
        <f t="shared" si="29"/>
        <v>-0.35616300000000001</v>
      </c>
      <c r="AG100" s="6">
        <f t="shared" si="29"/>
        <v>-0.3922544</v>
      </c>
      <c r="AH100" s="6">
        <f t="shared" si="29"/>
        <v>-0.45240639999999999</v>
      </c>
      <c r="AI100" s="6">
        <f t="shared" si="29"/>
        <v>-0.52102230000000005</v>
      </c>
      <c r="AJ100" s="6">
        <f t="shared" si="29"/>
        <v>-0.55696579999999996</v>
      </c>
      <c r="AK100" s="6">
        <f t="shared" si="29"/>
        <v>-0.59567829999999999</v>
      </c>
      <c r="AL100" s="6">
        <f t="shared" si="29"/>
        <v>-0.81132700000000002</v>
      </c>
      <c r="AM100" s="6">
        <f t="shared" si="29"/>
        <v>-0.99581580000000003</v>
      </c>
    </row>
    <row r="101" spans="7:39" x14ac:dyDescent="0.25">
      <c r="G101" s="5">
        <v>10</v>
      </c>
      <c r="H101" s="6">
        <f>G54</f>
        <v>-0.4874578</v>
      </c>
      <c r="I101" s="6">
        <f t="shared" ref="I101:W101" si="30">H54</f>
        <v>0.23343040000000001</v>
      </c>
      <c r="J101" s="6">
        <f t="shared" si="30"/>
        <v>0.20251749999999999</v>
      </c>
      <c r="K101" s="6">
        <f t="shared" si="30"/>
        <v>0.13187979999999999</v>
      </c>
      <c r="L101" s="6">
        <f t="shared" si="30"/>
        <v>8.4177970000000005E-2</v>
      </c>
      <c r="M101" s="6">
        <f t="shared" si="30"/>
        <v>3.256321E-3</v>
      </c>
      <c r="N101" s="6">
        <f t="shared" si="30"/>
        <v>-2.3393630000000001E-3</v>
      </c>
      <c r="O101" s="6">
        <f t="shared" si="30"/>
        <v>-1.7993450000000001E-2</v>
      </c>
      <c r="P101" s="6">
        <f t="shared" si="30"/>
        <v>-3.5481449999999998E-2</v>
      </c>
      <c r="Q101" s="6">
        <f t="shared" si="30"/>
        <v>5.3039070000000001E-2</v>
      </c>
      <c r="R101" s="6">
        <f t="shared" si="30"/>
        <v>-6.3577649999999999E-2</v>
      </c>
      <c r="S101" s="6">
        <f t="shared" si="30"/>
        <v>-6.549025E-2</v>
      </c>
      <c r="T101" s="6">
        <f t="shared" si="30"/>
        <v>4.99835E-2</v>
      </c>
      <c r="U101" s="6">
        <f t="shared" si="30"/>
        <v>-6.7950250000000004E-2</v>
      </c>
      <c r="V101" s="6">
        <f t="shared" si="30"/>
        <v>-6.0813899999999997E-2</v>
      </c>
      <c r="W101" s="6">
        <f t="shared" si="30"/>
        <v>-5.405331E-2</v>
      </c>
      <c r="X101" s="6">
        <f>G55</f>
        <v>-5.2316670000000003E-2</v>
      </c>
      <c r="Y101" s="6">
        <f t="shared" ref="Y101:AM101" si="31">H55</f>
        <v>-4.6535489999999999E-2</v>
      </c>
      <c r="Z101" s="6">
        <f t="shared" si="31"/>
        <v>-6.8243499999999999E-2</v>
      </c>
      <c r="AA101" s="6">
        <f t="shared" si="31"/>
        <v>-8.9094160000000006E-2</v>
      </c>
      <c r="AB101" s="6">
        <f t="shared" si="31"/>
        <v>-0.1211004</v>
      </c>
      <c r="AC101" s="6">
        <f t="shared" si="31"/>
        <v>-0.16129019999999999</v>
      </c>
      <c r="AD101" s="6">
        <f t="shared" si="31"/>
        <v>-0.27794839999999998</v>
      </c>
      <c r="AE101" s="6">
        <f t="shared" si="31"/>
        <v>-0.3296251</v>
      </c>
      <c r="AF101" s="6">
        <f t="shared" si="31"/>
        <v>-0.36913010000000002</v>
      </c>
      <c r="AG101" s="6">
        <f t="shared" si="31"/>
        <v>-0.40905380000000002</v>
      </c>
      <c r="AH101" s="6">
        <f t="shared" si="31"/>
        <v>-0.47469090000000003</v>
      </c>
      <c r="AI101" s="6">
        <f t="shared" si="31"/>
        <v>-0.55326180000000003</v>
      </c>
      <c r="AJ101" s="6">
        <f t="shared" si="31"/>
        <v>-0.60105609999999998</v>
      </c>
      <c r="AK101" s="6">
        <f t="shared" si="31"/>
        <v>-0.65072540000000001</v>
      </c>
      <c r="AL101" s="6">
        <f t="shared" si="31"/>
        <v>-0.91501759999999999</v>
      </c>
      <c r="AM101" s="6">
        <f t="shared" si="31"/>
        <v>-1.1042719999999999</v>
      </c>
    </row>
    <row r="102" spans="7:39" x14ac:dyDescent="0.25">
      <c r="G102" s="5">
        <v>11</v>
      </c>
      <c r="H102" s="6">
        <f>G57</f>
        <v>-0.65595910000000002</v>
      </c>
      <c r="I102" s="6">
        <f t="shared" ref="I102:W102" si="32">H57</f>
        <v>0.22725490000000001</v>
      </c>
      <c r="J102" s="6">
        <f t="shared" si="32"/>
        <v>0.21624660000000001</v>
      </c>
      <c r="K102" s="6">
        <f t="shared" si="32"/>
        <v>0.1547809</v>
      </c>
      <c r="L102" s="6">
        <f t="shared" si="32"/>
        <v>0.10743469999999999</v>
      </c>
      <c r="M102" s="6">
        <f t="shared" si="32"/>
        <v>4.8055650000000004E-3</v>
      </c>
      <c r="N102" s="6">
        <f t="shared" si="32"/>
        <v>1.9526959999999999E-2</v>
      </c>
      <c r="O102" s="6">
        <f t="shared" si="32"/>
        <v>1.9984249999999999E-3</v>
      </c>
      <c r="P102" s="6">
        <f t="shared" si="32"/>
        <v>-1.824665E-2</v>
      </c>
      <c r="Q102" s="6">
        <f t="shared" si="32"/>
        <v>5.3406240000000001E-2</v>
      </c>
      <c r="R102" s="6">
        <f t="shared" si="32"/>
        <v>-5.0856110000000003E-2</v>
      </c>
      <c r="S102" s="6">
        <f t="shared" si="32"/>
        <v>-5.5418969999999998E-2</v>
      </c>
      <c r="T102" s="6">
        <f t="shared" si="32"/>
        <v>5.1053519999999998E-2</v>
      </c>
      <c r="U102" s="6">
        <f t="shared" si="32"/>
        <v>-6.2036510000000003E-2</v>
      </c>
      <c r="V102" s="6">
        <f t="shared" si="32"/>
        <v>-5.7515139999999999E-2</v>
      </c>
      <c r="W102" s="6">
        <f t="shared" si="32"/>
        <v>-5.310869E-2</v>
      </c>
      <c r="X102" s="6">
        <f>G58</f>
        <v>-5.6157110000000003E-2</v>
      </c>
      <c r="Y102" s="6">
        <f t="shared" ref="Y102:AM102" si="33">H58</f>
        <v>-5.0678250000000001E-2</v>
      </c>
      <c r="Z102" s="6">
        <f t="shared" si="33"/>
        <v>-6.6610810000000006E-2</v>
      </c>
      <c r="AA102" s="6">
        <f t="shared" si="33"/>
        <v>-8.5790160000000004E-2</v>
      </c>
      <c r="AB102" s="6">
        <f t="shared" si="33"/>
        <v>-0.11692329999999999</v>
      </c>
      <c r="AC102" s="6">
        <f t="shared" si="33"/>
        <v>-0.15769430000000001</v>
      </c>
      <c r="AD102" s="6">
        <f t="shared" si="33"/>
        <v>-0.28143410000000002</v>
      </c>
      <c r="AE102" s="6">
        <f t="shared" si="33"/>
        <v>-0.3374839</v>
      </c>
      <c r="AF102" s="6">
        <f t="shared" si="33"/>
        <v>-0.37896780000000002</v>
      </c>
      <c r="AG102" s="6">
        <f t="shared" si="33"/>
        <v>-0.42288779999999998</v>
      </c>
      <c r="AH102" s="6">
        <f t="shared" si="33"/>
        <v>-0.49406149999999999</v>
      </c>
      <c r="AI102" s="6">
        <f t="shared" si="33"/>
        <v>-0.58367970000000002</v>
      </c>
      <c r="AJ102" s="6">
        <f t="shared" si="33"/>
        <v>-0.63847259999999995</v>
      </c>
      <c r="AK102" s="6">
        <f t="shared" si="33"/>
        <v>-0.71434589999999998</v>
      </c>
      <c r="AL102" s="6">
        <f t="shared" si="33"/>
        <v>-1.0182770000000001</v>
      </c>
      <c r="AM102" s="6">
        <f t="shared" si="33"/>
        <v>-1.2104140000000001</v>
      </c>
    </row>
    <row r="103" spans="7:39" x14ac:dyDescent="0.25">
      <c r="G103" s="5">
        <v>12</v>
      </c>
      <c r="H103" s="6">
        <f>G60</f>
        <v>-0.83736900000000003</v>
      </c>
      <c r="I103" s="6">
        <f t="shared" ref="I103:W103" si="34">H60</f>
        <v>0.2133389</v>
      </c>
      <c r="J103" s="6">
        <f t="shared" si="34"/>
        <v>0.2236428</v>
      </c>
      <c r="K103" s="6">
        <f t="shared" si="34"/>
        <v>0.1723285</v>
      </c>
      <c r="L103" s="6">
        <f t="shared" si="34"/>
        <v>0.1260424</v>
      </c>
      <c r="M103" s="6">
        <f t="shared" si="34"/>
        <v>6.5546040000000003E-3</v>
      </c>
      <c r="N103" s="6">
        <f t="shared" si="34"/>
        <v>3.7079330000000001E-2</v>
      </c>
      <c r="O103" s="6">
        <f t="shared" si="34"/>
        <v>1.761675E-2</v>
      </c>
      <c r="P103" s="6">
        <f t="shared" si="34"/>
        <v>-4.2209630000000003E-3</v>
      </c>
      <c r="Q103" s="6">
        <f t="shared" si="34"/>
        <v>5.3735730000000002E-2</v>
      </c>
      <c r="R103" s="6">
        <f t="shared" si="34"/>
        <v>-4.0221689999999997E-2</v>
      </c>
      <c r="S103" s="6">
        <f t="shared" si="34"/>
        <v>-4.7254560000000001E-2</v>
      </c>
      <c r="T103" s="6">
        <f t="shared" si="34"/>
        <v>5.1945690000000003E-2</v>
      </c>
      <c r="U103" s="6">
        <f t="shared" si="34"/>
        <v>-5.8384419999999999E-2</v>
      </c>
      <c r="V103" s="6">
        <f t="shared" si="34"/>
        <v>-5.5882929999999997E-2</v>
      </c>
      <c r="W103" s="6">
        <f t="shared" si="34"/>
        <v>-5.5398459999999997E-2</v>
      </c>
      <c r="X103" s="6">
        <f>G61</f>
        <v>-6.181097E-2</v>
      </c>
      <c r="Y103" s="6">
        <f t="shared" ref="Y103:AM103" si="35">H61</f>
        <v>-5.8064459999999998E-2</v>
      </c>
      <c r="Z103" s="6">
        <f t="shared" si="35"/>
        <v>-6.9335460000000002E-2</v>
      </c>
      <c r="AA103" s="6">
        <f t="shared" si="35"/>
        <v>-8.5094450000000002E-2</v>
      </c>
      <c r="AB103" s="6">
        <f t="shared" si="35"/>
        <v>-0.1149259</v>
      </c>
      <c r="AC103" s="6">
        <f t="shared" si="35"/>
        <v>-0.15463070000000001</v>
      </c>
      <c r="AD103" s="6">
        <f t="shared" si="35"/>
        <v>-0.28631259999999997</v>
      </c>
      <c r="AE103" s="6">
        <f t="shared" si="35"/>
        <v>-0.3468251</v>
      </c>
      <c r="AF103" s="6">
        <f t="shared" si="35"/>
        <v>-0.39120480000000002</v>
      </c>
      <c r="AG103" s="6">
        <f t="shared" si="35"/>
        <v>-0.4391351</v>
      </c>
      <c r="AH103" s="6">
        <f t="shared" si="35"/>
        <v>-0.51617000000000002</v>
      </c>
      <c r="AI103" s="6">
        <f t="shared" si="35"/>
        <v>-0.6161065</v>
      </c>
      <c r="AJ103" s="6">
        <f t="shared" si="35"/>
        <v>-0.68044420000000005</v>
      </c>
      <c r="AK103" s="6">
        <f t="shared" si="35"/>
        <v>-0.77903270000000002</v>
      </c>
      <c r="AL103" s="6">
        <f t="shared" si="35"/>
        <v>-1.1448259999999999</v>
      </c>
      <c r="AM103" s="6">
        <f t="shared" si="35"/>
        <v>-1.3141499999999999</v>
      </c>
    </row>
    <row r="104" spans="7:39" x14ac:dyDescent="0.25">
      <c r="G104" s="5">
        <v>13</v>
      </c>
      <c r="H104" s="6">
        <f>G63</f>
        <v>-1.029004</v>
      </c>
      <c r="I104" s="6">
        <f t="shared" ref="I104:W104" si="36">H63</f>
        <v>0.19342419999999999</v>
      </c>
      <c r="J104" s="6">
        <f t="shared" si="36"/>
        <v>0.2278724</v>
      </c>
      <c r="K104" s="6">
        <f t="shared" si="36"/>
        <v>0.1874738</v>
      </c>
      <c r="L104" s="6">
        <f t="shared" si="36"/>
        <v>0.1439629</v>
      </c>
      <c r="M104" s="6">
        <f t="shared" si="36"/>
        <v>7.5964930000000002E-3</v>
      </c>
      <c r="N104" s="6">
        <f t="shared" si="36"/>
        <v>5.5123810000000002E-2</v>
      </c>
      <c r="O104" s="6">
        <f t="shared" si="36"/>
        <v>3.3403870000000002E-2</v>
      </c>
      <c r="P104" s="6">
        <f t="shared" si="36"/>
        <v>1.025248E-2</v>
      </c>
      <c r="Q104" s="6">
        <f t="shared" si="36"/>
        <v>5.3561690000000002E-2</v>
      </c>
      <c r="R104" s="6">
        <f t="shared" si="36"/>
        <v>-2.958059E-2</v>
      </c>
      <c r="S104" s="6">
        <f t="shared" si="36"/>
        <v>-3.9085389999999998E-2</v>
      </c>
      <c r="T104" s="6">
        <f t="shared" si="36"/>
        <v>5.2837370000000002E-2</v>
      </c>
      <c r="U104" s="6">
        <f t="shared" si="36"/>
        <v>-5.4210189999999998E-2</v>
      </c>
      <c r="V104" s="6">
        <f t="shared" si="36"/>
        <v>-5.4232599999999999E-2</v>
      </c>
      <c r="W104" s="6">
        <f t="shared" si="36"/>
        <v>-5.6853290000000001E-2</v>
      </c>
      <c r="X104" s="6">
        <f>G64</f>
        <v>-6.7106250000000006E-2</v>
      </c>
      <c r="Y104" s="6">
        <f t="shared" ref="Y104:AM104" si="37">H64</f>
        <v>-6.6534040000000003E-2</v>
      </c>
      <c r="Z104" s="6">
        <f t="shared" si="37"/>
        <v>-7.2794910000000004E-2</v>
      </c>
      <c r="AA104" s="6">
        <f t="shared" si="37"/>
        <v>-8.4746360000000007E-2</v>
      </c>
      <c r="AB104" s="6">
        <f t="shared" si="37"/>
        <v>-0.11147550000000001</v>
      </c>
      <c r="AC104" s="6">
        <f t="shared" si="37"/>
        <v>-0.1490602</v>
      </c>
      <c r="AD104" s="6">
        <f t="shared" si="37"/>
        <v>-0.2878809</v>
      </c>
      <c r="AE104" s="6">
        <f t="shared" si="37"/>
        <v>-0.35230590000000001</v>
      </c>
      <c r="AF104" s="6">
        <f t="shared" si="37"/>
        <v>-0.40092990000000001</v>
      </c>
      <c r="AG104" s="6">
        <f t="shared" si="37"/>
        <v>-0.452795</v>
      </c>
      <c r="AH104" s="6">
        <f t="shared" si="37"/>
        <v>-0.53555390000000003</v>
      </c>
      <c r="AI104" s="6">
        <f t="shared" si="37"/>
        <v>-0.64544389999999996</v>
      </c>
      <c r="AJ104" s="6">
        <f t="shared" si="37"/>
        <v>-0.71890589999999999</v>
      </c>
      <c r="AK104" s="6">
        <f t="shared" si="37"/>
        <v>-0.83588600000000002</v>
      </c>
      <c r="AL104" s="6">
        <f t="shared" si="37"/>
        <v>-1.3015639999999999</v>
      </c>
      <c r="AM104" s="6">
        <f t="shared" si="37"/>
        <v>-1.4077040000000001</v>
      </c>
    </row>
    <row r="105" spans="7:39" x14ac:dyDescent="0.25">
      <c r="G105" s="5">
        <v>14</v>
      </c>
      <c r="H105" s="6">
        <f>G66</f>
        <v>-1.208737</v>
      </c>
      <c r="I105" s="6">
        <f t="shared" ref="I105:W105" si="38">H66</f>
        <v>0.16656209999999999</v>
      </c>
      <c r="J105" s="6">
        <f t="shared" si="38"/>
        <v>0.2243028</v>
      </c>
      <c r="K105" s="6">
        <f t="shared" si="38"/>
        <v>0.1962457</v>
      </c>
      <c r="L105" s="6">
        <f t="shared" si="38"/>
        <v>0.15603210000000001</v>
      </c>
      <c r="M105" s="6">
        <f t="shared" si="38"/>
        <v>8.9879039999999997E-3</v>
      </c>
      <c r="N105" s="6">
        <f t="shared" si="38"/>
        <v>6.8380360000000001E-2</v>
      </c>
      <c r="O105" s="6">
        <f t="shared" si="38"/>
        <v>4.5329090000000002E-2</v>
      </c>
      <c r="P105" s="6">
        <f t="shared" si="38"/>
        <v>2.1393780000000001E-2</v>
      </c>
      <c r="Q105" s="6">
        <f t="shared" si="38"/>
        <v>5.3890710000000001E-2</v>
      </c>
      <c r="R105" s="6">
        <f t="shared" si="38"/>
        <v>-2.1972180000000001E-2</v>
      </c>
      <c r="S105" s="6">
        <f t="shared" si="38"/>
        <v>-3.3355709999999997E-2</v>
      </c>
      <c r="T105" s="6">
        <f t="shared" si="38"/>
        <v>5.4802419999999998E-2</v>
      </c>
      <c r="U105" s="6">
        <f t="shared" si="38"/>
        <v>-5.2296639999999998E-2</v>
      </c>
      <c r="V105" s="6">
        <f t="shared" si="38"/>
        <v>-5.4765220000000003E-2</v>
      </c>
      <c r="W105" s="6">
        <f t="shared" si="38"/>
        <v>-6.1033249999999997E-2</v>
      </c>
      <c r="X105" s="6">
        <f>G67</f>
        <v>-7.5146199999999996E-2</v>
      </c>
      <c r="Y105" s="6">
        <f t="shared" ref="Y105:AM105" si="39">H67</f>
        <v>-8.0092430000000006E-2</v>
      </c>
      <c r="Z105" s="6">
        <f t="shared" si="39"/>
        <v>-8.3901409999999996E-2</v>
      </c>
      <c r="AA105" s="6">
        <f t="shared" si="39"/>
        <v>-9.1181280000000003E-2</v>
      </c>
      <c r="AB105" s="6">
        <f t="shared" si="39"/>
        <v>-0.1098471</v>
      </c>
      <c r="AC105" s="6">
        <f t="shared" si="39"/>
        <v>-0.14296629999999999</v>
      </c>
      <c r="AD105" s="6">
        <f t="shared" si="39"/>
        <v>-0.2857904</v>
      </c>
      <c r="AE105" s="6">
        <f t="shared" si="39"/>
        <v>-0.35502719999999999</v>
      </c>
      <c r="AF105" s="6">
        <f t="shared" si="39"/>
        <v>-0.40488390000000002</v>
      </c>
      <c r="AG105" s="6">
        <f t="shared" si="39"/>
        <v>-0.46018310000000001</v>
      </c>
      <c r="AH105" s="6">
        <f t="shared" si="39"/>
        <v>-0.54842329999999995</v>
      </c>
      <c r="AI105" s="6">
        <f t="shared" si="39"/>
        <v>-0.66661599999999999</v>
      </c>
      <c r="AJ105" s="6">
        <f t="shared" si="39"/>
        <v>-0.74823569999999995</v>
      </c>
      <c r="AK105" s="6">
        <f t="shared" si="39"/>
        <v>-0.88584280000000004</v>
      </c>
      <c r="AL105" s="6">
        <f t="shared" si="39"/>
        <v>-1.427583</v>
      </c>
      <c r="AM105" s="6">
        <f t="shared" si="39"/>
        <v>-1.5026969999999999</v>
      </c>
    </row>
    <row r="106" spans="7:39" x14ac:dyDescent="0.25">
      <c r="G106" s="5">
        <v>15</v>
      </c>
      <c r="H106" s="6">
        <f>G69</f>
        <v>-1.3982810000000001</v>
      </c>
      <c r="I106" s="6">
        <f t="shared" ref="I106:W106" si="40">H69</f>
        <v>0.1401782</v>
      </c>
      <c r="J106" s="6">
        <f t="shared" si="40"/>
        <v>0.22245029999999999</v>
      </c>
      <c r="K106" s="6">
        <f t="shared" si="40"/>
        <v>0.20570559999999999</v>
      </c>
      <c r="L106" s="6">
        <f t="shared" si="40"/>
        <v>0.1679206</v>
      </c>
      <c r="M106" s="6">
        <f t="shared" si="40"/>
        <v>9.6812249999999999E-3</v>
      </c>
      <c r="N106" s="6">
        <f t="shared" si="40"/>
        <v>8.0803390000000003E-2</v>
      </c>
      <c r="O106" s="6">
        <f t="shared" si="40"/>
        <v>5.602741E-2</v>
      </c>
      <c r="P106" s="6">
        <f t="shared" si="40"/>
        <v>3.0617709999999999E-2</v>
      </c>
      <c r="Q106" s="6">
        <f t="shared" si="40"/>
        <v>5.4432389999999997E-2</v>
      </c>
      <c r="R106" s="6">
        <f t="shared" si="40"/>
        <v>-1.6515249999999999E-2</v>
      </c>
      <c r="S106" s="6">
        <f t="shared" si="40"/>
        <v>-3.005934E-2</v>
      </c>
      <c r="T106" s="6">
        <f t="shared" si="40"/>
        <v>5.4441929999999999E-2</v>
      </c>
      <c r="U106" s="6">
        <f t="shared" si="40"/>
        <v>-5.4209710000000001E-2</v>
      </c>
      <c r="V106" s="6">
        <f t="shared" si="40"/>
        <v>-5.9366700000000001E-2</v>
      </c>
      <c r="W106" s="6">
        <f t="shared" si="40"/>
        <v>-7.0301059999999999E-2</v>
      </c>
      <c r="X106" s="5">
        <f>G70</f>
        <v>-9.0478420000000004E-2</v>
      </c>
      <c r="Y106" s="5">
        <f t="shared" ref="Y106:AM106" si="41">H70</f>
        <v>-0.1007533</v>
      </c>
      <c r="Z106" s="5">
        <f t="shared" si="41"/>
        <v>-0.10392949999999999</v>
      </c>
      <c r="AA106" s="5">
        <f t="shared" si="41"/>
        <v>-0.10840229999999999</v>
      </c>
      <c r="AB106" s="5">
        <f t="shared" si="41"/>
        <v>-0.1183829</v>
      </c>
      <c r="AC106" s="5">
        <f t="shared" si="41"/>
        <v>-0.14008139999999999</v>
      </c>
      <c r="AD106" s="5">
        <f t="shared" si="41"/>
        <v>-0.28108450000000001</v>
      </c>
      <c r="AE106" s="5">
        <f t="shared" si="41"/>
        <v>-0.35593839999999999</v>
      </c>
      <c r="AF106" s="5">
        <f t="shared" si="41"/>
        <v>-0.40902850000000002</v>
      </c>
      <c r="AG106" s="5">
        <f t="shared" si="41"/>
        <v>-0.46922920000000001</v>
      </c>
      <c r="AH106" s="5">
        <f t="shared" si="41"/>
        <v>-0.56346419999999997</v>
      </c>
      <c r="AI106" s="5">
        <f t="shared" si="41"/>
        <v>-0.6920056</v>
      </c>
      <c r="AJ106" s="5">
        <f t="shared" si="41"/>
        <v>-0.78370669999999998</v>
      </c>
      <c r="AK106" s="5">
        <f t="shared" si="41"/>
        <v>-0.94195130000000005</v>
      </c>
      <c r="AL106" s="5">
        <f t="shared" si="41"/>
        <v>-1.4981640000000001</v>
      </c>
      <c r="AM106" s="5">
        <f t="shared" si="41"/>
        <v>-1.6330450000000001</v>
      </c>
    </row>
    <row r="107" spans="7:39" x14ac:dyDescent="0.25">
      <c r="G107" s="5">
        <v>16</v>
      </c>
      <c r="H107" s="6">
        <f>G72</f>
        <v>-1.2856000000000001</v>
      </c>
      <c r="I107" s="6">
        <f t="shared" ref="I107:W107" si="42">H72</f>
        <v>0.14986940000000001</v>
      </c>
      <c r="J107" s="6">
        <f t="shared" si="42"/>
        <v>0.2226262</v>
      </c>
      <c r="K107" s="6">
        <f t="shared" si="42"/>
        <v>0.202436</v>
      </c>
      <c r="L107" s="6">
        <f t="shared" si="42"/>
        <v>0.16516400000000001</v>
      </c>
      <c r="M107" s="6">
        <f t="shared" si="42"/>
        <v>9.5076559999999997E-3</v>
      </c>
      <c r="N107" s="6">
        <f t="shared" si="42"/>
        <v>7.9210760000000005E-2</v>
      </c>
      <c r="O107" s="6">
        <f t="shared" si="42"/>
        <v>5.3746700000000001E-2</v>
      </c>
      <c r="P107" s="6">
        <f t="shared" si="42"/>
        <v>2.8874400000000001E-2</v>
      </c>
      <c r="Q107" s="6">
        <f t="shared" si="42"/>
        <v>5.4606439999999999E-2</v>
      </c>
      <c r="R107" s="6">
        <f t="shared" si="42"/>
        <v>-2.0353320000000001E-2</v>
      </c>
      <c r="S107" s="6">
        <f t="shared" si="42"/>
        <v>-3.6316870000000001E-2</v>
      </c>
      <c r="T107" s="6">
        <f t="shared" si="42"/>
        <v>5.479813E-2</v>
      </c>
      <c r="U107" s="6">
        <f t="shared" si="42"/>
        <v>-6.7080500000000001E-2</v>
      </c>
      <c r="V107" s="6">
        <f t="shared" si="42"/>
        <v>-7.9535480000000006E-2</v>
      </c>
      <c r="W107" s="6">
        <f t="shared" si="42"/>
        <v>-0.1024904</v>
      </c>
      <c r="X107" s="6">
        <f>G73</f>
        <v>-0.1370344</v>
      </c>
      <c r="Y107" s="6">
        <f t="shared" ref="Y107:AM107" si="43">H73</f>
        <v>-0.15516949999999999</v>
      </c>
      <c r="Z107" s="6">
        <f t="shared" si="43"/>
        <v>-0.18057200000000001</v>
      </c>
      <c r="AA107" s="6">
        <f t="shared" si="43"/>
        <v>-0.1958838</v>
      </c>
      <c r="AB107" s="6">
        <f t="shared" si="43"/>
        <v>-0.2135377</v>
      </c>
      <c r="AC107" s="6">
        <f t="shared" si="43"/>
        <v>-0.23154930000000001</v>
      </c>
      <c r="AD107" s="6">
        <f t="shared" si="43"/>
        <v>-0.23089270000000001</v>
      </c>
      <c r="AE107" s="6">
        <f t="shared" si="43"/>
        <v>-0.2346258</v>
      </c>
      <c r="AF107" s="6">
        <f t="shared" si="43"/>
        <v>-0.25989010000000001</v>
      </c>
      <c r="AG107" s="6">
        <f t="shared" si="43"/>
        <v>-0.31212380000000001</v>
      </c>
      <c r="AH107" s="6">
        <f t="shared" si="43"/>
        <v>-0.4078388</v>
      </c>
      <c r="AI107" s="6">
        <f t="shared" si="43"/>
        <v>-0.54277560000000002</v>
      </c>
      <c r="AJ107" s="6">
        <f t="shared" si="43"/>
        <v>-0.63021280000000002</v>
      </c>
      <c r="AK107" s="6">
        <f t="shared" si="43"/>
        <v>-0.77540779999999998</v>
      </c>
      <c r="AL107" s="6">
        <f t="shared" si="43"/>
        <v>-1.3044800000000001</v>
      </c>
      <c r="AM107" s="6">
        <f t="shared" si="43"/>
        <v>-1.385888</v>
      </c>
    </row>
    <row r="108" spans="7:39" x14ac:dyDescent="0.25">
      <c r="G108" s="5">
        <v>17</v>
      </c>
      <c r="H108" s="6">
        <f>G75</f>
        <v>-0.24365000000000001</v>
      </c>
      <c r="I108" s="6">
        <f t="shared" ref="I108:W108" si="44">H75</f>
        <v>0.2271552</v>
      </c>
      <c r="J108" s="6">
        <f t="shared" si="44"/>
        <v>0.2091904</v>
      </c>
      <c r="K108" s="6">
        <f t="shared" si="44"/>
        <v>0.15459300000000001</v>
      </c>
      <c r="L108" s="6">
        <f t="shared" si="44"/>
        <v>0.1133041</v>
      </c>
      <c r="M108" s="6">
        <f t="shared" si="44"/>
        <v>5.8741569999999996E-3</v>
      </c>
      <c r="N108" s="6">
        <f t="shared" si="44"/>
        <v>3.091383E-2</v>
      </c>
      <c r="O108" s="6">
        <f t="shared" si="44"/>
        <v>1.1825560000000001E-2</v>
      </c>
      <c r="P108" s="6">
        <f t="shared" si="44"/>
        <v>-1.175261E-2</v>
      </c>
      <c r="Q108" s="6">
        <f t="shared" si="44"/>
        <v>5.3561690000000002E-2</v>
      </c>
      <c r="R108" s="6">
        <f t="shared" si="44"/>
        <v>-5.7504649999999997E-2</v>
      </c>
      <c r="S108" s="6">
        <f t="shared" si="44"/>
        <v>-7.2812559999999998E-2</v>
      </c>
      <c r="T108" s="6">
        <f t="shared" si="44"/>
        <v>5.5337909999999997E-2</v>
      </c>
      <c r="U108" s="6">
        <f t="shared" si="44"/>
        <v>-0.1091685</v>
      </c>
      <c r="V108" s="6">
        <f t="shared" si="44"/>
        <v>-0.12535189999999999</v>
      </c>
      <c r="W108" s="6">
        <f t="shared" si="44"/>
        <v>-0.15373609999999999</v>
      </c>
      <c r="X108" s="6">
        <f>G76</f>
        <v>-0.1927075</v>
      </c>
      <c r="Y108" s="6">
        <f t="shared" ref="Y108:AM108" si="45">H76</f>
        <v>-0.25333929999999999</v>
      </c>
      <c r="Z108" s="6">
        <f t="shared" si="45"/>
        <v>-0.26795239999999998</v>
      </c>
      <c r="AA108" s="6">
        <f t="shared" si="45"/>
        <v>-0.28231099999999998</v>
      </c>
      <c r="AB108" s="6">
        <f t="shared" si="45"/>
        <v>-0.28852220000000001</v>
      </c>
      <c r="AC108" s="6">
        <f t="shared" si="45"/>
        <v>-0.28995559999999998</v>
      </c>
      <c r="AD108" s="6">
        <f t="shared" si="45"/>
        <v>-0.26226189999999999</v>
      </c>
      <c r="AE108" s="6">
        <f t="shared" si="45"/>
        <v>-0.25271700000000002</v>
      </c>
      <c r="AF108" s="6">
        <f t="shared" si="45"/>
        <v>-0.24926519999999999</v>
      </c>
      <c r="AG108" s="6">
        <f t="shared" si="45"/>
        <v>-0.24491070000000001</v>
      </c>
      <c r="AH108" s="6">
        <f t="shared" si="45"/>
        <v>-0.24254700000000001</v>
      </c>
      <c r="AI108" s="6">
        <f t="shared" si="45"/>
        <v>-0.2427435</v>
      </c>
      <c r="AJ108" s="6">
        <f t="shared" si="45"/>
        <v>-0.23610400000000001</v>
      </c>
      <c r="AK108" s="6">
        <f t="shared" si="45"/>
        <v>-0.2450476</v>
      </c>
      <c r="AL108" s="6">
        <f t="shared" si="45"/>
        <v>-0.24257419999999999</v>
      </c>
      <c r="AM108" s="6">
        <f t="shared" si="45"/>
        <v>-0.23993780000000001</v>
      </c>
    </row>
    <row r="109" spans="7:39" x14ac:dyDescent="0.25">
      <c r="G109" s="5">
        <v>18</v>
      </c>
      <c r="H109" s="6">
        <f>G78</f>
        <v>-0.28038740000000001</v>
      </c>
      <c r="I109" s="6">
        <f t="shared" ref="I109:W109" si="46">H78</f>
        <v>0.22697880000000001</v>
      </c>
      <c r="J109" s="6">
        <f t="shared" si="46"/>
        <v>0.21641589999999999</v>
      </c>
      <c r="K109" s="6">
        <f t="shared" si="46"/>
        <v>0.16577910000000001</v>
      </c>
      <c r="L109" s="6">
        <f t="shared" si="46"/>
        <v>0.1248493</v>
      </c>
      <c r="M109" s="6">
        <f t="shared" si="46"/>
        <v>6.3948629999999998E-3</v>
      </c>
      <c r="N109" s="6">
        <f t="shared" si="46"/>
        <v>4.1528219999999998E-2</v>
      </c>
      <c r="O109" s="6">
        <f t="shared" si="46"/>
        <v>2.094698E-2</v>
      </c>
      <c r="P109" s="6">
        <f t="shared" si="46"/>
        <v>-3.382683E-3</v>
      </c>
      <c r="Q109" s="6">
        <f t="shared" si="46"/>
        <v>5.3561690000000002E-2</v>
      </c>
      <c r="R109" s="6">
        <f t="shared" si="46"/>
        <v>-5.2445890000000002E-2</v>
      </c>
      <c r="S109" s="6">
        <f t="shared" si="46"/>
        <v>-7.0205210000000004E-2</v>
      </c>
      <c r="T109" s="6">
        <f t="shared" si="46"/>
        <v>5.6229590000000003E-2</v>
      </c>
      <c r="U109" s="6">
        <f t="shared" si="46"/>
        <v>-0.1098642</v>
      </c>
      <c r="V109" s="6">
        <f t="shared" si="46"/>
        <v>-0.1281023</v>
      </c>
      <c r="W109" s="6">
        <f t="shared" si="46"/>
        <v>-0.1591911</v>
      </c>
      <c r="X109" s="5">
        <f>G79</f>
        <v>-0.20128679999999999</v>
      </c>
      <c r="Y109" s="5">
        <f t="shared" ref="Y109:AM109" si="47">H79</f>
        <v>-0.26234669999999999</v>
      </c>
      <c r="Z109" s="5">
        <f t="shared" si="47"/>
        <v>-0.27505059999999998</v>
      </c>
      <c r="AA109" s="5">
        <f t="shared" si="47"/>
        <v>-0.28665780000000002</v>
      </c>
      <c r="AB109" s="5">
        <f t="shared" si="47"/>
        <v>-0.28997469999999997</v>
      </c>
      <c r="AC109" s="5">
        <f t="shared" si="47"/>
        <v>-0.29193210000000003</v>
      </c>
      <c r="AD109" s="5">
        <f t="shared" si="47"/>
        <v>-0.26714130000000003</v>
      </c>
      <c r="AE109" s="5">
        <f t="shared" si="47"/>
        <v>-0.25874659999999999</v>
      </c>
      <c r="AF109" s="5">
        <f t="shared" si="47"/>
        <v>-0.25629089999999999</v>
      </c>
      <c r="AG109" s="5">
        <f t="shared" si="47"/>
        <v>-0.25229689999999999</v>
      </c>
      <c r="AH109" s="5">
        <f t="shared" si="47"/>
        <v>-0.2510657</v>
      </c>
      <c r="AI109" s="5">
        <f t="shared" si="47"/>
        <v>-0.2507162</v>
      </c>
      <c r="AJ109" s="5">
        <f t="shared" si="47"/>
        <v>-0.24506810000000001</v>
      </c>
      <c r="AK109" s="5">
        <f t="shared" si="47"/>
        <v>-0.25307229999999997</v>
      </c>
      <c r="AL109" s="5">
        <f t="shared" si="47"/>
        <v>-0.2506428</v>
      </c>
      <c r="AM109" s="5">
        <f t="shared" si="47"/>
        <v>-0.24710850000000001</v>
      </c>
    </row>
    <row r="110" spans="7:39" x14ac:dyDescent="0.25"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M110"/>
  <sheetViews>
    <sheetView workbookViewId="0">
      <selection activeCell="A111" sqref="A111:XFD230"/>
    </sheetView>
  </sheetViews>
  <sheetFormatPr defaultRowHeight="15" x14ac:dyDescent="0.25"/>
  <sheetData>
    <row r="1" spans="1:22" x14ac:dyDescent="0.25">
      <c r="B1">
        <v>9116</v>
      </c>
      <c r="C1">
        <v>6742</v>
      </c>
      <c r="D1">
        <v>1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</row>
    <row r="3" spans="1:22" x14ac:dyDescent="0.25">
      <c r="B3">
        <v>9116</v>
      </c>
      <c r="C3">
        <v>6744</v>
      </c>
      <c r="D3">
        <v>1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t="s">
        <v>24</v>
      </c>
      <c r="R3" t="s">
        <v>25</v>
      </c>
      <c r="S3" t="s">
        <v>26</v>
      </c>
      <c r="T3" t="s">
        <v>27</v>
      </c>
      <c r="U3" t="s">
        <v>28</v>
      </c>
      <c r="V3" t="s">
        <v>29</v>
      </c>
    </row>
    <row r="4" spans="1:22" x14ac:dyDescent="0.25">
      <c r="A4" t="s">
        <v>30</v>
      </c>
      <c r="B4" t="s">
        <v>31</v>
      </c>
      <c r="C4" t="s">
        <v>32</v>
      </c>
      <c r="D4" t="s">
        <v>33</v>
      </c>
      <c r="E4" t="s">
        <v>34</v>
      </c>
      <c r="F4" t="s">
        <v>35</v>
      </c>
    </row>
    <row r="5" spans="1:22" x14ac:dyDescent="0.25">
      <c r="A5" t="s">
        <v>36</v>
      </c>
    </row>
    <row r="6" spans="1:22" x14ac:dyDescent="0.25">
      <c r="A6" t="s">
        <v>36</v>
      </c>
    </row>
    <row r="7" spans="1:22" x14ac:dyDescent="0.25">
      <c r="A7" t="s">
        <v>43</v>
      </c>
    </row>
    <row r="8" spans="1:22" x14ac:dyDescent="0.25">
      <c r="A8" t="s">
        <v>98</v>
      </c>
    </row>
    <row r="9" spans="1:22" x14ac:dyDescent="0.25">
      <c r="A9">
        <v>11.244999999999999</v>
      </c>
      <c r="B9">
        <v>9116</v>
      </c>
      <c r="C9">
        <v>6742</v>
      </c>
      <c r="D9">
        <v>1</v>
      </c>
      <c r="E9">
        <v>1</v>
      </c>
      <c r="F9" t="s">
        <v>13</v>
      </c>
      <c r="G9" s="3">
        <v>-6.1464310000000004E-4</v>
      </c>
      <c r="H9" s="3">
        <v>-6.4849850000000002E-4</v>
      </c>
      <c r="I9" s="3">
        <v>-4.6157840000000001E-4</v>
      </c>
      <c r="J9" s="3">
        <v>3.9632319999999999E-2</v>
      </c>
      <c r="K9" s="3">
        <v>-2.5653839999999998E-4</v>
      </c>
      <c r="L9" s="3">
        <v>-6.1178209999999998E-4</v>
      </c>
      <c r="M9" s="3">
        <v>-1.2450219999999999E-3</v>
      </c>
      <c r="N9" s="3">
        <v>-1.192093E-4</v>
      </c>
      <c r="O9" s="3">
        <v>4.3630600000000002E-4</v>
      </c>
      <c r="P9" s="3">
        <v>4.3742179999999999E-2</v>
      </c>
      <c r="Q9" s="3">
        <v>7.2145460000000005E-4</v>
      </c>
      <c r="R9" s="3">
        <v>9.8705290000000004E-5</v>
      </c>
      <c r="S9" s="3">
        <v>1.8774030000000001E-2</v>
      </c>
      <c r="T9" s="3">
        <v>-3.0565259999999999E-4</v>
      </c>
      <c r="U9" s="3">
        <v>2.3031230000000001E-4</v>
      </c>
      <c r="V9" s="3">
        <v>-1.416206E-4</v>
      </c>
    </row>
    <row r="10" spans="1:22" x14ac:dyDescent="0.25">
      <c r="A10">
        <v>11.268000000000001</v>
      </c>
      <c r="B10">
        <v>9116</v>
      </c>
      <c r="C10">
        <v>6744</v>
      </c>
      <c r="D10">
        <v>1</v>
      </c>
      <c r="E10">
        <v>1</v>
      </c>
      <c r="F10" t="s">
        <v>13</v>
      </c>
      <c r="G10" s="3">
        <v>-6.5183639999999996E-4</v>
      </c>
      <c r="H10" s="3">
        <v>-1.280308E-3</v>
      </c>
      <c r="I10" s="3">
        <v>-8.8691710000000004E-5</v>
      </c>
      <c r="J10" s="3">
        <v>3.4039020000000003E-2</v>
      </c>
      <c r="K10" s="3">
        <v>-3.2901760000000001E-5</v>
      </c>
      <c r="L10" s="3">
        <v>-5.0067899999999997E-4</v>
      </c>
      <c r="M10" s="3">
        <v>-1.240253E-3</v>
      </c>
      <c r="N10" s="3">
        <v>9.9182129999999996E-5</v>
      </c>
      <c r="O10" s="3">
        <v>-9.5558169999999997E-4</v>
      </c>
      <c r="P10" s="3">
        <v>3.7574769999999997E-4</v>
      </c>
      <c r="Q10" s="3">
        <v>2.7942659999999998E-4</v>
      </c>
      <c r="R10" s="3">
        <v>-3.8957599999999998E-4</v>
      </c>
      <c r="S10" s="3">
        <v>-1.029968E-3</v>
      </c>
      <c r="T10" s="3">
        <v>3.9672850000000001E-4</v>
      </c>
      <c r="U10" s="3">
        <v>1.037121E-3</v>
      </c>
      <c r="V10" s="3">
        <v>2.0885470000000001E-4</v>
      </c>
    </row>
    <row r="11" spans="1:22" x14ac:dyDescent="0.25">
      <c r="A11" s="7" t="s">
        <v>288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</row>
    <row r="12" spans="1:22" x14ac:dyDescent="0.25">
      <c r="A12" s="7">
        <v>12776.89</v>
      </c>
      <c r="B12" s="7">
        <v>9116</v>
      </c>
      <c r="C12" s="7">
        <v>6742</v>
      </c>
      <c r="D12" s="7">
        <v>1</v>
      </c>
      <c r="E12" s="7">
        <v>1</v>
      </c>
      <c r="F12" s="7" t="s">
        <v>13</v>
      </c>
      <c r="G12" s="7">
        <v>0.1160812</v>
      </c>
      <c r="H12" s="7">
        <v>-0.69915389999999999</v>
      </c>
      <c r="I12" s="7">
        <v>-0.6676569</v>
      </c>
      <c r="J12" s="7">
        <v>-0.58106420000000003</v>
      </c>
      <c r="K12" s="7">
        <v>-0.51730969999999998</v>
      </c>
      <c r="L12" s="8">
        <v>-4.8644069999999998E-2</v>
      </c>
      <c r="M12" s="7">
        <v>-0.45162530000000001</v>
      </c>
      <c r="N12" s="7">
        <v>-0.39989140000000001</v>
      </c>
      <c r="O12" s="7">
        <v>-0.36836150000000001</v>
      </c>
      <c r="P12" s="8">
        <v>4.2605879999999999E-2</v>
      </c>
      <c r="Q12" s="7">
        <v>-0.30019040000000002</v>
      </c>
      <c r="R12" s="7">
        <v>-0.25396970000000002</v>
      </c>
      <c r="S12" s="7">
        <v>5.5694100000000003E-2</v>
      </c>
      <c r="T12" s="7">
        <v>-0.18551400000000001</v>
      </c>
      <c r="U12" s="7">
        <v>-0.1431279</v>
      </c>
      <c r="V12" s="8">
        <v>-9.8348140000000001E-2</v>
      </c>
    </row>
    <row r="13" spans="1:22" x14ac:dyDescent="0.25">
      <c r="A13" s="7">
        <v>12776.91</v>
      </c>
      <c r="B13" s="7">
        <v>9116</v>
      </c>
      <c r="C13" s="7">
        <v>6744</v>
      </c>
      <c r="D13" s="7">
        <v>1</v>
      </c>
      <c r="E13" s="7">
        <v>1</v>
      </c>
      <c r="F13" s="7" t="s">
        <v>13</v>
      </c>
      <c r="G13" s="8">
        <v>-7.6972960000000007E-2</v>
      </c>
      <c r="H13" s="8">
        <v>-4.4370649999999998E-2</v>
      </c>
      <c r="I13" s="7">
        <v>-0.10393810000000001</v>
      </c>
      <c r="J13" s="7">
        <v>-0.116231</v>
      </c>
      <c r="K13" s="7">
        <v>-0.12346890000000001</v>
      </c>
      <c r="L13" s="7">
        <v>-0.14115949999999999</v>
      </c>
      <c r="M13" s="7">
        <v>-0.1669197</v>
      </c>
      <c r="N13" s="7">
        <v>-0.16464709999999999</v>
      </c>
      <c r="O13" s="7">
        <v>-0.16590550000000001</v>
      </c>
      <c r="P13" s="7">
        <v>-0.15756609999999999</v>
      </c>
      <c r="Q13" s="7">
        <v>-0.14904400000000001</v>
      </c>
      <c r="R13" s="7">
        <v>-0.11644789999999999</v>
      </c>
      <c r="S13" s="8">
        <v>-8.2100870000000006E-2</v>
      </c>
      <c r="T13" s="8">
        <v>-3.7826060000000002E-2</v>
      </c>
      <c r="U13" s="8">
        <v>3.9895060000000003E-2</v>
      </c>
      <c r="V13" s="7">
        <v>0.1320229</v>
      </c>
    </row>
    <row r="14" spans="1:22" x14ac:dyDescent="0.25">
      <c r="A14" s="7" t="s">
        <v>289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</row>
    <row r="15" spans="1:22" x14ac:dyDescent="0.25">
      <c r="A15" s="7">
        <v>12792.23</v>
      </c>
      <c r="B15" s="7">
        <v>9116</v>
      </c>
      <c r="C15" s="7">
        <v>6742</v>
      </c>
      <c r="D15" s="7">
        <v>1</v>
      </c>
      <c r="E15" s="7">
        <v>1</v>
      </c>
      <c r="F15" s="7" t="s">
        <v>13</v>
      </c>
      <c r="G15" s="7">
        <v>0.281642</v>
      </c>
      <c r="H15" s="7">
        <v>-0.39100069999999998</v>
      </c>
      <c r="I15" s="7">
        <v>-0.44293070000000001</v>
      </c>
      <c r="J15" s="7">
        <v>-0.42500260000000001</v>
      </c>
      <c r="K15" s="7">
        <v>-0.39820240000000001</v>
      </c>
      <c r="L15" s="8">
        <v>-3.5623549999999997E-2</v>
      </c>
      <c r="M15" s="7">
        <v>-0.37931779999999998</v>
      </c>
      <c r="N15" s="7">
        <v>-0.33749770000000001</v>
      </c>
      <c r="O15" s="7">
        <v>-0.31847910000000001</v>
      </c>
      <c r="P15" s="8">
        <v>4.3109889999999998E-2</v>
      </c>
      <c r="Q15" s="7">
        <v>-0.26916689999999999</v>
      </c>
      <c r="R15" s="7">
        <v>-0.2262287</v>
      </c>
      <c r="S15" s="8">
        <v>5.4624560000000003E-2</v>
      </c>
      <c r="T15" s="7">
        <v>-0.17994930000000001</v>
      </c>
      <c r="U15" s="7">
        <v>-0.14129449999999999</v>
      </c>
      <c r="V15" s="8">
        <v>-9.907436E-2</v>
      </c>
    </row>
    <row r="16" spans="1:22" x14ac:dyDescent="0.25">
      <c r="A16" s="7">
        <v>12792.26</v>
      </c>
      <c r="B16" s="7">
        <v>9116</v>
      </c>
      <c r="C16" s="7">
        <v>6744</v>
      </c>
      <c r="D16" s="7">
        <v>1</v>
      </c>
      <c r="E16" s="7">
        <v>1</v>
      </c>
      <c r="F16" s="7" t="s">
        <v>13</v>
      </c>
      <c r="G16" s="8">
        <v>-7.8793530000000001E-2</v>
      </c>
      <c r="H16" s="8">
        <v>-3.1039710000000002E-2</v>
      </c>
      <c r="I16" s="7">
        <v>-0.1104927</v>
      </c>
      <c r="J16" s="7">
        <v>-0.12474970000000001</v>
      </c>
      <c r="K16" s="7">
        <v>-0.1401772</v>
      </c>
      <c r="L16" s="7">
        <v>-0.1621881</v>
      </c>
      <c r="M16" s="7">
        <v>-0.208756</v>
      </c>
      <c r="N16" s="7">
        <v>-0.2174654</v>
      </c>
      <c r="O16" s="7">
        <v>-0.22598840000000001</v>
      </c>
      <c r="P16" s="7">
        <v>-0.22590209999999999</v>
      </c>
      <c r="Q16" s="7">
        <v>-0.2306261</v>
      </c>
      <c r="R16" s="7">
        <v>-0.214139</v>
      </c>
      <c r="S16" s="7">
        <v>-0.18987180000000001</v>
      </c>
      <c r="T16" s="7">
        <v>-0.16333909999999999</v>
      </c>
      <c r="U16" s="7">
        <v>-0.109611</v>
      </c>
      <c r="V16" s="8">
        <v>-3.3906459999999999E-2</v>
      </c>
    </row>
    <row r="17" spans="1:22" x14ac:dyDescent="0.25">
      <c r="A17" s="7" t="s">
        <v>290</v>
      </c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</row>
    <row r="18" spans="1:22" x14ac:dyDescent="0.25">
      <c r="A18" s="7">
        <v>12802.26</v>
      </c>
      <c r="B18" s="7">
        <v>9116</v>
      </c>
      <c r="C18" s="7">
        <v>6742</v>
      </c>
      <c r="D18" s="7">
        <v>1</v>
      </c>
      <c r="E18" s="7">
        <v>1</v>
      </c>
      <c r="F18" s="7" t="s">
        <v>13</v>
      </c>
      <c r="G18" s="7">
        <v>0.31753540000000002</v>
      </c>
      <c r="H18" s="7">
        <v>-0.25966879999999998</v>
      </c>
      <c r="I18" s="7">
        <v>-0.34100910000000001</v>
      </c>
      <c r="J18" s="7">
        <v>-0.35262779999999999</v>
      </c>
      <c r="K18" s="7">
        <v>-0.34156609999999998</v>
      </c>
      <c r="L18" s="8">
        <v>-2.9372220000000001E-2</v>
      </c>
      <c r="M18" s="7">
        <v>-0.3443155</v>
      </c>
      <c r="N18" s="7">
        <v>-0.30857279999999998</v>
      </c>
      <c r="O18" s="7">
        <v>-0.29547449999999997</v>
      </c>
      <c r="P18" s="8">
        <v>4.4155119999999999E-2</v>
      </c>
      <c r="Q18" s="7">
        <v>-0.25399680000000002</v>
      </c>
      <c r="R18" s="7">
        <v>-0.22223229999999999</v>
      </c>
      <c r="S18" s="8">
        <v>5.3732870000000002E-2</v>
      </c>
      <c r="T18" s="7">
        <v>-0.17508029999999999</v>
      </c>
      <c r="U18" s="7">
        <v>-0.1401944</v>
      </c>
      <c r="V18" s="7">
        <v>-0.10034700000000001</v>
      </c>
    </row>
    <row r="19" spans="1:22" x14ac:dyDescent="0.25">
      <c r="A19" s="7">
        <v>12802.28</v>
      </c>
      <c r="B19" s="7">
        <v>9116</v>
      </c>
      <c r="C19" s="7">
        <v>6744</v>
      </c>
      <c r="D19" s="7">
        <v>1</v>
      </c>
      <c r="E19" s="7">
        <v>1</v>
      </c>
      <c r="F19" s="7" t="s">
        <v>13</v>
      </c>
      <c r="G19" s="8">
        <v>-8.1714629999999996E-2</v>
      </c>
      <c r="H19" s="8">
        <v>-3.2121179999999999E-2</v>
      </c>
      <c r="I19" s="7">
        <v>-0.1119494</v>
      </c>
      <c r="J19" s="7">
        <v>-0.1303153</v>
      </c>
      <c r="K19" s="7">
        <v>-0.1425381</v>
      </c>
      <c r="L19" s="7">
        <v>-0.17386960000000001</v>
      </c>
      <c r="M19" s="7">
        <v>-0.22810269999999999</v>
      </c>
      <c r="N19" s="7">
        <v>-0.24268200000000001</v>
      </c>
      <c r="O19" s="7">
        <v>-0.25499250000000001</v>
      </c>
      <c r="P19" s="7">
        <v>-0.259326</v>
      </c>
      <c r="Q19" s="7">
        <v>-0.27122590000000002</v>
      </c>
      <c r="R19" s="7">
        <v>-0.26451920000000001</v>
      </c>
      <c r="S19" s="7">
        <v>-0.24559310000000001</v>
      </c>
      <c r="T19" s="7">
        <v>-0.23046449999999999</v>
      </c>
      <c r="U19" s="7">
        <v>-0.1928763</v>
      </c>
      <c r="V19" s="7">
        <v>-0.13271859999999999</v>
      </c>
    </row>
    <row r="20" spans="1:22" x14ac:dyDescent="0.25">
      <c r="A20" t="s">
        <v>288</v>
      </c>
    </row>
    <row r="21" spans="1:22" x14ac:dyDescent="0.25">
      <c r="A21">
        <v>12776.89</v>
      </c>
      <c r="B21">
        <v>9116</v>
      </c>
      <c r="C21">
        <v>6742</v>
      </c>
      <c r="D21">
        <v>1</v>
      </c>
      <c r="E21">
        <v>1</v>
      </c>
      <c r="F21" t="s">
        <v>13</v>
      </c>
      <c r="G21">
        <v>0.1160812</v>
      </c>
      <c r="H21">
        <v>-0.69915389999999999</v>
      </c>
      <c r="I21">
        <v>-0.6676569</v>
      </c>
      <c r="J21">
        <v>-0.58106420000000003</v>
      </c>
      <c r="K21">
        <v>-0.51730969999999998</v>
      </c>
      <c r="L21" s="3">
        <v>-4.8644069999999998E-2</v>
      </c>
      <c r="M21">
        <v>-0.45162530000000001</v>
      </c>
      <c r="N21">
        <v>-0.39989140000000001</v>
      </c>
      <c r="O21">
        <v>-0.36836150000000001</v>
      </c>
      <c r="P21" s="3">
        <v>4.2605879999999999E-2</v>
      </c>
      <c r="Q21">
        <v>-0.30019040000000002</v>
      </c>
      <c r="R21">
        <v>-0.25396970000000002</v>
      </c>
      <c r="S21">
        <v>5.5694100000000003E-2</v>
      </c>
      <c r="T21">
        <v>-0.18551400000000001</v>
      </c>
      <c r="U21">
        <v>-0.1431279</v>
      </c>
      <c r="V21" s="3">
        <v>-9.8348140000000001E-2</v>
      </c>
    </row>
    <row r="22" spans="1:22" x14ac:dyDescent="0.25">
      <c r="A22">
        <v>12776.91</v>
      </c>
      <c r="B22">
        <v>9116</v>
      </c>
      <c r="C22">
        <v>6744</v>
      </c>
      <c r="D22">
        <v>1</v>
      </c>
      <c r="E22">
        <v>1</v>
      </c>
      <c r="F22" t="s">
        <v>13</v>
      </c>
      <c r="G22" s="3">
        <v>-7.6972960000000007E-2</v>
      </c>
      <c r="H22" s="3">
        <v>-4.4370649999999998E-2</v>
      </c>
      <c r="I22">
        <v>-0.10393810000000001</v>
      </c>
      <c r="J22">
        <v>-0.116231</v>
      </c>
      <c r="K22">
        <v>-0.12346890000000001</v>
      </c>
      <c r="L22">
        <v>-0.14115949999999999</v>
      </c>
      <c r="M22">
        <v>-0.1669197</v>
      </c>
      <c r="N22">
        <v>-0.16464709999999999</v>
      </c>
      <c r="O22">
        <v>-0.16590550000000001</v>
      </c>
      <c r="P22">
        <v>-0.15756609999999999</v>
      </c>
      <c r="Q22">
        <v>-0.14904400000000001</v>
      </c>
      <c r="R22">
        <v>-0.11644789999999999</v>
      </c>
      <c r="S22" s="3">
        <v>-8.2100870000000006E-2</v>
      </c>
      <c r="T22" s="3">
        <v>-3.7826060000000002E-2</v>
      </c>
      <c r="U22" s="3">
        <v>3.9895060000000003E-2</v>
      </c>
      <c r="V22">
        <v>0.1320229</v>
      </c>
    </row>
    <row r="23" spans="1:22" x14ac:dyDescent="0.25">
      <c r="A23" t="s">
        <v>289</v>
      </c>
    </row>
    <row r="24" spans="1:22" x14ac:dyDescent="0.25">
      <c r="A24">
        <v>12792.23</v>
      </c>
      <c r="B24">
        <v>9116</v>
      </c>
      <c r="C24">
        <v>6742</v>
      </c>
      <c r="D24">
        <v>1</v>
      </c>
      <c r="E24">
        <v>1</v>
      </c>
      <c r="F24" t="s">
        <v>13</v>
      </c>
      <c r="G24">
        <v>0.281642</v>
      </c>
      <c r="H24">
        <v>-0.39100069999999998</v>
      </c>
      <c r="I24">
        <v>-0.44293070000000001</v>
      </c>
      <c r="J24">
        <v>-0.42500260000000001</v>
      </c>
      <c r="K24">
        <v>-0.39820240000000001</v>
      </c>
      <c r="L24" s="3">
        <v>-3.5623549999999997E-2</v>
      </c>
      <c r="M24">
        <v>-0.37931779999999998</v>
      </c>
      <c r="N24">
        <v>-0.33749770000000001</v>
      </c>
      <c r="O24">
        <v>-0.31847910000000001</v>
      </c>
      <c r="P24" s="3">
        <v>4.3109889999999998E-2</v>
      </c>
      <c r="Q24">
        <v>-0.26916689999999999</v>
      </c>
      <c r="R24">
        <v>-0.2262287</v>
      </c>
      <c r="S24" s="3">
        <v>5.4624560000000003E-2</v>
      </c>
      <c r="T24">
        <v>-0.17994930000000001</v>
      </c>
      <c r="U24">
        <v>-0.14129449999999999</v>
      </c>
      <c r="V24" s="3">
        <v>-9.907436E-2</v>
      </c>
    </row>
    <row r="25" spans="1:22" x14ac:dyDescent="0.25">
      <c r="A25">
        <v>12792.26</v>
      </c>
      <c r="B25">
        <v>9116</v>
      </c>
      <c r="C25">
        <v>6744</v>
      </c>
      <c r="D25">
        <v>1</v>
      </c>
      <c r="E25">
        <v>1</v>
      </c>
      <c r="F25" t="s">
        <v>13</v>
      </c>
      <c r="G25" s="3">
        <v>-7.8793530000000001E-2</v>
      </c>
      <c r="H25" s="3">
        <v>-3.1039710000000002E-2</v>
      </c>
      <c r="I25">
        <v>-0.1104927</v>
      </c>
      <c r="J25">
        <v>-0.12474970000000001</v>
      </c>
      <c r="K25">
        <v>-0.1401772</v>
      </c>
      <c r="L25">
        <v>-0.1621881</v>
      </c>
      <c r="M25">
        <v>-0.208756</v>
      </c>
      <c r="N25">
        <v>-0.2174654</v>
      </c>
      <c r="O25">
        <v>-0.22598840000000001</v>
      </c>
      <c r="P25">
        <v>-0.22590209999999999</v>
      </c>
      <c r="Q25">
        <v>-0.2306261</v>
      </c>
      <c r="R25">
        <v>-0.214139</v>
      </c>
      <c r="S25">
        <v>-0.18987180000000001</v>
      </c>
      <c r="T25">
        <v>-0.16333909999999999</v>
      </c>
      <c r="U25">
        <v>-0.109611</v>
      </c>
      <c r="V25" s="3">
        <v>-3.3906459999999999E-2</v>
      </c>
    </row>
    <row r="26" spans="1:22" x14ac:dyDescent="0.25">
      <c r="A26" t="s">
        <v>290</v>
      </c>
    </row>
    <row r="27" spans="1:22" x14ac:dyDescent="0.25">
      <c r="A27">
        <v>12802.26</v>
      </c>
      <c r="B27">
        <v>9116</v>
      </c>
      <c r="C27">
        <v>6742</v>
      </c>
      <c r="D27">
        <v>1</v>
      </c>
      <c r="E27">
        <v>1</v>
      </c>
      <c r="F27" t="s">
        <v>13</v>
      </c>
      <c r="G27">
        <v>0.31753540000000002</v>
      </c>
      <c r="H27">
        <v>-0.25966879999999998</v>
      </c>
      <c r="I27">
        <v>-0.34100910000000001</v>
      </c>
      <c r="J27">
        <v>-0.35262779999999999</v>
      </c>
      <c r="K27">
        <v>-0.34156609999999998</v>
      </c>
      <c r="L27" s="3">
        <v>-2.9372220000000001E-2</v>
      </c>
      <c r="M27">
        <v>-0.3443155</v>
      </c>
      <c r="N27">
        <v>-0.30857279999999998</v>
      </c>
      <c r="O27">
        <v>-0.29547449999999997</v>
      </c>
      <c r="P27" s="3">
        <v>4.4155119999999999E-2</v>
      </c>
      <c r="Q27">
        <v>-0.25399680000000002</v>
      </c>
      <c r="R27">
        <v>-0.22223229999999999</v>
      </c>
      <c r="S27" s="3">
        <v>5.3732870000000002E-2</v>
      </c>
      <c r="T27">
        <v>-0.17508029999999999</v>
      </c>
      <c r="U27">
        <v>-0.1401944</v>
      </c>
      <c r="V27">
        <v>-0.10034700000000001</v>
      </c>
    </row>
    <row r="28" spans="1:22" x14ac:dyDescent="0.25">
      <c r="A28">
        <v>12802.28</v>
      </c>
      <c r="B28">
        <v>9116</v>
      </c>
      <c r="C28">
        <v>6744</v>
      </c>
      <c r="D28">
        <v>1</v>
      </c>
      <c r="E28">
        <v>1</v>
      </c>
      <c r="F28" t="s">
        <v>13</v>
      </c>
      <c r="G28" s="3">
        <v>-8.1714629999999996E-2</v>
      </c>
      <c r="H28" s="3">
        <v>-3.2121179999999999E-2</v>
      </c>
      <c r="I28">
        <v>-0.1119494</v>
      </c>
      <c r="J28">
        <v>-0.1303153</v>
      </c>
      <c r="K28">
        <v>-0.1425381</v>
      </c>
      <c r="L28">
        <v>-0.17386960000000001</v>
      </c>
      <c r="M28">
        <v>-0.22810269999999999</v>
      </c>
      <c r="N28">
        <v>-0.24268200000000001</v>
      </c>
      <c r="O28">
        <v>-0.25499250000000001</v>
      </c>
      <c r="P28">
        <v>-0.259326</v>
      </c>
      <c r="Q28">
        <v>-0.27122590000000002</v>
      </c>
      <c r="R28">
        <v>-0.26451920000000001</v>
      </c>
      <c r="S28">
        <v>-0.24559310000000001</v>
      </c>
      <c r="T28">
        <v>-0.23046449999999999</v>
      </c>
      <c r="U28">
        <v>-0.1928763</v>
      </c>
      <c r="V28">
        <v>-0.13271859999999999</v>
      </c>
    </row>
    <row r="29" spans="1:22" x14ac:dyDescent="0.25">
      <c r="A29" t="s">
        <v>291</v>
      </c>
    </row>
    <row r="30" spans="1:22" x14ac:dyDescent="0.25">
      <c r="A30">
        <v>12811.2</v>
      </c>
      <c r="B30">
        <v>9116</v>
      </c>
      <c r="C30">
        <v>6742</v>
      </c>
      <c r="D30">
        <v>1</v>
      </c>
      <c r="E30">
        <v>1</v>
      </c>
      <c r="F30" t="s">
        <v>13</v>
      </c>
      <c r="G30">
        <v>0.32374760000000002</v>
      </c>
      <c r="H30">
        <v>-0.13993839999999999</v>
      </c>
      <c r="I30">
        <v>-0.24384449999999999</v>
      </c>
      <c r="J30">
        <v>-0.28178979999999998</v>
      </c>
      <c r="K30">
        <v>-0.2845821</v>
      </c>
      <c r="L30" s="3">
        <v>-2.4510379999999998E-2</v>
      </c>
      <c r="M30">
        <v>-0.30723709999999999</v>
      </c>
      <c r="N30">
        <v>-0.27860590000000002</v>
      </c>
      <c r="O30">
        <v>-0.27004339999999999</v>
      </c>
      <c r="P30" s="3">
        <v>4.5567990000000003E-2</v>
      </c>
      <c r="Q30">
        <v>-0.23830889999999999</v>
      </c>
      <c r="R30">
        <v>-0.20902780000000001</v>
      </c>
      <c r="S30" s="3">
        <v>5.3019049999999998E-2</v>
      </c>
      <c r="T30">
        <v>-0.16551589999999999</v>
      </c>
      <c r="U30">
        <v>-0.13689470000000001</v>
      </c>
      <c r="V30">
        <v>-0.10114769999999999</v>
      </c>
    </row>
    <row r="31" spans="1:22" x14ac:dyDescent="0.25">
      <c r="A31">
        <v>12811.22</v>
      </c>
      <c r="B31">
        <v>9116</v>
      </c>
      <c r="C31">
        <v>6744</v>
      </c>
      <c r="D31">
        <v>1</v>
      </c>
      <c r="E31">
        <v>1</v>
      </c>
      <c r="F31" t="s">
        <v>13</v>
      </c>
      <c r="G31" s="3">
        <v>-8.3540439999999994E-2</v>
      </c>
      <c r="H31" s="3">
        <v>-3.266144E-2</v>
      </c>
      <c r="I31">
        <v>-0.10939219999999999</v>
      </c>
      <c r="J31">
        <v>-0.13083839999999999</v>
      </c>
      <c r="K31">
        <v>-0.1499839</v>
      </c>
      <c r="L31">
        <v>-0.18716859999999999</v>
      </c>
      <c r="M31">
        <v>-0.24500749999999999</v>
      </c>
      <c r="N31">
        <v>-0.26516010000000001</v>
      </c>
      <c r="O31">
        <v>-0.28169680000000002</v>
      </c>
      <c r="P31">
        <v>-0.2903519</v>
      </c>
      <c r="Q31">
        <v>-0.3098149</v>
      </c>
      <c r="R31">
        <v>-0.31218430000000003</v>
      </c>
      <c r="S31">
        <v>-0.30147269999999998</v>
      </c>
      <c r="T31">
        <v>-0.29831930000000001</v>
      </c>
      <c r="U31">
        <v>-0.28127380000000002</v>
      </c>
      <c r="V31">
        <v>-0.24244450000000001</v>
      </c>
    </row>
    <row r="32" spans="1:22" x14ac:dyDescent="0.25">
      <c r="A32" t="s">
        <v>292</v>
      </c>
    </row>
    <row r="33" spans="1:22" x14ac:dyDescent="0.25">
      <c r="A33">
        <v>12820.28</v>
      </c>
      <c r="B33">
        <v>9116</v>
      </c>
      <c r="C33">
        <v>6742</v>
      </c>
      <c r="D33">
        <v>1</v>
      </c>
      <c r="E33">
        <v>1</v>
      </c>
      <c r="F33" t="s">
        <v>13</v>
      </c>
      <c r="G33">
        <v>0.3136196</v>
      </c>
      <c r="H33" s="3">
        <v>-2.9503350000000001E-2</v>
      </c>
      <c r="I33">
        <v>-0.14805080000000001</v>
      </c>
      <c r="J33">
        <v>-0.20801829999999999</v>
      </c>
      <c r="K33">
        <v>-0.22500510000000001</v>
      </c>
      <c r="L33" s="3">
        <v>-1.9127370000000001E-2</v>
      </c>
      <c r="M33">
        <v>-0.26551340000000001</v>
      </c>
      <c r="N33">
        <v>-0.2444162</v>
      </c>
      <c r="O33">
        <v>-0.24128530000000001</v>
      </c>
      <c r="P33" s="3">
        <v>4.6613219999999997E-2</v>
      </c>
      <c r="Q33">
        <v>-0.21895220000000001</v>
      </c>
      <c r="R33">
        <v>-0.1930413</v>
      </c>
      <c r="S33" s="3">
        <v>5.3019049999999998E-2</v>
      </c>
      <c r="T33">
        <v>-0.15647320000000001</v>
      </c>
      <c r="U33">
        <v>-0.1273608</v>
      </c>
      <c r="V33" s="3">
        <v>-9.7874160000000002E-2</v>
      </c>
    </row>
    <row r="34" spans="1:22" x14ac:dyDescent="0.25">
      <c r="A34">
        <v>12820.3</v>
      </c>
      <c r="B34">
        <v>9116</v>
      </c>
      <c r="C34">
        <v>6744</v>
      </c>
      <c r="D34">
        <v>1</v>
      </c>
      <c r="E34">
        <v>1</v>
      </c>
      <c r="F34" t="s">
        <v>13</v>
      </c>
      <c r="G34" s="3">
        <v>-8.4818359999999995E-2</v>
      </c>
      <c r="H34">
        <v>-3.2975200000000003E-2</v>
      </c>
      <c r="I34">
        <v>-0.1055765</v>
      </c>
      <c r="J34">
        <v>-0.12979840000000001</v>
      </c>
      <c r="K34">
        <v>-0.1523457</v>
      </c>
      <c r="L34">
        <v>-0.1947179</v>
      </c>
      <c r="M34">
        <v>-0.26121519999999998</v>
      </c>
      <c r="N34">
        <v>-0.2857943</v>
      </c>
      <c r="O34">
        <v>-0.3058109</v>
      </c>
      <c r="P34">
        <v>-0.3200731</v>
      </c>
      <c r="Q34">
        <v>-0.34677740000000001</v>
      </c>
      <c r="R34">
        <v>-0.36054229999999998</v>
      </c>
      <c r="S34">
        <v>-0.35753679999999999</v>
      </c>
      <c r="T34">
        <v>-0.3685331</v>
      </c>
      <c r="U34">
        <v>-0.37460900000000003</v>
      </c>
      <c r="V34">
        <v>-0.36307620000000002</v>
      </c>
    </row>
    <row r="35" spans="1:22" x14ac:dyDescent="0.25">
      <c r="A35" t="s">
        <v>293</v>
      </c>
    </row>
    <row r="36" spans="1:22" x14ac:dyDescent="0.25">
      <c r="A36">
        <v>12829.67</v>
      </c>
      <c r="B36">
        <v>9116</v>
      </c>
      <c r="C36">
        <v>6742</v>
      </c>
      <c r="D36">
        <v>1</v>
      </c>
      <c r="E36">
        <v>1</v>
      </c>
      <c r="F36" t="s">
        <v>13</v>
      </c>
      <c r="G36">
        <v>0.2716846</v>
      </c>
      <c r="H36" s="3">
        <v>6.9397929999999997E-2</v>
      </c>
      <c r="I36" s="3">
        <v>-5.786562E-2</v>
      </c>
      <c r="J36">
        <v>-0.13579939999999999</v>
      </c>
      <c r="K36">
        <v>-0.16559360000000001</v>
      </c>
      <c r="L36" s="3">
        <v>-1.4092449999999999E-2</v>
      </c>
      <c r="M36">
        <v>-0.2228484</v>
      </c>
      <c r="N36">
        <v>-0.20916560000000001</v>
      </c>
      <c r="O36">
        <v>-0.2112627</v>
      </c>
      <c r="P36" s="3">
        <v>4.7657970000000001E-2</v>
      </c>
      <c r="Q36">
        <v>-0.19943759999999999</v>
      </c>
      <c r="R36">
        <v>-0.17718980000000001</v>
      </c>
      <c r="S36" s="3">
        <v>5.3023340000000002E-2</v>
      </c>
      <c r="T36">
        <v>-0.1479549</v>
      </c>
      <c r="U36">
        <v>-0.1183786</v>
      </c>
      <c r="V36" s="3">
        <v>-9.5075610000000005E-2</v>
      </c>
    </row>
    <row r="37" spans="1:22" x14ac:dyDescent="0.25">
      <c r="A37">
        <v>12829.69</v>
      </c>
      <c r="B37">
        <v>9116</v>
      </c>
      <c r="C37">
        <v>6744</v>
      </c>
      <c r="D37">
        <v>1</v>
      </c>
      <c r="E37">
        <v>1</v>
      </c>
      <c r="F37" t="s">
        <v>13</v>
      </c>
      <c r="G37" s="3">
        <v>-8.5000989999999998E-2</v>
      </c>
      <c r="H37" s="3">
        <v>-3.5678389999999997E-2</v>
      </c>
      <c r="I37">
        <v>-0.1026635</v>
      </c>
      <c r="J37">
        <v>-0.1287546</v>
      </c>
      <c r="K37">
        <v>-0.1548882</v>
      </c>
      <c r="L37">
        <v>-0.20046849999999999</v>
      </c>
      <c r="M37">
        <v>-0.2796884</v>
      </c>
      <c r="N37">
        <v>-0.30881449999999999</v>
      </c>
      <c r="O37">
        <v>-0.33246949999999997</v>
      </c>
      <c r="P37">
        <v>-0.35146090000000002</v>
      </c>
      <c r="Q37">
        <v>-0.38537500000000002</v>
      </c>
      <c r="R37">
        <v>-0.41181420000000002</v>
      </c>
      <c r="S37">
        <v>-0.41745850000000001</v>
      </c>
      <c r="T37">
        <v>-0.44420579999999998</v>
      </c>
      <c r="U37">
        <v>-0.4794717</v>
      </c>
      <c r="V37">
        <v>-0.5019517</v>
      </c>
    </row>
    <row r="38" spans="1:22" x14ac:dyDescent="0.25">
      <c r="A38" t="s">
        <v>294</v>
      </c>
    </row>
    <row r="39" spans="1:22" x14ac:dyDescent="0.25">
      <c r="A39">
        <v>12838.84</v>
      </c>
      <c r="B39">
        <v>9116</v>
      </c>
      <c r="C39">
        <v>6742</v>
      </c>
      <c r="D39">
        <v>1</v>
      </c>
      <c r="E39">
        <v>1</v>
      </c>
      <c r="F39" t="s">
        <v>13</v>
      </c>
      <c r="G39">
        <v>0.1935229</v>
      </c>
      <c r="H39">
        <v>0.1507435</v>
      </c>
      <c r="I39" s="3">
        <v>2.2680760000000001E-2</v>
      </c>
      <c r="J39" s="3">
        <v>-6.8539619999999996E-2</v>
      </c>
      <c r="K39">
        <v>-0.10875799999999999</v>
      </c>
      <c r="L39" s="3">
        <v>-9.5787049999999999E-3</v>
      </c>
      <c r="M39">
        <v>-0.1802473</v>
      </c>
      <c r="N39">
        <v>-0.17409179999999999</v>
      </c>
      <c r="O39">
        <v>-0.1810436</v>
      </c>
      <c r="P39" s="3">
        <v>4.8354630000000003E-2</v>
      </c>
      <c r="Q39">
        <v>-0.1790428</v>
      </c>
      <c r="R39">
        <v>-0.16173170000000001</v>
      </c>
      <c r="S39" s="3">
        <v>5.2489279999999999E-2</v>
      </c>
      <c r="T39">
        <v>-0.138042</v>
      </c>
      <c r="U39">
        <v>-0.1169128</v>
      </c>
      <c r="V39" s="3">
        <v>-8.8423730000000006E-2</v>
      </c>
    </row>
    <row r="40" spans="1:22" x14ac:dyDescent="0.25">
      <c r="A40">
        <v>12838.87</v>
      </c>
      <c r="B40">
        <v>9116</v>
      </c>
      <c r="C40">
        <v>6744</v>
      </c>
      <c r="D40">
        <v>1</v>
      </c>
      <c r="E40">
        <v>1</v>
      </c>
      <c r="F40" t="s">
        <v>13</v>
      </c>
      <c r="G40" s="3">
        <v>-8.3539959999999996E-2</v>
      </c>
      <c r="H40" s="3">
        <v>-3.9099689999999999E-2</v>
      </c>
      <c r="I40" s="3">
        <v>-9.8104479999999994E-2</v>
      </c>
      <c r="J40">
        <v>-0.12649060000000001</v>
      </c>
      <c r="K40">
        <v>-0.1557875</v>
      </c>
      <c r="L40">
        <v>-0.20226569999999999</v>
      </c>
      <c r="M40">
        <v>-0.29467539999999998</v>
      </c>
      <c r="N40">
        <v>-0.33348270000000002</v>
      </c>
      <c r="O40">
        <v>-0.35754819999999998</v>
      </c>
      <c r="P40">
        <v>-0.38174340000000001</v>
      </c>
      <c r="Q40">
        <v>-0.42289110000000002</v>
      </c>
      <c r="R40">
        <v>-0.46143909999999999</v>
      </c>
      <c r="S40">
        <v>-0.4773655</v>
      </c>
      <c r="T40">
        <v>-0.52040770000000003</v>
      </c>
      <c r="U40">
        <v>-0.58612390000000003</v>
      </c>
      <c r="V40">
        <v>-0.6484799</v>
      </c>
    </row>
    <row r="41" spans="1:22" x14ac:dyDescent="0.25">
      <c r="A41" t="s">
        <v>295</v>
      </c>
    </row>
    <row r="42" spans="1:22" x14ac:dyDescent="0.25">
      <c r="A42">
        <v>12848.4</v>
      </c>
      <c r="B42">
        <v>9116</v>
      </c>
      <c r="C42">
        <v>6742</v>
      </c>
      <c r="D42">
        <v>1</v>
      </c>
      <c r="E42">
        <v>1</v>
      </c>
      <c r="F42" t="s">
        <v>13</v>
      </c>
      <c r="G42" s="3">
        <v>8.0374719999999997E-2</v>
      </c>
      <c r="H42">
        <v>0.212954</v>
      </c>
      <c r="I42">
        <v>9.22761E-2</v>
      </c>
      <c r="J42" s="3">
        <v>-6.9546699999999996E-3</v>
      </c>
      <c r="K42" s="3">
        <v>-5.5362219999999997E-2</v>
      </c>
      <c r="L42" s="3">
        <v>-5.757809E-3</v>
      </c>
      <c r="M42">
        <v>-0.13833480000000001</v>
      </c>
      <c r="N42">
        <v>-0.1386685</v>
      </c>
      <c r="O42">
        <v>-0.14966389999999999</v>
      </c>
      <c r="P42" s="3">
        <v>4.8702719999999998E-2</v>
      </c>
      <c r="Q42">
        <v>-0.15724279999999999</v>
      </c>
      <c r="R42">
        <v>-0.14470050000000001</v>
      </c>
      <c r="S42">
        <v>5.15976E-2</v>
      </c>
      <c r="T42">
        <v>-0.12569430000000001</v>
      </c>
      <c r="U42">
        <v>-0.1090288</v>
      </c>
      <c r="V42" s="3">
        <v>-8.733225E-2</v>
      </c>
    </row>
    <row r="43" spans="1:22" x14ac:dyDescent="0.25">
      <c r="A43">
        <v>12848.42</v>
      </c>
      <c r="B43">
        <v>9116</v>
      </c>
      <c r="C43">
        <v>6744</v>
      </c>
      <c r="D43">
        <v>1</v>
      </c>
      <c r="E43">
        <v>1</v>
      </c>
      <c r="F43" t="s">
        <v>13</v>
      </c>
      <c r="G43" s="3">
        <v>-7.9705719999999994E-2</v>
      </c>
      <c r="H43" s="3">
        <v>-4.3965820000000003E-2</v>
      </c>
      <c r="I43" s="3">
        <v>-9.2642779999999994E-2</v>
      </c>
      <c r="J43">
        <v>-0.1219687</v>
      </c>
      <c r="K43">
        <v>-0.15524289999999999</v>
      </c>
      <c r="L43">
        <v>-0.20226569999999999</v>
      </c>
      <c r="M43">
        <v>-0.31070799999999998</v>
      </c>
      <c r="N43">
        <v>-0.35303020000000002</v>
      </c>
      <c r="O43">
        <v>-0.37663940000000001</v>
      </c>
      <c r="P43">
        <v>-0.41331289999999998</v>
      </c>
      <c r="Q43">
        <v>-0.4576788</v>
      </c>
      <c r="R43">
        <v>-0.50853539999999997</v>
      </c>
      <c r="S43">
        <v>-0.53428889999999996</v>
      </c>
      <c r="T43">
        <v>-0.59478470000000006</v>
      </c>
      <c r="U43">
        <v>-0.69223120000000005</v>
      </c>
      <c r="V43">
        <v>-0.79944800000000005</v>
      </c>
    </row>
    <row r="44" spans="1:22" x14ac:dyDescent="0.25">
      <c r="A44" t="s">
        <v>296</v>
      </c>
    </row>
    <row r="45" spans="1:22" x14ac:dyDescent="0.25">
      <c r="A45">
        <v>12857.74</v>
      </c>
      <c r="B45">
        <v>9116</v>
      </c>
      <c r="C45">
        <v>6742</v>
      </c>
      <c r="D45">
        <v>1</v>
      </c>
      <c r="E45">
        <v>1</v>
      </c>
      <c r="F45" t="s">
        <v>13</v>
      </c>
      <c r="G45" s="3">
        <v>-6.701994E-2</v>
      </c>
      <c r="H45">
        <v>0.25875429999999999</v>
      </c>
      <c r="I45">
        <v>0.15213869999999999</v>
      </c>
      <c r="J45" s="3">
        <v>4.9647810000000001E-2</v>
      </c>
      <c r="K45" s="3">
        <v>-5.0616259999999996E-3</v>
      </c>
      <c r="L45" s="3">
        <v>-2.4614329999999999E-3</v>
      </c>
      <c r="M45" s="3">
        <v>-9.8395819999999995E-2</v>
      </c>
      <c r="N45">
        <v>-0.104475</v>
      </c>
      <c r="O45">
        <v>-0.1191096</v>
      </c>
      <c r="P45" s="3">
        <v>4.994154E-2</v>
      </c>
      <c r="Q45">
        <v>-0.1350584</v>
      </c>
      <c r="R45">
        <v>-0.12589259999999999</v>
      </c>
      <c r="S45" s="3">
        <v>5.0884249999999999E-2</v>
      </c>
      <c r="T45">
        <v>-0.1138673</v>
      </c>
      <c r="U45" s="3">
        <v>-9.7462649999999998E-2</v>
      </c>
      <c r="V45" s="3">
        <v>-8.3519940000000001E-2</v>
      </c>
    </row>
    <row r="46" spans="1:22" x14ac:dyDescent="0.25">
      <c r="A46">
        <v>12857.77</v>
      </c>
      <c r="B46">
        <v>9116</v>
      </c>
      <c r="C46">
        <v>6744</v>
      </c>
      <c r="D46">
        <v>1</v>
      </c>
      <c r="E46">
        <v>1</v>
      </c>
      <c r="F46" t="s">
        <v>13</v>
      </c>
      <c r="G46" s="3">
        <v>-7.5871939999999999E-2</v>
      </c>
      <c r="H46" s="3">
        <v>-4.8468589999999999E-2</v>
      </c>
      <c r="I46" s="3">
        <v>-9.0281959999999994E-2</v>
      </c>
      <c r="J46">
        <v>-0.1200547</v>
      </c>
      <c r="K46">
        <v>-0.15543270000000001</v>
      </c>
      <c r="L46">
        <v>-0.2038932</v>
      </c>
      <c r="M46">
        <v>-0.32325700000000002</v>
      </c>
      <c r="N46">
        <v>-0.37295149999999999</v>
      </c>
      <c r="O46">
        <v>-0.4095259</v>
      </c>
      <c r="P46">
        <v>-0.44431969999999998</v>
      </c>
      <c r="Q46">
        <v>-0.49338670000000001</v>
      </c>
      <c r="R46">
        <v>-0.56449890000000003</v>
      </c>
      <c r="S46">
        <v>-0.59508229999999995</v>
      </c>
      <c r="T46">
        <v>-0.67809200000000003</v>
      </c>
      <c r="U46">
        <v>-0.8015814</v>
      </c>
      <c r="V46">
        <v>-0.96199659999999998</v>
      </c>
    </row>
    <row r="47" spans="1:22" x14ac:dyDescent="0.25">
      <c r="A47" t="s">
        <v>297</v>
      </c>
    </row>
    <row r="48" spans="1:22" x14ac:dyDescent="0.25">
      <c r="A48">
        <v>12867.5</v>
      </c>
      <c r="B48">
        <v>9116</v>
      </c>
      <c r="C48">
        <v>6742</v>
      </c>
      <c r="D48">
        <v>1</v>
      </c>
      <c r="E48">
        <v>1</v>
      </c>
      <c r="F48" t="s">
        <v>13</v>
      </c>
      <c r="G48">
        <v>-0.24667120000000001</v>
      </c>
      <c r="H48">
        <v>0.2856784</v>
      </c>
      <c r="I48">
        <v>0.1993885</v>
      </c>
      <c r="J48" s="3">
        <v>9.8179340000000004E-2</v>
      </c>
      <c r="K48" s="3">
        <v>3.9389130000000001E-2</v>
      </c>
      <c r="L48" s="3">
        <v>-2.02179E-4</v>
      </c>
      <c r="M48" s="3">
        <v>-6.0999869999999998E-2</v>
      </c>
      <c r="N48" s="3">
        <v>-7.325363E-2</v>
      </c>
      <c r="O48" s="3">
        <v>-9.1326240000000003E-2</v>
      </c>
      <c r="P48" s="3">
        <v>5.0271030000000001E-2</v>
      </c>
      <c r="Q48">
        <v>-0.11425780000000001</v>
      </c>
      <c r="R48">
        <v>-0.10956340000000001</v>
      </c>
      <c r="S48">
        <v>5.0170899999999997E-2</v>
      </c>
      <c r="T48">
        <v>-0.1023884</v>
      </c>
      <c r="U48" s="3">
        <v>-8.8296890000000003E-2</v>
      </c>
      <c r="V48" s="3">
        <v>-7.5448039999999994E-2</v>
      </c>
    </row>
    <row r="49" spans="1:22" x14ac:dyDescent="0.25">
      <c r="A49">
        <v>12867.52</v>
      </c>
      <c r="B49">
        <v>9116</v>
      </c>
      <c r="C49">
        <v>6744</v>
      </c>
      <c r="D49">
        <v>1</v>
      </c>
      <c r="E49">
        <v>1</v>
      </c>
      <c r="F49" t="s">
        <v>13</v>
      </c>
      <c r="G49" s="3">
        <v>-6.893349E-2</v>
      </c>
      <c r="H49" s="3">
        <v>-5.3332329999999997E-2</v>
      </c>
      <c r="I49">
        <v>-9.2284199999999997E-2</v>
      </c>
      <c r="J49">
        <v>-0.1212707</v>
      </c>
      <c r="K49">
        <v>-0.15870190000000001</v>
      </c>
      <c r="L49">
        <v>-0.20747760000000001</v>
      </c>
      <c r="M49">
        <v>-0.33667279999999999</v>
      </c>
      <c r="N49">
        <v>-0.39229629999999999</v>
      </c>
      <c r="O49">
        <v>-0.43364520000000001</v>
      </c>
      <c r="P49">
        <v>-0.47478199999999998</v>
      </c>
      <c r="Q49">
        <v>-0.54318710000000003</v>
      </c>
      <c r="R49">
        <v>-0.61431650000000004</v>
      </c>
      <c r="S49">
        <v>-0.64178939999999995</v>
      </c>
      <c r="T49">
        <v>-0.76504660000000002</v>
      </c>
      <c r="U49">
        <v>-0.91903880000000004</v>
      </c>
      <c r="V49">
        <v>-1.124725</v>
      </c>
    </row>
    <row r="50" spans="1:22" x14ac:dyDescent="0.25">
      <c r="A50" t="s">
        <v>298</v>
      </c>
    </row>
    <row r="51" spans="1:22" x14ac:dyDescent="0.25">
      <c r="A51">
        <v>12876.98</v>
      </c>
      <c r="B51">
        <v>9116</v>
      </c>
      <c r="C51">
        <v>6742</v>
      </c>
      <c r="D51">
        <v>1</v>
      </c>
      <c r="E51">
        <v>1</v>
      </c>
      <c r="F51" t="s">
        <v>13</v>
      </c>
      <c r="G51">
        <v>-0.44684309999999999</v>
      </c>
      <c r="H51">
        <v>0.29748869999999999</v>
      </c>
      <c r="I51">
        <v>0.2362242</v>
      </c>
      <c r="J51">
        <v>0.1399965</v>
      </c>
      <c r="K51" s="3">
        <v>7.9190250000000004E-2</v>
      </c>
      <c r="L51" s="3">
        <v>2.055645E-3</v>
      </c>
      <c r="M51" s="3">
        <v>-2.7213569999999999E-2</v>
      </c>
      <c r="N51">
        <v>-4.3611999999999998E-2</v>
      </c>
      <c r="O51" s="3">
        <v>-6.4649579999999998E-2</v>
      </c>
      <c r="P51" s="3">
        <v>5.096817E-2</v>
      </c>
      <c r="Q51" s="3">
        <v>-9.5419409999999996E-2</v>
      </c>
      <c r="R51" s="3">
        <v>-9.4268320000000003E-2</v>
      </c>
      <c r="S51">
        <v>4.9814700000000003E-2</v>
      </c>
      <c r="T51" s="3">
        <v>-9.2300889999999997E-2</v>
      </c>
      <c r="U51">
        <v>-8.0778600000000006E-2</v>
      </c>
      <c r="V51" s="3">
        <v>-6.8355079999999999E-2</v>
      </c>
    </row>
    <row r="52" spans="1:22" x14ac:dyDescent="0.25">
      <c r="A52">
        <v>12877</v>
      </c>
      <c r="B52">
        <v>9116</v>
      </c>
      <c r="C52">
        <v>6744</v>
      </c>
      <c r="D52">
        <v>1</v>
      </c>
      <c r="E52">
        <v>1</v>
      </c>
      <c r="F52" t="s">
        <v>13</v>
      </c>
      <c r="G52">
        <v>-6.3090800000000002E-2</v>
      </c>
      <c r="H52" s="3">
        <v>-5.567503E-2</v>
      </c>
      <c r="I52" s="3">
        <v>-8.9553359999999999E-2</v>
      </c>
      <c r="J52">
        <v>-0.11796619999999999</v>
      </c>
      <c r="K52">
        <v>-0.15852069999999999</v>
      </c>
      <c r="L52">
        <v>-0.20855570000000001</v>
      </c>
      <c r="M52">
        <v>-0.3485222</v>
      </c>
      <c r="N52">
        <v>-0.41038079999999999</v>
      </c>
      <c r="O52">
        <v>-0.45687719999999998</v>
      </c>
      <c r="P52">
        <v>-0.50376270000000001</v>
      </c>
      <c r="Q52">
        <v>-0.58104800000000001</v>
      </c>
      <c r="R52">
        <v>-0.6702747</v>
      </c>
      <c r="S52">
        <v>-0.72082710000000005</v>
      </c>
      <c r="T52">
        <v>-0.75994399999999995</v>
      </c>
      <c r="U52">
        <v>-1.050735</v>
      </c>
      <c r="V52">
        <v>-1.2918499999999999</v>
      </c>
    </row>
    <row r="53" spans="1:22" x14ac:dyDescent="0.25">
      <c r="A53" t="s">
        <v>299</v>
      </c>
    </row>
    <row r="54" spans="1:22" x14ac:dyDescent="0.25">
      <c r="A54">
        <v>12885.7</v>
      </c>
      <c r="B54">
        <v>9116</v>
      </c>
      <c r="C54">
        <v>6742</v>
      </c>
      <c r="D54">
        <v>1</v>
      </c>
      <c r="E54">
        <v>1</v>
      </c>
      <c r="F54" t="s">
        <v>13</v>
      </c>
      <c r="G54">
        <v>-0.65989540000000002</v>
      </c>
      <c r="H54">
        <v>0.29562379999999999</v>
      </c>
      <c r="I54">
        <v>0.26073499999999999</v>
      </c>
      <c r="J54">
        <v>0.17201140000000001</v>
      </c>
      <c r="K54">
        <v>0.110898</v>
      </c>
      <c r="L54" s="3">
        <v>4.6730039999999997E-3</v>
      </c>
      <c r="M54" s="3">
        <v>-7.0714949999999997E-4</v>
      </c>
      <c r="N54" s="3">
        <v>-2.046108E-2</v>
      </c>
      <c r="O54" s="3">
        <v>-4.4986720000000001E-2</v>
      </c>
      <c r="P54" s="3">
        <v>5.150938E-2</v>
      </c>
      <c r="Q54">
        <v>-8.1427100000000002E-2</v>
      </c>
      <c r="R54" s="3">
        <v>-8.4603789999999998E-2</v>
      </c>
      <c r="S54" s="3">
        <v>4.9635409999999998E-2</v>
      </c>
      <c r="T54" s="3">
        <v>-8.8474750000000005E-2</v>
      </c>
      <c r="U54" s="3">
        <v>-7.9497810000000002E-2</v>
      </c>
      <c r="V54">
        <v>-7.0806499999999994E-2</v>
      </c>
    </row>
    <row r="55" spans="1:22" x14ac:dyDescent="0.25">
      <c r="A55">
        <v>12885.73</v>
      </c>
      <c r="B55">
        <v>9116</v>
      </c>
      <c r="C55">
        <v>6744</v>
      </c>
      <c r="D55">
        <v>1</v>
      </c>
      <c r="E55">
        <v>1</v>
      </c>
      <c r="F55" t="s">
        <v>13</v>
      </c>
      <c r="G55" s="3">
        <v>-6.9304470000000007E-2</v>
      </c>
      <c r="H55" s="3">
        <v>-6.1980250000000001E-2</v>
      </c>
      <c r="I55" s="3">
        <v>-8.9007849999999999E-2</v>
      </c>
      <c r="J55">
        <v>-0.11553289999999999</v>
      </c>
      <c r="K55">
        <v>-0.15706680000000001</v>
      </c>
      <c r="L55">
        <v>-0.20891570000000001</v>
      </c>
      <c r="M55">
        <v>-0.36054560000000002</v>
      </c>
      <c r="N55">
        <v>-0.42883729999999998</v>
      </c>
      <c r="O55">
        <v>-0.47869489999999998</v>
      </c>
      <c r="P55">
        <v>-0.53164480000000003</v>
      </c>
      <c r="Q55">
        <v>-0.61675639999999998</v>
      </c>
      <c r="R55">
        <v>-0.72115609999999997</v>
      </c>
      <c r="S55">
        <v>-0.78493170000000001</v>
      </c>
      <c r="T55">
        <v>-0.8627129</v>
      </c>
      <c r="U55">
        <v>-1.2031050000000001</v>
      </c>
      <c r="V55">
        <v>-1.453732</v>
      </c>
    </row>
    <row r="56" spans="1:22" x14ac:dyDescent="0.25">
      <c r="A56" t="s">
        <v>300</v>
      </c>
    </row>
    <row r="57" spans="1:22" x14ac:dyDescent="0.25">
      <c r="A57">
        <v>12895.12</v>
      </c>
      <c r="B57">
        <v>9116</v>
      </c>
      <c r="C57">
        <v>6742</v>
      </c>
      <c r="D57">
        <v>1</v>
      </c>
      <c r="E57">
        <v>1</v>
      </c>
      <c r="F57" t="s">
        <v>13</v>
      </c>
      <c r="G57">
        <v>-0.87389899999999998</v>
      </c>
      <c r="H57">
        <v>0.28547529999999999</v>
      </c>
      <c r="I57">
        <v>0.27605299999999999</v>
      </c>
      <c r="J57">
        <v>0.19938900000000001</v>
      </c>
      <c r="K57">
        <v>0.1389813</v>
      </c>
      <c r="L57" s="3">
        <v>6.9150920000000003E-3</v>
      </c>
      <c r="M57" s="3">
        <v>2.704382E-2</v>
      </c>
      <c r="N57" s="3">
        <v>3.9181709999999998E-3</v>
      </c>
      <c r="O57">
        <v>-2.22621E-2</v>
      </c>
      <c r="P57" s="3">
        <v>5.1664349999999998E-2</v>
      </c>
      <c r="Q57" s="3">
        <v>-6.4578060000000007E-2</v>
      </c>
      <c r="R57" s="3">
        <v>-7.0655819999999994E-2</v>
      </c>
      <c r="S57" s="3">
        <v>4.910088E-2</v>
      </c>
      <c r="T57" s="3">
        <v>-8.0300330000000003E-2</v>
      </c>
      <c r="U57" s="3">
        <v>-7.4014659999999996E-2</v>
      </c>
      <c r="V57" s="3">
        <v>-6.9532389999999999E-2</v>
      </c>
    </row>
    <row r="58" spans="1:22" x14ac:dyDescent="0.25">
      <c r="A58">
        <v>12895.14</v>
      </c>
      <c r="B58">
        <v>9116</v>
      </c>
      <c r="C58">
        <v>6744</v>
      </c>
      <c r="D58">
        <v>1</v>
      </c>
      <c r="E58">
        <v>1</v>
      </c>
      <c r="F58" t="s">
        <v>13</v>
      </c>
      <c r="G58">
        <v>-7.2597499999999995E-2</v>
      </c>
      <c r="H58" s="3">
        <v>-6.5891270000000002E-2</v>
      </c>
      <c r="I58" s="3">
        <v>-8.6101059999999993E-2</v>
      </c>
      <c r="J58">
        <v>-0.109796</v>
      </c>
      <c r="K58">
        <v>-0.15091660000000001</v>
      </c>
      <c r="L58">
        <v>-0.2022767</v>
      </c>
      <c r="M58">
        <v>-0.36176819999999998</v>
      </c>
      <c r="N58">
        <v>-0.43473719999999999</v>
      </c>
      <c r="O58">
        <v>-0.48907610000000001</v>
      </c>
      <c r="P58">
        <v>-0.54623409999999994</v>
      </c>
      <c r="Q58">
        <v>-0.63853979999999999</v>
      </c>
      <c r="R58">
        <v>-0.75561480000000003</v>
      </c>
      <c r="S58">
        <v>-0.82899999999999996</v>
      </c>
      <c r="T58">
        <v>-0.94326540000000003</v>
      </c>
      <c r="U58">
        <v>-1.3318890000000001</v>
      </c>
      <c r="V58">
        <v>-1.5842160000000001</v>
      </c>
    </row>
    <row r="59" spans="1:22" x14ac:dyDescent="0.25">
      <c r="A59" t="s">
        <v>301</v>
      </c>
    </row>
    <row r="60" spans="1:22" x14ac:dyDescent="0.25">
      <c r="A60">
        <v>12904.45</v>
      </c>
      <c r="B60">
        <v>9116</v>
      </c>
      <c r="C60">
        <v>6742</v>
      </c>
      <c r="D60">
        <v>1</v>
      </c>
      <c r="E60">
        <v>1</v>
      </c>
      <c r="F60" t="s">
        <v>13</v>
      </c>
      <c r="G60">
        <v>-1.122241</v>
      </c>
      <c r="H60">
        <v>0.26661489999999999</v>
      </c>
      <c r="I60">
        <v>0.285748</v>
      </c>
      <c r="J60">
        <v>0.2227983</v>
      </c>
      <c r="K60">
        <v>0.16431380000000001</v>
      </c>
      <c r="L60" s="3">
        <v>8.6512570000000007E-3</v>
      </c>
      <c r="M60" s="3">
        <v>5.0220010000000002E-2</v>
      </c>
      <c r="N60" s="3">
        <v>2.356577E-2</v>
      </c>
      <c r="O60" s="3">
        <v>-3.952026E-3</v>
      </c>
      <c r="P60" s="3">
        <v>5.2361489999999997E-2</v>
      </c>
      <c r="Q60" s="3">
        <v>-5.2017689999999998E-2</v>
      </c>
      <c r="R60" s="3">
        <v>-6.126976E-2</v>
      </c>
      <c r="S60" s="3">
        <v>4.9279209999999997E-2</v>
      </c>
      <c r="T60" s="3">
        <v>-7.5952530000000004E-2</v>
      </c>
      <c r="U60" s="3">
        <v>-7.3281289999999999E-2</v>
      </c>
      <c r="V60">
        <v>-7.2078699999999996E-2</v>
      </c>
    </row>
    <row r="61" spans="1:22" x14ac:dyDescent="0.25">
      <c r="A61">
        <v>12904.47</v>
      </c>
      <c r="B61">
        <v>9116</v>
      </c>
      <c r="C61">
        <v>6744</v>
      </c>
      <c r="D61">
        <v>1</v>
      </c>
      <c r="E61">
        <v>1</v>
      </c>
      <c r="F61" t="s">
        <v>13</v>
      </c>
      <c r="G61" s="3">
        <v>-8.0814360000000002E-2</v>
      </c>
      <c r="H61">
        <v>-7.7424999999999994E-2</v>
      </c>
      <c r="I61" s="3">
        <v>-9.0288640000000003E-2</v>
      </c>
      <c r="J61">
        <v>-0.1099696</v>
      </c>
      <c r="K61">
        <v>-0.14891860000000001</v>
      </c>
      <c r="L61">
        <v>-0.2002997</v>
      </c>
      <c r="M61">
        <v>-0.37135269999999998</v>
      </c>
      <c r="N61">
        <v>-0.45044709999999999</v>
      </c>
      <c r="O61">
        <v>-0.50780440000000004</v>
      </c>
      <c r="P61">
        <v>-0.57078220000000002</v>
      </c>
      <c r="Q61">
        <v>-0.67241240000000002</v>
      </c>
      <c r="R61">
        <v>-0.80341720000000005</v>
      </c>
      <c r="S61">
        <v>-0.89028309999999999</v>
      </c>
      <c r="T61">
        <v>-1.0349060000000001</v>
      </c>
      <c r="U61">
        <v>-1.511307</v>
      </c>
      <c r="V61">
        <v>-1.7390779999999999</v>
      </c>
    </row>
    <row r="62" spans="1:22" x14ac:dyDescent="0.25">
      <c r="A62" t="s">
        <v>302</v>
      </c>
    </row>
    <row r="63" spans="1:22" x14ac:dyDescent="0.25">
      <c r="A63">
        <v>12913.94</v>
      </c>
      <c r="B63">
        <v>9116</v>
      </c>
      <c r="C63">
        <v>6742</v>
      </c>
      <c r="D63">
        <v>1</v>
      </c>
      <c r="E63">
        <v>1</v>
      </c>
      <c r="F63" t="s">
        <v>13</v>
      </c>
      <c r="G63">
        <v>-1.3488869999999999</v>
      </c>
      <c r="H63">
        <v>0.23730660000000001</v>
      </c>
      <c r="I63">
        <v>0.2861438</v>
      </c>
      <c r="J63">
        <v>0.23877619999999999</v>
      </c>
      <c r="K63">
        <v>0.18516450000000001</v>
      </c>
      <c r="L63" s="3">
        <v>1.040173E-2</v>
      </c>
      <c r="M63" s="3">
        <v>7.2906970000000001E-2</v>
      </c>
      <c r="N63" s="3">
        <v>4.4969559999999999E-2</v>
      </c>
      <c r="O63" s="3">
        <v>1.6437050000000002E-2</v>
      </c>
      <c r="P63" s="3">
        <v>5.237961E-2</v>
      </c>
      <c r="Q63" s="3">
        <v>-3.5975930000000003E-2</v>
      </c>
      <c r="R63" s="3">
        <v>-4.7487260000000003E-2</v>
      </c>
      <c r="S63">
        <v>4.8744200000000001E-2</v>
      </c>
      <c r="T63" s="3">
        <v>-6.6906930000000003E-2</v>
      </c>
      <c r="U63" s="3">
        <v>-6.7946909999999999E-2</v>
      </c>
      <c r="V63" s="3">
        <v>-7.1822639999999993E-2</v>
      </c>
    </row>
    <row r="64" spans="1:22" x14ac:dyDescent="0.25">
      <c r="A64">
        <v>12913.96</v>
      </c>
      <c r="B64">
        <v>9116</v>
      </c>
      <c r="C64">
        <v>6744</v>
      </c>
      <c r="D64">
        <v>1</v>
      </c>
      <c r="E64">
        <v>1</v>
      </c>
      <c r="F64" t="s">
        <v>13</v>
      </c>
      <c r="G64" s="3">
        <v>-8.5007669999999994E-2</v>
      </c>
      <c r="H64" s="3">
        <v>-8.4676269999999998E-2</v>
      </c>
      <c r="I64" s="3">
        <v>-9.3202110000000005E-2</v>
      </c>
      <c r="J64">
        <v>-0.1077056</v>
      </c>
      <c r="K64">
        <v>-0.14090349999999999</v>
      </c>
      <c r="L64">
        <v>-0.18824859999999999</v>
      </c>
      <c r="M64">
        <v>-0.36525010000000002</v>
      </c>
      <c r="N64">
        <v>-0.44839000000000001</v>
      </c>
      <c r="O64">
        <v>-0.50987819999999995</v>
      </c>
      <c r="P64">
        <v>-0.57685470000000005</v>
      </c>
      <c r="Q64">
        <v>-0.68267869999999997</v>
      </c>
      <c r="R64">
        <v>-0.82545040000000003</v>
      </c>
      <c r="S64">
        <v>-0.92153640000000003</v>
      </c>
      <c r="T64">
        <v>-1.0873619999999999</v>
      </c>
      <c r="U64">
        <v>-1.6873659999999999</v>
      </c>
      <c r="V64">
        <v>-1.837987</v>
      </c>
    </row>
    <row r="65" spans="1:22" x14ac:dyDescent="0.25">
      <c r="A65" t="s">
        <v>303</v>
      </c>
    </row>
    <row r="66" spans="1:22" x14ac:dyDescent="0.25">
      <c r="A66">
        <v>12923.01</v>
      </c>
      <c r="B66">
        <v>9116</v>
      </c>
      <c r="C66">
        <v>6742</v>
      </c>
      <c r="D66">
        <v>1</v>
      </c>
      <c r="E66">
        <v>1</v>
      </c>
      <c r="F66" t="s">
        <v>13</v>
      </c>
      <c r="G66">
        <v>-1.633559</v>
      </c>
      <c r="H66">
        <v>0.20487639999999999</v>
      </c>
      <c r="I66">
        <v>0.28808260000000002</v>
      </c>
      <c r="J66">
        <v>0.25564480000000001</v>
      </c>
      <c r="K66">
        <v>0.2039504</v>
      </c>
      <c r="L66" s="3">
        <v>1.265955E-2</v>
      </c>
      <c r="M66" s="3">
        <v>9.166241E-2</v>
      </c>
      <c r="N66" s="3">
        <v>6.0935019999999999E-2</v>
      </c>
      <c r="O66">
        <v>2.95167E-2</v>
      </c>
      <c r="P66" s="3">
        <v>5.237961E-2</v>
      </c>
      <c r="Q66" s="3">
        <v>-2.812576E-2</v>
      </c>
      <c r="R66" s="3">
        <v>-4.3489460000000001E-2</v>
      </c>
      <c r="S66">
        <v>4.8744200000000001E-2</v>
      </c>
      <c r="T66" s="3">
        <v>-6.8646429999999994E-2</v>
      </c>
      <c r="U66" s="3">
        <v>-7.2531219999999993E-2</v>
      </c>
      <c r="V66" s="3">
        <v>-8.0915929999999997E-2</v>
      </c>
    </row>
    <row r="67" spans="1:22" x14ac:dyDescent="0.25">
      <c r="A67">
        <v>12923.03</v>
      </c>
      <c r="B67">
        <v>9116</v>
      </c>
      <c r="C67">
        <v>6744</v>
      </c>
      <c r="D67">
        <v>1</v>
      </c>
      <c r="E67">
        <v>1</v>
      </c>
      <c r="F67" t="s">
        <v>13</v>
      </c>
      <c r="G67" s="3">
        <v>-9.9796770000000007E-2</v>
      </c>
      <c r="H67">
        <v>-0.1061206</v>
      </c>
      <c r="I67">
        <v>-0.1117735</v>
      </c>
      <c r="J67">
        <v>-0.12075089999999999</v>
      </c>
      <c r="K67">
        <v>-0.1450806</v>
      </c>
      <c r="L67">
        <v>-0.1878891</v>
      </c>
      <c r="M67">
        <v>-0.37518170000000001</v>
      </c>
      <c r="N67">
        <v>-0.46683839999999999</v>
      </c>
      <c r="O67">
        <v>-0.5329256</v>
      </c>
      <c r="P67">
        <v>-0.60693839999999999</v>
      </c>
      <c r="Q67">
        <v>-0.72306680000000001</v>
      </c>
      <c r="R67">
        <v>-0.88139250000000002</v>
      </c>
      <c r="S67">
        <v>-0.9929886</v>
      </c>
      <c r="T67">
        <v>-1.1880919999999999</v>
      </c>
      <c r="U67">
        <v>-1.836522</v>
      </c>
      <c r="V67">
        <v>-2.0337139999999998</v>
      </c>
    </row>
    <row r="68" spans="1:22" x14ac:dyDescent="0.25">
      <c r="A68" t="s">
        <v>304</v>
      </c>
    </row>
    <row r="69" spans="1:22" x14ac:dyDescent="0.25">
      <c r="A69">
        <v>12932.4</v>
      </c>
      <c r="B69">
        <v>9116</v>
      </c>
      <c r="C69">
        <v>6742</v>
      </c>
      <c r="D69">
        <v>1</v>
      </c>
      <c r="E69">
        <v>1</v>
      </c>
      <c r="F69" t="s">
        <v>13</v>
      </c>
      <c r="G69">
        <v>-1.845442</v>
      </c>
      <c r="H69">
        <v>0.1701097</v>
      </c>
      <c r="I69">
        <v>0.28244019999999997</v>
      </c>
      <c r="J69">
        <v>0.26461459999999998</v>
      </c>
      <c r="K69">
        <v>0.21740200000000001</v>
      </c>
      <c r="L69" s="3">
        <v>1.387596E-2</v>
      </c>
      <c r="M69">
        <v>0.10703799999999999</v>
      </c>
      <c r="N69" s="3">
        <v>7.4620249999999999E-2</v>
      </c>
      <c r="O69" s="3">
        <v>4.2047019999999997E-2</v>
      </c>
      <c r="P69" s="3">
        <v>5.2883630000000001E-2</v>
      </c>
      <c r="Q69" s="3">
        <v>-1.8832680000000001E-2</v>
      </c>
      <c r="R69" s="3">
        <v>-3.7065979999999998E-2</v>
      </c>
      <c r="S69" s="3">
        <v>4.892254E-2</v>
      </c>
      <c r="T69" s="3">
        <v>-6.7603109999999994E-2</v>
      </c>
      <c r="U69" s="3">
        <v>-7.6014520000000002E-2</v>
      </c>
      <c r="V69" s="3">
        <v>-8.970976E-2</v>
      </c>
    </row>
    <row r="70" spans="1:22" x14ac:dyDescent="0.25">
      <c r="A70">
        <v>12932.42</v>
      </c>
      <c r="B70">
        <v>9116</v>
      </c>
      <c r="C70">
        <v>6744</v>
      </c>
      <c r="D70">
        <v>1</v>
      </c>
      <c r="E70">
        <v>1</v>
      </c>
      <c r="F70" t="s">
        <v>13</v>
      </c>
      <c r="G70">
        <v>-0.1169524</v>
      </c>
      <c r="H70">
        <v>-0.13282440000000001</v>
      </c>
      <c r="I70">
        <v>-0.1368914</v>
      </c>
      <c r="J70">
        <v>-0.14197109999999999</v>
      </c>
      <c r="K70">
        <v>-0.1541691</v>
      </c>
      <c r="L70">
        <v>-0.1787329</v>
      </c>
      <c r="M70">
        <v>-0.35897829999999997</v>
      </c>
      <c r="N70">
        <v>-0.45716089999999998</v>
      </c>
      <c r="O70">
        <v>-0.52751349999999997</v>
      </c>
      <c r="P70">
        <v>-0.60639189999999998</v>
      </c>
      <c r="Q70">
        <v>-0.7285161</v>
      </c>
      <c r="R70">
        <v>-0.89825299999999997</v>
      </c>
      <c r="S70">
        <v>-1.0186139999999999</v>
      </c>
      <c r="T70">
        <v>-1.2311810000000001</v>
      </c>
      <c r="U70">
        <v>-1.8297330000000001</v>
      </c>
      <c r="V70">
        <v>-2.1581299999999999</v>
      </c>
    </row>
    <row r="71" spans="1:22" x14ac:dyDescent="0.25">
      <c r="A71" t="s">
        <v>305</v>
      </c>
    </row>
    <row r="72" spans="1:22" x14ac:dyDescent="0.25">
      <c r="A72">
        <v>12942.02</v>
      </c>
      <c r="B72">
        <v>9116</v>
      </c>
      <c r="C72">
        <v>6742</v>
      </c>
      <c r="D72">
        <v>1</v>
      </c>
      <c r="E72">
        <v>1</v>
      </c>
      <c r="F72" t="s">
        <v>13</v>
      </c>
      <c r="G72">
        <v>-1.62795</v>
      </c>
      <c r="H72">
        <v>0.19499349999999999</v>
      </c>
      <c r="I72">
        <v>0.28596779999999999</v>
      </c>
      <c r="J72">
        <v>0.2584147</v>
      </c>
      <c r="K72">
        <v>0.2091393</v>
      </c>
      <c r="L72" s="3">
        <v>1.3181689999999999E-2</v>
      </c>
      <c r="M72" s="3">
        <v>9.7476010000000002E-2</v>
      </c>
      <c r="N72" s="3">
        <v>6.4796450000000005E-2</v>
      </c>
      <c r="O72" s="3">
        <v>3.1663419999999998E-2</v>
      </c>
      <c r="P72" s="3">
        <v>5.237961E-2</v>
      </c>
      <c r="Q72" s="3">
        <v>-3.192234E-2</v>
      </c>
      <c r="R72" s="3">
        <v>-5.3756709999999999E-2</v>
      </c>
      <c r="S72" s="3">
        <v>4.7496320000000002E-2</v>
      </c>
      <c r="T72" s="3">
        <v>-9.5432279999999994E-2</v>
      </c>
      <c r="U72">
        <v>-0.1132364</v>
      </c>
      <c r="V72">
        <v>-0.14451839999999999</v>
      </c>
    </row>
    <row r="73" spans="1:22" x14ac:dyDescent="0.25">
      <c r="A73">
        <v>12942.05</v>
      </c>
      <c r="B73">
        <v>9116</v>
      </c>
      <c r="C73">
        <v>6744</v>
      </c>
      <c r="D73">
        <v>1</v>
      </c>
      <c r="E73">
        <v>1</v>
      </c>
      <c r="F73" t="s">
        <v>13</v>
      </c>
      <c r="G73">
        <v>-0.19236139999999999</v>
      </c>
      <c r="H73">
        <v>-0.227406</v>
      </c>
      <c r="I73">
        <v>-0.26212259999999998</v>
      </c>
      <c r="J73">
        <v>-0.28057720000000003</v>
      </c>
      <c r="K73">
        <v>-0.3023129</v>
      </c>
      <c r="L73">
        <v>-0.3210459</v>
      </c>
      <c r="M73">
        <v>-0.30269380000000001</v>
      </c>
      <c r="N73">
        <v>-0.29438969999999998</v>
      </c>
      <c r="O73">
        <v>-0.30630350000000001</v>
      </c>
      <c r="P73">
        <v>-0.35220479999999998</v>
      </c>
      <c r="Q73">
        <v>-0.47201589999999999</v>
      </c>
      <c r="R73">
        <v>-0.65324689999999996</v>
      </c>
      <c r="S73">
        <v>-0.77246709999999996</v>
      </c>
      <c r="T73">
        <v>-0.96292259999999996</v>
      </c>
      <c r="U73">
        <v>-1.5115000000000001</v>
      </c>
      <c r="V73">
        <v>-1.746481</v>
      </c>
    </row>
    <row r="74" spans="1:22" x14ac:dyDescent="0.25">
      <c r="A74" t="s">
        <v>306</v>
      </c>
    </row>
    <row r="75" spans="1:22" x14ac:dyDescent="0.25">
      <c r="A75">
        <v>12951.59</v>
      </c>
      <c r="B75">
        <v>9116</v>
      </c>
      <c r="C75">
        <v>6742</v>
      </c>
      <c r="D75">
        <v>1</v>
      </c>
      <c r="E75">
        <v>1</v>
      </c>
      <c r="F75" t="s">
        <v>13</v>
      </c>
      <c r="G75">
        <v>-0.3327446</v>
      </c>
      <c r="H75">
        <v>0.28611950000000003</v>
      </c>
      <c r="I75">
        <v>0.26622489999999999</v>
      </c>
      <c r="J75">
        <v>0.1986861</v>
      </c>
      <c r="K75">
        <v>0.1464038</v>
      </c>
      <c r="L75" s="3">
        <v>7.2765349999999998E-3</v>
      </c>
      <c r="M75" s="3">
        <v>4.1566369999999998E-2</v>
      </c>
      <c r="N75" s="3">
        <v>1.6551969999999999E-2</v>
      </c>
      <c r="O75">
        <v>-1.38526E-2</v>
      </c>
      <c r="P75">
        <v>5.1508900000000003E-2</v>
      </c>
      <c r="Q75" s="3">
        <v>-7.2569369999999994E-2</v>
      </c>
      <c r="R75" s="3">
        <v>-9.2865939999999994E-2</v>
      </c>
      <c r="S75" s="3">
        <v>4.7139639999999997E-2</v>
      </c>
      <c r="T75">
        <v>-0.13978199999999999</v>
      </c>
      <c r="U75">
        <v>-0.16145709999999999</v>
      </c>
      <c r="V75">
        <v>-0.1983461</v>
      </c>
    </row>
    <row r="76" spans="1:22" x14ac:dyDescent="0.25">
      <c r="A76">
        <v>12951.61</v>
      </c>
      <c r="B76">
        <v>9116</v>
      </c>
      <c r="C76">
        <v>6744</v>
      </c>
      <c r="D76">
        <v>1</v>
      </c>
      <c r="E76">
        <v>1</v>
      </c>
      <c r="F76" t="s">
        <v>13</v>
      </c>
      <c r="G76">
        <v>-0.24968000000000001</v>
      </c>
      <c r="H76">
        <v>-0.32540229999999998</v>
      </c>
      <c r="I76">
        <v>-0.34475040000000001</v>
      </c>
      <c r="J76">
        <v>-0.36351440000000002</v>
      </c>
      <c r="K76">
        <v>-0.37075140000000001</v>
      </c>
      <c r="L76">
        <v>-0.37332579999999999</v>
      </c>
      <c r="M76">
        <v>-0.34242489999999998</v>
      </c>
      <c r="N76">
        <v>-0.33038139999999999</v>
      </c>
      <c r="O76">
        <v>-0.32593820000000001</v>
      </c>
      <c r="P76">
        <v>-0.32063249999999999</v>
      </c>
      <c r="Q76">
        <v>-0.31726500000000002</v>
      </c>
      <c r="R76">
        <v>-0.31632379999999999</v>
      </c>
      <c r="S76">
        <v>-0.30921599999999999</v>
      </c>
      <c r="T76">
        <v>-0.32075690000000001</v>
      </c>
      <c r="U76">
        <v>-0.3212547</v>
      </c>
      <c r="V76">
        <v>-0.31683489999999997</v>
      </c>
    </row>
    <row r="77" spans="1:22" x14ac:dyDescent="0.25">
      <c r="A77" t="s">
        <v>307</v>
      </c>
    </row>
    <row r="78" spans="1:22" x14ac:dyDescent="0.25">
      <c r="A78">
        <v>12960.45</v>
      </c>
      <c r="B78">
        <v>9116</v>
      </c>
      <c r="C78">
        <v>6742</v>
      </c>
      <c r="D78">
        <v>1</v>
      </c>
      <c r="E78">
        <v>1</v>
      </c>
      <c r="F78" t="s">
        <v>13</v>
      </c>
      <c r="G78">
        <v>-0.36948730000000002</v>
      </c>
      <c r="H78">
        <v>0.28417439999999999</v>
      </c>
      <c r="I78">
        <v>0.27341460000000001</v>
      </c>
      <c r="J78">
        <v>0.21143819999999999</v>
      </c>
      <c r="K78">
        <v>0.15950780000000001</v>
      </c>
      <c r="L78">
        <v>8.4939000000000004E-3</v>
      </c>
      <c r="M78" s="3">
        <v>5.5394649999999997E-2</v>
      </c>
      <c r="N78" s="3">
        <v>2.847862E-2</v>
      </c>
      <c r="O78" s="3">
        <v>-2.8271680000000001E-3</v>
      </c>
      <c r="P78" s="3">
        <v>5.150938E-2</v>
      </c>
      <c r="Q78" s="3">
        <v>-6.5097810000000006E-2</v>
      </c>
      <c r="R78" s="3">
        <v>-8.7504860000000004E-2</v>
      </c>
      <c r="S78" s="3">
        <v>4.6786309999999998E-2</v>
      </c>
      <c r="T78">
        <v>-0.13769390000000001</v>
      </c>
      <c r="U78">
        <v>-0.16181229999999999</v>
      </c>
      <c r="V78">
        <v>-0.20118240000000001</v>
      </c>
    </row>
    <row r="79" spans="1:22" x14ac:dyDescent="0.25">
      <c r="A79">
        <v>12960.48</v>
      </c>
      <c r="B79">
        <v>9116</v>
      </c>
      <c r="C79">
        <v>6744</v>
      </c>
      <c r="D79">
        <v>1</v>
      </c>
      <c r="E79">
        <v>1</v>
      </c>
      <c r="F79" t="s">
        <v>13</v>
      </c>
      <c r="G79">
        <v>-0.25479220000000002</v>
      </c>
      <c r="H79">
        <v>-0.33636379999999999</v>
      </c>
      <c r="I79">
        <v>-0.35129929999999998</v>
      </c>
      <c r="J79">
        <v>-0.36663200000000001</v>
      </c>
      <c r="K79">
        <v>-0.37150620000000001</v>
      </c>
      <c r="L79">
        <v>-0.37206410000000001</v>
      </c>
      <c r="M79">
        <v>-0.34137919999999999</v>
      </c>
      <c r="N79">
        <v>-0.3300362</v>
      </c>
      <c r="O79">
        <v>-0.3252583</v>
      </c>
      <c r="P79">
        <v>-0.3206406</v>
      </c>
      <c r="Q79">
        <v>-0.31797890000000001</v>
      </c>
      <c r="R79">
        <v>-0.31670429999999999</v>
      </c>
      <c r="S79">
        <v>-0.30974479999999999</v>
      </c>
      <c r="T79">
        <v>-0.31947039999999999</v>
      </c>
      <c r="U79">
        <v>-0.3201466</v>
      </c>
      <c r="V79">
        <v>-0.31432579999999999</v>
      </c>
    </row>
    <row r="84" spans="7:39" x14ac:dyDescent="0.25">
      <c r="G84" s="5"/>
      <c r="H84" s="5" t="s">
        <v>44</v>
      </c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</row>
    <row r="85" spans="7:39" x14ac:dyDescent="0.25">
      <c r="G85" s="5" t="s">
        <v>45</v>
      </c>
      <c r="H85" s="5" t="s">
        <v>14</v>
      </c>
      <c r="I85" s="5" t="s">
        <v>15</v>
      </c>
      <c r="J85" s="5" t="s">
        <v>16</v>
      </c>
      <c r="K85" s="5" t="s">
        <v>17</v>
      </c>
      <c r="L85" s="5" t="s">
        <v>18</v>
      </c>
      <c r="M85" s="5" t="s">
        <v>19</v>
      </c>
      <c r="N85" s="5" t="s">
        <v>20</v>
      </c>
      <c r="O85" s="5" t="s">
        <v>21</v>
      </c>
      <c r="P85" s="5" t="s">
        <v>22</v>
      </c>
      <c r="Q85" s="5" t="s">
        <v>23</v>
      </c>
      <c r="R85" s="5" t="s">
        <v>24</v>
      </c>
      <c r="S85" s="5" t="s">
        <v>25</v>
      </c>
      <c r="T85" s="5" t="s">
        <v>26</v>
      </c>
      <c r="U85" s="5" t="s">
        <v>27</v>
      </c>
      <c r="V85" s="5" t="s">
        <v>28</v>
      </c>
      <c r="W85" s="5" t="s">
        <v>29</v>
      </c>
      <c r="X85" s="5" t="s">
        <v>46</v>
      </c>
      <c r="Y85" s="5" t="s">
        <v>47</v>
      </c>
      <c r="Z85" s="5" t="s">
        <v>48</v>
      </c>
      <c r="AA85" s="5" t="s">
        <v>49</v>
      </c>
      <c r="AB85" s="5" t="s">
        <v>50</v>
      </c>
      <c r="AC85" s="5" t="s">
        <v>51</v>
      </c>
      <c r="AD85" s="5" t="s">
        <v>52</v>
      </c>
      <c r="AE85" s="5" t="s">
        <v>53</v>
      </c>
      <c r="AF85" s="5" t="s">
        <v>54</v>
      </c>
      <c r="AG85" s="5" t="s">
        <v>55</v>
      </c>
      <c r="AH85" s="5" t="s">
        <v>56</v>
      </c>
      <c r="AI85" s="5" t="s">
        <v>57</v>
      </c>
      <c r="AJ85" s="5" t="s">
        <v>58</v>
      </c>
      <c r="AK85" s="5" t="s">
        <v>59</v>
      </c>
      <c r="AL85" s="5" t="s">
        <v>60</v>
      </c>
      <c r="AM85" s="5" t="s">
        <v>61</v>
      </c>
    </row>
    <row r="86" spans="7:39" x14ac:dyDescent="0.25">
      <c r="G86" s="5" t="s">
        <v>62</v>
      </c>
      <c r="H86" s="6">
        <f>G9</f>
        <v>-6.1464310000000004E-4</v>
      </c>
      <c r="I86" s="6">
        <f t="shared" ref="I86:W86" si="0">H9</f>
        <v>-6.4849850000000002E-4</v>
      </c>
      <c r="J86" s="6">
        <f t="shared" si="0"/>
        <v>-4.6157840000000001E-4</v>
      </c>
      <c r="K86" s="6">
        <f t="shared" si="0"/>
        <v>3.9632319999999999E-2</v>
      </c>
      <c r="L86" s="6">
        <f t="shared" si="0"/>
        <v>-2.5653839999999998E-4</v>
      </c>
      <c r="M86" s="6">
        <f t="shared" si="0"/>
        <v>-6.1178209999999998E-4</v>
      </c>
      <c r="N86" s="6">
        <f t="shared" si="0"/>
        <v>-1.2450219999999999E-3</v>
      </c>
      <c r="O86" s="6">
        <f t="shared" si="0"/>
        <v>-1.192093E-4</v>
      </c>
      <c r="P86" s="6">
        <f t="shared" si="0"/>
        <v>4.3630600000000002E-4</v>
      </c>
      <c r="Q86" s="6">
        <f t="shared" si="0"/>
        <v>4.3742179999999999E-2</v>
      </c>
      <c r="R86" s="6">
        <f t="shared" si="0"/>
        <v>7.2145460000000005E-4</v>
      </c>
      <c r="S86" s="6">
        <f t="shared" si="0"/>
        <v>9.8705290000000004E-5</v>
      </c>
      <c r="T86" s="6">
        <f t="shared" si="0"/>
        <v>1.8774030000000001E-2</v>
      </c>
      <c r="U86" s="6">
        <f t="shared" si="0"/>
        <v>-3.0565259999999999E-4</v>
      </c>
      <c r="V86" s="6">
        <f t="shared" si="0"/>
        <v>2.3031230000000001E-4</v>
      </c>
      <c r="W86" s="6">
        <f t="shared" si="0"/>
        <v>-1.416206E-4</v>
      </c>
      <c r="X86" s="6">
        <f>G10</f>
        <v>-6.5183639999999996E-4</v>
      </c>
      <c r="Y86" s="6">
        <f t="shared" ref="Y86:AM86" si="1">H10</f>
        <v>-1.280308E-3</v>
      </c>
      <c r="Z86" s="6">
        <f t="shared" si="1"/>
        <v>-8.8691710000000004E-5</v>
      </c>
      <c r="AA86" s="6">
        <f t="shared" si="1"/>
        <v>3.4039020000000003E-2</v>
      </c>
      <c r="AB86" s="6">
        <f t="shared" si="1"/>
        <v>-3.2901760000000001E-5</v>
      </c>
      <c r="AC86" s="6">
        <f t="shared" si="1"/>
        <v>-5.0067899999999997E-4</v>
      </c>
      <c r="AD86" s="6">
        <f t="shared" si="1"/>
        <v>-1.240253E-3</v>
      </c>
      <c r="AE86" s="6">
        <f t="shared" si="1"/>
        <v>9.9182129999999996E-5</v>
      </c>
      <c r="AF86" s="6">
        <f t="shared" si="1"/>
        <v>-9.5558169999999997E-4</v>
      </c>
      <c r="AG86" s="6">
        <f t="shared" si="1"/>
        <v>3.7574769999999997E-4</v>
      </c>
      <c r="AH86" s="6">
        <f t="shared" si="1"/>
        <v>2.7942659999999998E-4</v>
      </c>
      <c r="AI86" s="6">
        <f t="shared" si="1"/>
        <v>-3.8957599999999998E-4</v>
      </c>
      <c r="AJ86" s="6">
        <f t="shared" si="1"/>
        <v>-1.029968E-3</v>
      </c>
      <c r="AK86" s="6">
        <f t="shared" si="1"/>
        <v>3.9672850000000001E-4</v>
      </c>
      <c r="AL86" s="6">
        <f t="shared" si="1"/>
        <v>1.037121E-3</v>
      </c>
      <c r="AM86" s="6">
        <f t="shared" si="1"/>
        <v>2.0885470000000001E-4</v>
      </c>
    </row>
    <row r="87" spans="7:39" x14ac:dyDescent="0.25">
      <c r="G87" s="5">
        <v>-4</v>
      </c>
      <c r="H87" s="6">
        <f>G12</f>
        <v>0.1160812</v>
      </c>
      <c r="I87" s="6">
        <f t="shared" ref="I87:W87" si="2">H12</f>
        <v>-0.69915389999999999</v>
      </c>
      <c r="J87" s="6">
        <f t="shared" si="2"/>
        <v>-0.6676569</v>
      </c>
      <c r="K87" s="6">
        <f t="shared" si="2"/>
        <v>-0.58106420000000003</v>
      </c>
      <c r="L87" s="6">
        <f t="shared" si="2"/>
        <v>-0.51730969999999998</v>
      </c>
      <c r="M87" s="6">
        <f t="shared" si="2"/>
        <v>-4.8644069999999998E-2</v>
      </c>
      <c r="N87" s="6">
        <f t="shared" si="2"/>
        <v>-0.45162530000000001</v>
      </c>
      <c r="O87" s="6">
        <f t="shared" si="2"/>
        <v>-0.39989140000000001</v>
      </c>
      <c r="P87" s="6">
        <f t="shared" si="2"/>
        <v>-0.36836150000000001</v>
      </c>
      <c r="Q87" s="6">
        <f t="shared" si="2"/>
        <v>4.2605879999999999E-2</v>
      </c>
      <c r="R87" s="6">
        <f t="shared" si="2"/>
        <v>-0.30019040000000002</v>
      </c>
      <c r="S87" s="6">
        <f t="shared" si="2"/>
        <v>-0.25396970000000002</v>
      </c>
      <c r="T87" s="6">
        <f t="shared" si="2"/>
        <v>5.5694100000000003E-2</v>
      </c>
      <c r="U87" s="6">
        <f t="shared" si="2"/>
        <v>-0.18551400000000001</v>
      </c>
      <c r="V87" s="6">
        <f t="shared" si="2"/>
        <v>-0.1431279</v>
      </c>
      <c r="W87" s="6">
        <f t="shared" si="2"/>
        <v>-9.8348140000000001E-2</v>
      </c>
      <c r="X87" s="6">
        <f>G13</f>
        <v>-7.6972960000000007E-2</v>
      </c>
      <c r="Y87" s="6">
        <f t="shared" ref="Y87:AM87" si="3">H13</f>
        <v>-4.4370649999999998E-2</v>
      </c>
      <c r="Z87" s="6">
        <f t="shared" si="3"/>
        <v>-0.10393810000000001</v>
      </c>
      <c r="AA87" s="6">
        <f t="shared" si="3"/>
        <v>-0.116231</v>
      </c>
      <c r="AB87" s="6">
        <f t="shared" si="3"/>
        <v>-0.12346890000000001</v>
      </c>
      <c r="AC87" s="6">
        <f t="shared" si="3"/>
        <v>-0.14115949999999999</v>
      </c>
      <c r="AD87" s="6">
        <f t="shared" si="3"/>
        <v>-0.1669197</v>
      </c>
      <c r="AE87" s="6">
        <f t="shared" si="3"/>
        <v>-0.16464709999999999</v>
      </c>
      <c r="AF87" s="6">
        <f t="shared" si="3"/>
        <v>-0.16590550000000001</v>
      </c>
      <c r="AG87" s="6">
        <f t="shared" si="3"/>
        <v>-0.15756609999999999</v>
      </c>
      <c r="AH87" s="6">
        <f t="shared" si="3"/>
        <v>-0.14904400000000001</v>
      </c>
      <c r="AI87" s="6">
        <f t="shared" si="3"/>
        <v>-0.11644789999999999</v>
      </c>
      <c r="AJ87" s="6">
        <f t="shared" si="3"/>
        <v>-8.2100870000000006E-2</v>
      </c>
      <c r="AK87" s="6">
        <f t="shared" si="3"/>
        <v>-3.7826060000000002E-2</v>
      </c>
      <c r="AL87" s="6">
        <f t="shared" si="3"/>
        <v>3.9895060000000003E-2</v>
      </c>
      <c r="AM87" s="6">
        <f t="shared" si="3"/>
        <v>0.1320229</v>
      </c>
    </row>
    <row r="88" spans="7:39" x14ac:dyDescent="0.25">
      <c r="G88" s="5">
        <v>-3</v>
      </c>
      <c r="H88" s="6">
        <f>G15</f>
        <v>0.281642</v>
      </c>
      <c r="I88" s="6">
        <f t="shared" ref="I88:W88" si="4">H15</f>
        <v>-0.39100069999999998</v>
      </c>
      <c r="J88" s="6">
        <f t="shared" si="4"/>
        <v>-0.44293070000000001</v>
      </c>
      <c r="K88" s="6">
        <f t="shared" si="4"/>
        <v>-0.42500260000000001</v>
      </c>
      <c r="L88" s="6">
        <f t="shared" si="4"/>
        <v>-0.39820240000000001</v>
      </c>
      <c r="M88" s="6">
        <f t="shared" si="4"/>
        <v>-3.5623549999999997E-2</v>
      </c>
      <c r="N88" s="6">
        <f t="shared" si="4"/>
        <v>-0.37931779999999998</v>
      </c>
      <c r="O88" s="6">
        <f t="shared" si="4"/>
        <v>-0.33749770000000001</v>
      </c>
      <c r="P88" s="6">
        <f t="shared" si="4"/>
        <v>-0.31847910000000001</v>
      </c>
      <c r="Q88" s="6">
        <f t="shared" si="4"/>
        <v>4.3109889999999998E-2</v>
      </c>
      <c r="R88" s="6">
        <f t="shared" si="4"/>
        <v>-0.26916689999999999</v>
      </c>
      <c r="S88" s="6">
        <f t="shared" si="4"/>
        <v>-0.2262287</v>
      </c>
      <c r="T88" s="6">
        <f t="shared" si="4"/>
        <v>5.4624560000000003E-2</v>
      </c>
      <c r="U88" s="6">
        <f t="shared" si="4"/>
        <v>-0.17994930000000001</v>
      </c>
      <c r="V88" s="6">
        <f t="shared" si="4"/>
        <v>-0.14129449999999999</v>
      </c>
      <c r="W88" s="6">
        <f t="shared" si="4"/>
        <v>-9.907436E-2</v>
      </c>
      <c r="X88" s="6">
        <f>G16</f>
        <v>-7.8793530000000001E-2</v>
      </c>
      <c r="Y88" s="6">
        <f t="shared" ref="Y88:AM88" si="5">H16</f>
        <v>-3.1039710000000002E-2</v>
      </c>
      <c r="Z88" s="6">
        <f t="shared" si="5"/>
        <v>-0.1104927</v>
      </c>
      <c r="AA88" s="6">
        <f t="shared" si="5"/>
        <v>-0.12474970000000001</v>
      </c>
      <c r="AB88" s="6">
        <f t="shared" si="5"/>
        <v>-0.1401772</v>
      </c>
      <c r="AC88" s="6">
        <f t="shared" si="5"/>
        <v>-0.1621881</v>
      </c>
      <c r="AD88" s="6">
        <f t="shared" si="5"/>
        <v>-0.208756</v>
      </c>
      <c r="AE88" s="6">
        <f t="shared" si="5"/>
        <v>-0.2174654</v>
      </c>
      <c r="AF88" s="6">
        <f t="shared" si="5"/>
        <v>-0.22598840000000001</v>
      </c>
      <c r="AG88" s="6">
        <f t="shared" si="5"/>
        <v>-0.22590209999999999</v>
      </c>
      <c r="AH88" s="6">
        <f t="shared" si="5"/>
        <v>-0.2306261</v>
      </c>
      <c r="AI88" s="6">
        <f t="shared" si="5"/>
        <v>-0.214139</v>
      </c>
      <c r="AJ88" s="6">
        <f t="shared" si="5"/>
        <v>-0.18987180000000001</v>
      </c>
      <c r="AK88" s="6">
        <f t="shared" si="5"/>
        <v>-0.16333909999999999</v>
      </c>
      <c r="AL88" s="6">
        <f t="shared" si="5"/>
        <v>-0.109611</v>
      </c>
      <c r="AM88" s="6">
        <f t="shared" si="5"/>
        <v>-3.3906459999999999E-2</v>
      </c>
    </row>
    <row r="89" spans="7:39" x14ac:dyDescent="0.25">
      <c r="G89" s="5">
        <v>-2</v>
      </c>
      <c r="H89" s="6">
        <f>G18</f>
        <v>0.31753540000000002</v>
      </c>
      <c r="I89" s="6">
        <f t="shared" ref="I89:W89" si="6">H18</f>
        <v>-0.25966879999999998</v>
      </c>
      <c r="J89" s="6">
        <f t="shared" si="6"/>
        <v>-0.34100910000000001</v>
      </c>
      <c r="K89" s="6">
        <f t="shared" si="6"/>
        <v>-0.35262779999999999</v>
      </c>
      <c r="L89" s="6">
        <f t="shared" si="6"/>
        <v>-0.34156609999999998</v>
      </c>
      <c r="M89" s="6">
        <f t="shared" si="6"/>
        <v>-2.9372220000000001E-2</v>
      </c>
      <c r="N89" s="6">
        <f t="shared" si="6"/>
        <v>-0.3443155</v>
      </c>
      <c r="O89" s="6">
        <f t="shared" si="6"/>
        <v>-0.30857279999999998</v>
      </c>
      <c r="P89" s="6">
        <f t="shared" si="6"/>
        <v>-0.29547449999999997</v>
      </c>
      <c r="Q89" s="6">
        <f t="shared" si="6"/>
        <v>4.4155119999999999E-2</v>
      </c>
      <c r="R89" s="6">
        <f t="shared" si="6"/>
        <v>-0.25399680000000002</v>
      </c>
      <c r="S89" s="6">
        <f t="shared" si="6"/>
        <v>-0.22223229999999999</v>
      </c>
      <c r="T89" s="6">
        <f t="shared" si="6"/>
        <v>5.3732870000000002E-2</v>
      </c>
      <c r="U89" s="6">
        <f t="shared" si="6"/>
        <v>-0.17508029999999999</v>
      </c>
      <c r="V89" s="6">
        <f t="shared" si="6"/>
        <v>-0.1401944</v>
      </c>
      <c r="W89" s="6">
        <f t="shared" si="6"/>
        <v>-0.10034700000000001</v>
      </c>
      <c r="X89" s="6">
        <f>G19</f>
        <v>-8.1714629999999996E-2</v>
      </c>
      <c r="Y89" s="6">
        <f t="shared" ref="Y89:AM89" si="7">H19</f>
        <v>-3.2121179999999999E-2</v>
      </c>
      <c r="Z89" s="6">
        <f t="shared" si="7"/>
        <v>-0.1119494</v>
      </c>
      <c r="AA89" s="6">
        <f t="shared" si="7"/>
        <v>-0.1303153</v>
      </c>
      <c r="AB89" s="6">
        <f t="shared" si="7"/>
        <v>-0.1425381</v>
      </c>
      <c r="AC89" s="6">
        <f t="shared" si="7"/>
        <v>-0.17386960000000001</v>
      </c>
      <c r="AD89" s="6">
        <f t="shared" si="7"/>
        <v>-0.22810269999999999</v>
      </c>
      <c r="AE89" s="6">
        <f t="shared" si="7"/>
        <v>-0.24268200000000001</v>
      </c>
      <c r="AF89" s="6">
        <f t="shared" si="7"/>
        <v>-0.25499250000000001</v>
      </c>
      <c r="AG89" s="6">
        <f t="shared" si="7"/>
        <v>-0.259326</v>
      </c>
      <c r="AH89" s="6">
        <f t="shared" si="7"/>
        <v>-0.27122590000000002</v>
      </c>
      <c r="AI89" s="6">
        <f t="shared" si="7"/>
        <v>-0.26451920000000001</v>
      </c>
      <c r="AJ89" s="6">
        <f t="shared" si="7"/>
        <v>-0.24559310000000001</v>
      </c>
      <c r="AK89" s="6">
        <f t="shared" si="7"/>
        <v>-0.23046449999999999</v>
      </c>
      <c r="AL89" s="6">
        <f t="shared" si="7"/>
        <v>-0.1928763</v>
      </c>
      <c r="AM89" s="6">
        <f t="shared" si="7"/>
        <v>-0.13271859999999999</v>
      </c>
    </row>
    <row r="90" spans="7:39" x14ac:dyDescent="0.25">
      <c r="G90" s="5">
        <v>-1</v>
      </c>
      <c r="H90" s="6">
        <f>G21</f>
        <v>0.1160812</v>
      </c>
      <c r="I90" s="6">
        <f t="shared" ref="I90:W90" si="8">H21</f>
        <v>-0.69915389999999999</v>
      </c>
      <c r="J90" s="6">
        <f t="shared" si="8"/>
        <v>-0.6676569</v>
      </c>
      <c r="K90" s="6">
        <f t="shared" si="8"/>
        <v>-0.58106420000000003</v>
      </c>
      <c r="L90" s="6">
        <f t="shared" si="8"/>
        <v>-0.51730969999999998</v>
      </c>
      <c r="M90" s="6">
        <f t="shared" si="8"/>
        <v>-4.8644069999999998E-2</v>
      </c>
      <c r="N90" s="6">
        <f t="shared" si="8"/>
        <v>-0.45162530000000001</v>
      </c>
      <c r="O90" s="6">
        <f t="shared" si="8"/>
        <v>-0.39989140000000001</v>
      </c>
      <c r="P90" s="6">
        <f t="shared" si="8"/>
        <v>-0.36836150000000001</v>
      </c>
      <c r="Q90" s="6">
        <f t="shared" si="8"/>
        <v>4.2605879999999999E-2</v>
      </c>
      <c r="R90" s="6">
        <f t="shared" si="8"/>
        <v>-0.30019040000000002</v>
      </c>
      <c r="S90" s="6">
        <f t="shared" si="8"/>
        <v>-0.25396970000000002</v>
      </c>
      <c r="T90" s="6">
        <f t="shared" si="8"/>
        <v>5.5694100000000003E-2</v>
      </c>
      <c r="U90" s="6">
        <f t="shared" si="8"/>
        <v>-0.18551400000000001</v>
      </c>
      <c r="V90" s="6">
        <f t="shared" si="8"/>
        <v>-0.1431279</v>
      </c>
      <c r="W90" s="6">
        <f t="shared" si="8"/>
        <v>-9.8348140000000001E-2</v>
      </c>
      <c r="X90" s="6">
        <f>G22</f>
        <v>-7.6972960000000007E-2</v>
      </c>
      <c r="Y90" s="6">
        <f t="shared" ref="Y90:AM90" si="9">H22</f>
        <v>-4.4370649999999998E-2</v>
      </c>
      <c r="Z90" s="6">
        <f t="shared" si="9"/>
        <v>-0.10393810000000001</v>
      </c>
      <c r="AA90" s="6">
        <f t="shared" si="9"/>
        <v>-0.116231</v>
      </c>
      <c r="AB90" s="6">
        <f t="shared" si="9"/>
        <v>-0.12346890000000001</v>
      </c>
      <c r="AC90" s="6">
        <f t="shared" si="9"/>
        <v>-0.14115949999999999</v>
      </c>
      <c r="AD90" s="6">
        <f t="shared" si="9"/>
        <v>-0.1669197</v>
      </c>
      <c r="AE90" s="6">
        <f t="shared" si="9"/>
        <v>-0.16464709999999999</v>
      </c>
      <c r="AF90" s="6">
        <f t="shared" si="9"/>
        <v>-0.16590550000000001</v>
      </c>
      <c r="AG90" s="6">
        <f t="shared" si="9"/>
        <v>-0.15756609999999999</v>
      </c>
      <c r="AH90" s="6">
        <f t="shared" si="9"/>
        <v>-0.14904400000000001</v>
      </c>
      <c r="AI90" s="6">
        <f t="shared" si="9"/>
        <v>-0.11644789999999999</v>
      </c>
      <c r="AJ90" s="6">
        <f t="shared" si="9"/>
        <v>-8.2100870000000006E-2</v>
      </c>
      <c r="AK90" s="6">
        <f t="shared" si="9"/>
        <v>-3.7826060000000002E-2</v>
      </c>
      <c r="AL90" s="6">
        <f t="shared" si="9"/>
        <v>3.9895060000000003E-2</v>
      </c>
      <c r="AM90" s="6">
        <f t="shared" si="9"/>
        <v>0.1320229</v>
      </c>
    </row>
    <row r="91" spans="7:39" x14ac:dyDescent="0.25">
      <c r="G91" s="5">
        <v>0</v>
      </c>
      <c r="H91" s="6">
        <f>G24</f>
        <v>0.281642</v>
      </c>
      <c r="I91" s="6">
        <f t="shared" ref="I91:W91" si="10">H24</f>
        <v>-0.39100069999999998</v>
      </c>
      <c r="J91" s="6">
        <f t="shared" si="10"/>
        <v>-0.44293070000000001</v>
      </c>
      <c r="K91" s="6">
        <f t="shared" si="10"/>
        <v>-0.42500260000000001</v>
      </c>
      <c r="L91" s="6">
        <f t="shared" si="10"/>
        <v>-0.39820240000000001</v>
      </c>
      <c r="M91" s="6">
        <f t="shared" si="10"/>
        <v>-3.5623549999999997E-2</v>
      </c>
      <c r="N91" s="6">
        <f t="shared" si="10"/>
        <v>-0.37931779999999998</v>
      </c>
      <c r="O91" s="6">
        <f t="shared" si="10"/>
        <v>-0.33749770000000001</v>
      </c>
      <c r="P91" s="6">
        <f t="shared" si="10"/>
        <v>-0.31847910000000001</v>
      </c>
      <c r="Q91" s="6">
        <f t="shared" si="10"/>
        <v>4.3109889999999998E-2</v>
      </c>
      <c r="R91" s="6">
        <f t="shared" si="10"/>
        <v>-0.26916689999999999</v>
      </c>
      <c r="S91" s="6">
        <f t="shared" si="10"/>
        <v>-0.2262287</v>
      </c>
      <c r="T91" s="6">
        <f t="shared" si="10"/>
        <v>5.4624560000000003E-2</v>
      </c>
      <c r="U91" s="6">
        <f t="shared" si="10"/>
        <v>-0.17994930000000001</v>
      </c>
      <c r="V91" s="6">
        <f t="shared" si="10"/>
        <v>-0.14129449999999999</v>
      </c>
      <c r="W91" s="6">
        <f t="shared" si="10"/>
        <v>-9.907436E-2</v>
      </c>
      <c r="X91" s="6">
        <f>G25</f>
        <v>-7.8793530000000001E-2</v>
      </c>
      <c r="Y91" s="6">
        <f t="shared" ref="Y91:AM91" si="11">H25</f>
        <v>-3.1039710000000002E-2</v>
      </c>
      <c r="Z91" s="6">
        <f t="shared" si="11"/>
        <v>-0.1104927</v>
      </c>
      <c r="AA91" s="6">
        <f t="shared" si="11"/>
        <v>-0.12474970000000001</v>
      </c>
      <c r="AB91" s="6">
        <f t="shared" si="11"/>
        <v>-0.1401772</v>
      </c>
      <c r="AC91" s="6">
        <f t="shared" si="11"/>
        <v>-0.1621881</v>
      </c>
      <c r="AD91" s="6">
        <f t="shared" si="11"/>
        <v>-0.208756</v>
      </c>
      <c r="AE91" s="6">
        <f t="shared" si="11"/>
        <v>-0.2174654</v>
      </c>
      <c r="AF91" s="6">
        <f t="shared" si="11"/>
        <v>-0.22598840000000001</v>
      </c>
      <c r="AG91" s="6">
        <f t="shared" si="11"/>
        <v>-0.22590209999999999</v>
      </c>
      <c r="AH91" s="6">
        <f t="shared" si="11"/>
        <v>-0.2306261</v>
      </c>
      <c r="AI91" s="6">
        <f t="shared" si="11"/>
        <v>-0.214139</v>
      </c>
      <c r="AJ91" s="6">
        <f t="shared" si="11"/>
        <v>-0.18987180000000001</v>
      </c>
      <c r="AK91" s="6">
        <f t="shared" si="11"/>
        <v>-0.16333909999999999</v>
      </c>
      <c r="AL91" s="6">
        <f t="shared" si="11"/>
        <v>-0.109611</v>
      </c>
      <c r="AM91" s="6">
        <f t="shared" si="11"/>
        <v>-3.3906459999999999E-2</v>
      </c>
    </row>
    <row r="92" spans="7:39" x14ac:dyDescent="0.25">
      <c r="G92" s="5">
        <v>1</v>
      </c>
      <c r="H92" s="6">
        <f>G27</f>
        <v>0.31753540000000002</v>
      </c>
      <c r="I92" s="6">
        <f t="shared" ref="I92:W92" si="12">H27</f>
        <v>-0.25966879999999998</v>
      </c>
      <c r="J92" s="6">
        <f t="shared" si="12"/>
        <v>-0.34100910000000001</v>
      </c>
      <c r="K92" s="6">
        <f t="shared" si="12"/>
        <v>-0.35262779999999999</v>
      </c>
      <c r="L92" s="6">
        <f t="shared" si="12"/>
        <v>-0.34156609999999998</v>
      </c>
      <c r="M92" s="6">
        <f t="shared" si="12"/>
        <v>-2.9372220000000001E-2</v>
      </c>
      <c r="N92" s="6">
        <f t="shared" si="12"/>
        <v>-0.3443155</v>
      </c>
      <c r="O92" s="6">
        <f t="shared" si="12"/>
        <v>-0.30857279999999998</v>
      </c>
      <c r="P92" s="6">
        <f t="shared" si="12"/>
        <v>-0.29547449999999997</v>
      </c>
      <c r="Q92" s="6">
        <f t="shared" si="12"/>
        <v>4.4155119999999999E-2</v>
      </c>
      <c r="R92" s="6">
        <f t="shared" si="12"/>
        <v>-0.25399680000000002</v>
      </c>
      <c r="S92" s="6">
        <f t="shared" si="12"/>
        <v>-0.22223229999999999</v>
      </c>
      <c r="T92" s="6">
        <f t="shared" si="12"/>
        <v>5.3732870000000002E-2</v>
      </c>
      <c r="U92" s="6">
        <f t="shared" si="12"/>
        <v>-0.17508029999999999</v>
      </c>
      <c r="V92" s="6">
        <f t="shared" si="12"/>
        <v>-0.1401944</v>
      </c>
      <c r="W92" s="6">
        <f t="shared" si="12"/>
        <v>-0.10034700000000001</v>
      </c>
      <c r="X92" s="6">
        <f>G28</f>
        <v>-8.1714629999999996E-2</v>
      </c>
      <c r="Y92" s="6">
        <f t="shared" ref="Y92:AM92" si="13">H28</f>
        <v>-3.2121179999999999E-2</v>
      </c>
      <c r="Z92" s="6">
        <f t="shared" si="13"/>
        <v>-0.1119494</v>
      </c>
      <c r="AA92" s="6">
        <f t="shared" si="13"/>
        <v>-0.1303153</v>
      </c>
      <c r="AB92" s="6">
        <f t="shared" si="13"/>
        <v>-0.1425381</v>
      </c>
      <c r="AC92" s="6">
        <f t="shared" si="13"/>
        <v>-0.17386960000000001</v>
      </c>
      <c r="AD92" s="6">
        <f t="shared" si="13"/>
        <v>-0.22810269999999999</v>
      </c>
      <c r="AE92" s="6">
        <f t="shared" si="13"/>
        <v>-0.24268200000000001</v>
      </c>
      <c r="AF92" s="6">
        <f t="shared" si="13"/>
        <v>-0.25499250000000001</v>
      </c>
      <c r="AG92" s="6">
        <f t="shared" si="13"/>
        <v>-0.259326</v>
      </c>
      <c r="AH92" s="6">
        <f t="shared" si="13"/>
        <v>-0.27122590000000002</v>
      </c>
      <c r="AI92" s="6">
        <f t="shared" si="13"/>
        <v>-0.26451920000000001</v>
      </c>
      <c r="AJ92" s="6">
        <f t="shared" si="13"/>
        <v>-0.24559310000000001</v>
      </c>
      <c r="AK92" s="6">
        <f t="shared" si="13"/>
        <v>-0.23046449999999999</v>
      </c>
      <c r="AL92" s="6">
        <f t="shared" si="13"/>
        <v>-0.1928763</v>
      </c>
      <c r="AM92" s="6">
        <f t="shared" si="13"/>
        <v>-0.13271859999999999</v>
      </c>
    </row>
    <row r="93" spans="7:39" x14ac:dyDescent="0.25">
      <c r="G93" s="5">
        <v>2</v>
      </c>
      <c r="H93" s="6">
        <f>G30</f>
        <v>0.32374760000000002</v>
      </c>
      <c r="I93" s="6">
        <f t="shared" ref="I93:W93" si="14">H30</f>
        <v>-0.13993839999999999</v>
      </c>
      <c r="J93" s="6">
        <f t="shared" si="14"/>
        <v>-0.24384449999999999</v>
      </c>
      <c r="K93" s="6">
        <f t="shared" si="14"/>
        <v>-0.28178979999999998</v>
      </c>
      <c r="L93" s="6">
        <f t="shared" si="14"/>
        <v>-0.2845821</v>
      </c>
      <c r="M93" s="6">
        <f t="shared" si="14"/>
        <v>-2.4510379999999998E-2</v>
      </c>
      <c r="N93" s="6">
        <f t="shared" si="14"/>
        <v>-0.30723709999999999</v>
      </c>
      <c r="O93" s="6">
        <f t="shared" si="14"/>
        <v>-0.27860590000000002</v>
      </c>
      <c r="P93" s="6">
        <f t="shared" si="14"/>
        <v>-0.27004339999999999</v>
      </c>
      <c r="Q93" s="6">
        <f t="shared" si="14"/>
        <v>4.5567990000000003E-2</v>
      </c>
      <c r="R93" s="6">
        <f t="shared" si="14"/>
        <v>-0.23830889999999999</v>
      </c>
      <c r="S93" s="6">
        <f t="shared" si="14"/>
        <v>-0.20902780000000001</v>
      </c>
      <c r="T93" s="6">
        <f t="shared" si="14"/>
        <v>5.3019049999999998E-2</v>
      </c>
      <c r="U93" s="6">
        <f t="shared" si="14"/>
        <v>-0.16551589999999999</v>
      </c>
      <c r="V93" s="6">
        <f t="shared" si="14"/>
        <v>-0.13689470000000001</v>
      </c>
      <c r="W93" s="6">
        <f t="shared" si="14"/>
        <v>-0.10114769999999999</v>
      </c>
      <c r="X93" s="6">
        <f>G31</f>
        <v>-8.3540439999999994E-2</v>
      </c>
      <c r="Y93" s="6">
        <f t="shared" ref="Y93:AM93" si="15">H31</f>
        <v>-3.266144E-2</v>
      </c>
      <c r="Z93" s="6">
        <f t="shared" si="15"/>
        <v>-0.10939219999999999</v>
      </c>
      <c r="AA93" s="6">
        <f t="shared" si="15"/>
        <v>-0.13083839999999999</v>
      </c>
      <c r="AB93" s="6">
        <f t="shared" si="15"/>
        <v>-0.1499839</v>
      </c>
      <c r="AC93" s="6">
        <f t="shared" si="15"/>
        <v>-0.18716859999999999</v>
      </c>
      <c r="AD93" s="6">
        <f t="shared" si="15"/>
        <v>-0.24500749999999999</v>
      </c>
      <c r="AE93" s="6">
        <f t="shared" si="15"/>
        <v>-0.26516010000000001</v>
      </c>
      <c r="AF93" s="6">
        <f t="shared" si="15"/>
        <v>-0.28169680000000002</v>
      </c>
      <c r="AG93" s="6">
        <f t="shared" si="15"/>
        <v>-0.2903519</v>
      </c>
      <c r="AH93" s="6">
        <f t="shared" si="15"/>
        <v>-0.3098149</v>
      </c>
      <c r="AI93" s="6">
        <f t="shared" si="15"/>
        <v>-0.31218430000000003</v>
      </c>
      <c r="AJ93" s="6">
        <f t="shared" si="15"/>
        <v>-0.30147269999999998</v>
      </c>
      <c r="AK93" s="6">
        <f t="shared" si="15"/>
        <v>-0.29831930000000001</v>
      </c>
      <c r="AL93" s="6">
        <f t="shared" si="15"/>
        <v>-0.28127380000000002</v>
      </c>
      <c r="AM93" s="6">
        <f t="shared" si="15"/>
        <v>-0.24244450000000001</v>
      </c>
    </row>
    <row r="94" spans="7:39" x14ac:dyDescent="0.25">
      <c r="G94" s="5">
        <v>3</v>
      </c>
      <c r="H94" s="6">
        <f>G33</f>
        <v>0.3136196</v>
      </c>
      <c r="I94" s="6">
        <f t="shared" ref="I94:W94" si="16">H33</f>
        <v>-2.9503350000000001E-2</v>
      </c>
      <c r="J94" s="6">
        <f t="shared" si="16"/>
        <v>-0.14805080000000001</v>
      </c>
      <c r="K94" s="6">
        <f t="shared" si="16"/>
        <v>-0.20801829999999999</v>
      </c>
      <c r="L94" s="6">
        <f t="shared" si="16"/>
        <v>-0.22500510000000001</v>
      </c>
      <c r="M94" s="6">
        <f t="shared" si="16"/>
        <v>-1.9127370000000001E-2</v>
      </c>
      <c r="N94" s="6">
        <f t="shared" si="16"/>
        <v>-0.26551340000000001</v>
      </c>
      <c r="O94" s="6">
        <f t="shared" si="16"/>
        <v>-0.2444162</v>
      </c>
      <c r="P94" s="6">
        <f t="shared" si="16"/>
        <v>-0.24128530000000001</v>
      </c>
      <c r="Q94" s="6">
        <f t="shared" si="16"/>
        <v>4.6613219999999997E-2</v>
      </c>
      <c r="R94" s="6">
        <f t="shared" si="16"/>
        <v>-0.21895220000000001</v>
      </c>
      <c r="S94" s="6">
        <f t="shared" si="16"/>
        <v>-0.1930413</v>
      </c>
      <c r="T94" s="6">
        <f t="shared" si="16"/>
        <v>5.3019049999999998E-2</v>
      </c>
      <c r="U94" s="6">
        <f t="shared" si="16"/>
        <v>-0.15647320000000001</v>
      </c>
      <c r="V94" s="6">
        <f t="shared" si="16"/>
        <v>-0.1273608</v>
      </c>
      <c r="W94" s="6">
        <f t="shared" si="16"/>
        <v>-9.7874160000000002E-2</v>
      </c>
      <c r="X94" s="6">
        <f>G34</f>
        <v>-8.4818359999999995E-2</v>
      </c>
      <c r="Y94" s="6">
        <f t="shared" ref="Y94:AM94" si="17">H34</f>
        <v>-3.2975200000000003E-2</v>
      </c>
      <c r="Z94" s="6">
        <f t="shared" si="17"/>
        <v>-0.1055765</v>
      </c>
      <c r="AA94" s="6">
        <f t="shared" si="17"/>
        <v>-0.12979840000000001</v>
      </c>
      <c r="AB94" s="6">
        <f t="shared" si="17"/>
        <v>-0.1523457</v>
      </c>
      <c r="AC94" s="6">
        <f t="shared" si="17"/>
        <v>-0.1947179</v>
      </c>
      <c r="AD94" s="6">
        <f t="shared" si="17"/>
        <v>-0.26121519999999998</v>
      </c>
      <c r="AE94" s="6">
        <f t="shared" si="17"/>
        <v>-0.2857943</v>
      </c>
      <c r="AF94" s="6">
        <f t="shared" si="17"/>
        <v>-0.3058109</v>
      </c>
      <c r="AG94" s="6">
        <f t="shared" si="17"/>
        <v>-0.3200731</v>
      </c>
      <c r="AH94" s="6">
        <f t="shared" si="17"/>
        <v>-0.34677740000000001</v>
      </c>
      <c r="AI94" s="6">
        <f t="shared" si="17"/>
        <v>-0.36054229999999998</v>
      </c>
      <c r="AJ94" s="6">
        <f t="shared" si="17"/>
        <v>-0.35753679999999999</v>
      </c>
      <c r="AK94" s="6">
        <f t="shared" si="17"/>
        <v>-0.3685331</v>
      </c>
      <c r="AL94" s="6">
        <f t="shared" si="17"/>
        <v>-0.37460900000000003</v>
      </c>
      <c r="AM94" s="6">
        <f t="shared" si="17"/>
        <v>-0.36307620000000002</v>
      </c>
    </row>
    <row r="95" spans="7:39" x14ac:dyDescent="0.25">
      <c r="G95" s="5">
        <v>4</v>
      </c>
      <c r="H95" s="6">
        <f>G36</f>
        <v>0.2716846</v>
      </c>
      <c r="I95" s="6">
        <f t="shared" ref="I95:W95" si="18">H36</f>
        <v>6.9397929999999997E-2</v>
      </c>
      <c r="J95" s="6">
        <f t="shared" si="18"/>
        <v>-5.786562E-2</v>
      </c>
      <c r="K95" s="6">
        <f t="shared" si="18"/>
        <v>-0.13579939999999999</v>
      </c>
      <c r="L95" s="6">
        <f t="shared" si="18"/>
        <v>-0.16559360000000001</v>
      </c>
      <c r="M95" s="6">
        <f t="shared" si="18"/>
        <v>-1.4092449999999999E-2</v>
      </c>
      <c r="N95" s="6">
        <f t="shared" si="18"/>
        <v>-0.2228484</v>
      </c>
      <c r="O95" s="6">
        <f t="shared" si="18"/>
        <v>-0.20916560000000001</v>
      </c>
      <c r="P95" s="6">
        <f t="shared" si="18"/>
        <v>-0.2112627</v>
      </c>
      <c r="Q95" s="6">
        <f t="shared" si="18"/>
        <v>4.7657970000000001E-2</v>
      </c>
      <c r="R95" s="6">
        <f t="shared" si="18"/>
        <v>-0.19943759999999999</v>
      </c>
      <c r="S95" s="6">
        <f t="shared" si="18"/>
        <v>-0.17718980000000001</v>
      </c>
      <c r="T95" s="6">
        <f t="shared" si="18"/>
        <v>5.3023340000000002E-2</v>
      </c>
      <c r="U95" s="6">
        <f t="shared" si="18"/>
        <v>-0.1479549</v>
      </c>
      <c r="V95" s="6">
        <f t="shared" si="18"/>
        <v>-0.1183786</v>
      </c>
      <c r="W95" s="6">
        <f t="shared" si="18"/>
        <v>-9.5075610000000005E-2</v>
      </c>
      <c r="X95" s="6">
        <f>G37</f>
        <v>-8.5000989999999998E-2</v>
      </c>
      <c r="Y95" s="6">
        <f t="shared" ref="Y95:AM95" si="19">H37</f>
        <v>-3.5678389999999997E-2</v>
      </c>
      <c r="Z95" s="6">
        <f t="shared" si="19"/>
        <v>-0.1026635</v>
      </c>
      <c r="AA95" s="6">
        <f t="shared" si="19"/>
        <v>-0.1287546</v>
      </c>
      <c r="AB95" s="6">
        <f t="shared" si="19"/>
        <v>-0.1548882</v>
      </c>
      <c r="AC95" s="6">
        <f t="shared" si="19"/>
        <v>-0.20046849999999999</v>
      </c>
      <c r="AD95" s="6">
        <f t="shared" si="19"/>
        <v>-0.2796884</v>
      </c>
      <c r="AE95" s="6">
        <f t="shared" si="19"/>
        <v>-0.30881449999999999</v>
      </c>
      <c r="AF95" s="6">
        <f t="shared" si="19"/>
        <v>-0.33246949999999997</v>
      </c>
      <c r="AG95" s="6">
        <f t="shared" si="19"/>
        <v>-0.35146090000000002</v>
      </c>
      <c r="AH95" s="6">
        <f t="shared" si="19"/>
        <v>-0.38537500000000002</v>
      </c>
      <c r="AI95" s="6">
        <f t="shared" si="19"/>
        <v>-0.41181420000000002</v>
      </c>
      <c r="AJ95" s="6">
        <f t="shared" si="19"/>
        <v>-0.41745850000000001</v>
      </c>
      <c r="AK95" s="6">
        <f t="shared" si="19"/>
        <v>-0.44420579999999998</v>
      </c>
      <c r="AL95" s="6">
        <f t="shared" si="19"/>
        <v>-0.4794717</v>
      </c>
      <c r="AM95" s="6">
        <f t="shared" si="19"/>
        <v>-0.5019517</v>
      </c>
    </row>
    <row r="96" spans="7:39" x14ac:dyDescent="0.25">
      <c r="G96" s="5">
        <v>5</v>
      </c>
      <c r="H96" s="6">
        <f>G39</f>
        <v>0.1935229</v>
      </c>
      <c r="I96" s="6">
        <f t="shared" ref="I96:W96" si="20">H39</f>
        <v>0.1507435</v>
      </c>
      <c r="J96" s="6">
        <f t="shared" si="20"/>
        <v>2.2680760000000001E-2</v>
      </c>
      <c r="K96" s="6">
        <f t="shared" si="20"/>
        <v>-6.8539619999999996E-2</v>
      </c>
      <c r="L96" s="6">
        <f t="shared" si="20"/>
        <v>-0.10875799999999999</v>
      </c>
      <c r="M96" s="6">
        <f t="shared" si="20"/>
        <v>-9.5787049999999999E-3</v>
      </c>
      <c r="N96" s="6">
        <f t="shared" si="20"/>
        <v>-0.1802473</v>
      </c>
      <c r="O96" s="6">
        <f t="shared" si="20"/>
        <v>-0.17409179999999999</v>
      </c>
      <c r="P96" s="6">
        <f t="shared" si="20"/>
        <v>-0.1810436</v>
      </c>
      <c r="Q96" s="6">
        <f t="shared" si="20"/>
        <v>4.8354630000000003E-2</v>
      </c>
      <c r="R96" s="6">
        <f t="shared" si="20"/>
        <v>-0.1790428</v>
      </c>
      <c r="S96" s="6">
        <f t="shared" si="20"/>
        <v>-0.16173170000000001</v>
      </c>
      <c r="T96" s="6">
        <f t="shared" si="20"/>
        <v>5.2489279999999999E-2</v>
      </c>
      <c r="U96" s="6">
        <f t="shared" si="20"/>
        <v>-0.138042</v>
      </c>
      <c r="V96" s="6">
        <f t="shared" si="20"/>
        <v>-0.1169128</v>
      </c>
      <c r="W96" s="6">
        <f t="shared" si="20"/>
        <v>-8.8423730000000006E-2</v>
      </c>
      <c r="X96" s="6">
        <f>G40</f>
        <v>-8.3539959999999996E-2</v>
      </c>
      <c r="Y96" s="6">
        <f t="shared" ref="Y96:AM96" si="21">H40</f>
        <v>-3.9099689999999999E-2</v>
      </c>
      <c r="Z96" s="6">
        <f t="shared" si="21"/>
        <v>-9.8104479999999994E-2</v>
      </c>
      <c r="AA96" s="6">
        <f t="shared" si="21"/>
        <v>-0.12649060000000001</v>
      </c>
      <c r="AB96" s="6">
        <f t="shared" si="21"/>
        <v>-0.1557875</v>
      </c>
      <c r="AC96" s="6">
        <f t="shared" si="21"/>
        <v>-0.20226569999999999</v>
      </c>
      <c r="AD96" s="6">
        <f t="shared" si="21"/>
        <v>-0.29467539999999998</v>
      </c>
      <c r="AE96" s="6">
        <f t="shared" si="21"/>
        <v>-0.33348270000000002</v>
      </c>
      <c r="AF96" s="6">
        <f t="shared" si="21"/>
        <v>-0.35754819999999998</v>
      </c>
      <c r="AG96" s="6">
        <f t="shared" si="21"/>
        <v>-0.38174340000000001</v>
      </c>
      <c r="AH96" s="6">
        <f t="shared" si="21"/>
        <v>-0.42289110000000002</v>
      </c>
      <c r="AI96" s="6">
        <f t="shared" si="21"/>
        <v>-0.46143909999999999</v>
      </c>
      <c r="AJ96" s="6">
        <f t="shared" si="21"/>
        <v>-0.4773655</v>
      </c>
      <c r="AK96" s="6">
        <f t="shared" si="21"/>
        <v>-0.52040770000000003</v>
      </c>
      <c r="AL96" s="6">
        <f t="shared" si="21"/>
        <v>-0.58612390000000003</v>
      </c>
      <c r="AM96" s="6">
        <f t="shared" si="21"/>
        <v>-0.6484799</v>
      </c>
    </row>
    <row r="97" spans="7:39" x14ac:dyDescent="0.25">
      <c r="G97" s="5">
        <v>6</v>
      </c>
      <c r="H97" s="6">
        <f>G42</f>
        <v>8.0374719999999997E-2</v>
      </c>
      <c r="I97" s="6">
        <f t="shared" ref="I97:W97" si="22">H42</f>
        <v>0.212954</v>
      </c>
      <c r="J97" s="6">
        <f t="shared" si="22"/>
        <v>9.22761E-2</v>
      </c>
      <c r="K97" s="6">
        <f t="shared" si="22"/>
        <v>-6.9546699999999996E-3</v>
      </c>
      <c r="L97" s="6">
        <f t="shared" si="22"/>
        <v>-5.5362219999999997E-2</v>
      </c>
      <c r="M97" s="6">
        <f t="shared" si="22"/>
        <v>-5.757809E-3</v>
      </c>
      <c r="N97" s="6">
        <f t="shared" si="22"/>
        <v>-0.13833480000000001</v>
      </c>
      <c r="O97" s="6">
        <f t="shared" si="22"/>
        <v>-0.1386685</v>
      </c>
      <c r="P97" s="6">
        <f t="shared" si="22"/>
        <v>-0.14966389999999999</v>
      </c>
      <c r="Q97" s="6">
        <f t="shared" si="22"/>
        <v>4.8702719999999998E-2</v>
      </c>
      <c r="R97" s="6">
        <f t="shared" si="22"/>
        <v>-0.15724279999999999</v>
      </c>
      <c r="S97" s="6">
        <f t="shared" si="22"/>
        <v>-0.14470050000000001</v>
      </c>
      <c r="T97" s="6">
        <f t="shared" si="22"/>
        <v>5.15976E-2</v>
      </c>
      <c r="U97" s="6">
        <f t="shared" si="22"/>
        <v>-0.12569430000000001</v>
      </c>
      <c r="V97" s="6">
        <f t="shared" si="22"/>
        <v>-0.1090288</v>
      </c>
      <c r="W97" s="6">
        <f t="shared" si="22"/>
        <v>-8.733225E-2</v>
      </c>
      <c r="X97" s="6">
        <f>G43</f>
        <v>-7.9705719999999994E-2</v>
      </c>
      <c r="Y97" s="6">
        <f t="shared" ref="Y97:AM97" si="23">H43</f>
        <v>-4.3965820000000003E-2</v>
      </c>
      <c r="Z97" s="6">
        <f t="shared" si="23"/>
        <v>-9.2642779999999994E-2</v>
      </c>
      <c r="AA97" s="6">
        <f t="shared" si="23"/>
        <v>-0.1219687</v>
      </c>
      <c r="AB97" s="6">
        <f t="shared" si="23"/>
        <v>-0.15524289999999999</v>
      </c>
      <c r="AC97" s="6">
        <f t="shared" si="23"/>
        <v>-0.20226569999999999</v>
      </c>
      <c r="AD97" s="6">
        <f t="shared" si="23"/>
        <v>-0.31070799999999998</v>
      </c>
      <c r="AE97" s="6">
        <f t="shared" si="23"/>
        <v>-0.35303020000000002</v>
      </c>
      <c r="AF97" s="6">
        <f t="shared" si="23"/>
        <v>-0.37663940000000001</v>
      </c>
      <c r="AG97" s="6">
        <f t="shared" si="23"/>
        <v>-0.41331289999999998</v>
      </c>
      <c r="AH97" s="6">
        <f t="shared" si="23"/>
        <v>-0.4576788</v>
      </c>
      <c r="AI97" s="6">
        <f t="shared" si="23"/>
        <v>-0.50853539999999997</v>
      </c>
      <c r="AJ97" s="6">
        <f t="shared" si="23"/>
        <v>-0.53428889999999996</v>
      </c>
      <c r="AK97" s="6">
        <f t="shared" si="23"/>
        <v>-0.59478470000000006</v>
      </c>
      <c r="AL97" s="6">
        <f t="shared" si="23"/>
        <v>-0.69223120000000005</v>
      </c>
      <c r="AM97" s="6">
        <f t="shared" si="23"/>
        <v>-0.79944800000000005</v>
      </c>
    </row>
    <row r="98" spans="7:39" x14ac:dyDescent="0.25">
      <c r="G98" s="5">
        <v>7</v>
      </c>
      <c r="H98" s="6">
        <f>G45</f>
        <v>-6.701994E-2</v>
      </c>
      <c r="I98" s="6">
        <f t="shared" ref="I98:W98" si="24">H45</f>
        <v>0.25875429999999999</v>
      </c>
      <c r="J98" s="6">
        <f t="shared" si="24"/>
        <v>0.15213869999999999</v>
      </c>
      <c r="K98" s="6">
        <f t="shared" si="24"/>
        <v>4.9647810000000001E-2</v>
      </c>
      <c r="L98" s="6">
        <f t="shared" si="24"/>
        <v>-5.0616259999999996E-3</v>
      </c>
      <c r="M98" s="6">
        <f t="shared" si="24"/>
        <v>-2.4614329999999999E-3</v>
      </c>
      <c r="N98" s="6">
        <f t="shared" si="24"/>
        <v>-9.8395819999999995E-2</v>
      </c>
      <c r="O98" s="6">
        <f t="shared" si="24"/>
        <v>-0.104475</v>
      </c>
      <c r="P98" s="6">
        <f t="shared" si="24"/>
        <v>-0.1191096</v>
      </c>
      <c r="Q98" s="6">
        <f t="shared" si="24"/>
        <v>4.994154E-2</v>
      </c>
      <c r="R98" s="6">
        <f t="shared" si="24"/>
        <v>-0.1350584</v>
      </c>
      <c r="S98" s="6">
        <f t="shared" si="24"/>
        <v>-0.12589259999999999</v>
      </c>
      <c r="T98" s="6">
        <f t="shared" si="24"/>
        <v>5.0884249999999999E-2</v>
      </c>
      <c r="U98" s="6">
        <f t="shared" si="24"/>
        <v>-0.1138673</v>
      </c>
      <c r="V98" s="6">
        <f t="shared" si="24"/>
        <v>-9.7462649999999998E-2</v>
      </c>
      <c r="W98" s="6">
        <f t="shared" si="24"/>
        <v>-8.3519940000000001E-2</v>
      </c>
      <c r="X98" s="6">
        <f>G46</f>
        <v>-7.5871939999999999E-2</v>
      </c>
      <c r="Y98" s="6">
        <f t="shared" ref="Y98:AM98" si="25">H46</f>
        <v>-4.8468589999999999E-2</v>
      </c>
      <c r="Z98" s="6">
        <f t="shared" si="25"/>
        <v>-9.0281959999999994E-2</v>
      </c>
      <c r="AA98" s="6">
        <f t="shared" si="25"/>
        <v>-0.1200547</v>
      </c>
      <c r="AB98" s="6">
        <f t="shared" si="25"/>
        <v>-0.15543270000000001</v>
      </c>
      <c r="AC98" s="6">
        <f t="shared" si="25"/>
        <v>-0.2038932</v>
      </c>
      <c r="AD98" s="6">
        <f t="shared" si="25"/>
        <v>-0.32325700000000002</v>
      </c>
      <c r="AE98" s="6">
        <f t="shared" si="25"/>
        <v>-0.37295149999999999</v>
      </c>
      <c r="AF98" s="6">
        <f t="shared" si="25"/>
        <v>-0.4095259</v>
      </c>
      <c r="AG98" s="6">
        <f t="shared" si="25"/>
        <v>-0.44431969999999998</v>
      </c>
      <c r="AH98" s="6">
        <f t="shared" si="25"/>
        <v>-0.49338670000000001</v>
      </c>
      <c r="AI98" s="6">
        <f t="shared" si="25"/>
        <v>-0.56449890000000003</v>
      </c>
      <c r="AJ98" s="6">
        <f t="shared" si="25"/>
        <v>-0.59508229999999995</v>
      </c>
      <c r="AK98" s="6">
        <f t="shared" si="25"/>
        <v>-0.67809200000000003</v>
      </c>
      <c r="AL98" s="6">
        <f t="shared" si="25"/>
        <v>-0.8015814</v>
      </c>
      <c r="AM98" s="6">
        <f t="shared" si="25"/>
        <v>-0.96199659999999998</v>
      </c>
    </row>
    <row r="99" spans="7:39" x14ac:dyDescent="0.25">
      <c r="G99" s="5">
        <v>8</v>
      </c>
      <c r="H99" s="6">
        <f>G48</f>
        <v>-0.24667120000000001</v>
      </c>
      <c r="I99" s="6">
        <f t="shared" ref="I99:W99" si="26">H48</f>
        <v>0.2856784</v>
      </c>
      <c r="J99" s="6">
        <f t="shared" si="26"/>
        <v>0.1993885</v>
      </c>
      <c r="K99" s="6">
        <f t="shared" si="26"/>
        <v>9.8179340000000004E-2</v>
      </c>
      <c r="L99" s="6">
        <f t="shared" si="26"/>
        <v>3.9389130000000001E-2</v>
      </c>
      <c r="M99" s="6">
        <f t="shared" si="26"/>
        <v>-2.02179E-4</v>
      </c>
      <c r="N99" s="6">
        <f t="shared" si="26"/>
        <v>-6.0999869999999998E-2</v>
      </c>
      <c r="O99" s="6">
        <f t="shared" si="26"/>
        <v>-7.325363E-2</v>
      </c>
      <c r="P99" s="6">
        <f t="shared" si="26"/>
        <v>-9.1326240000000003E-2</v>
      </c>
      <c r="Q99" s="6">
        <f t="shared" si="26"/>
        <v>5.0271030000000001E-2</v>
      </c>
      <c r="R99" s="6">
        <f t="shared" si="26"/>
        <v>-0.11425780000000001</v>
      </c>
      <c r="S99" s="6">
        <f t="shared" si="26"/>
        <v>-0.10956340000000001</v>
      </c>
      <c r="T99" s="6">
        <f t="shared" si="26"/>
        <v>5.0170899999999997E-2</v>
      </c>
      <c r="U99" s="6">
        <f t="shared" si="26"/>
        <v>-0.1023884</v>
      </c>
      <c r="V99" s="6">
        <f t="shared" si="26"/>
        <v>-8.8296890000000003E-2</v>
      </c>
      <c r="W99" s="6">
        <f t="shared" si="26"/>
        <v>-7.5448039999999994E-2</v>
      </c>
      <c r="X99" s="6">
        <f>G49</f>
        <v>-6.893349E-2</v>
      </c>
      <c r="Y99" s="6">
        <f t="shared" ref="Y99:AM99" si="27">H49</f>
        <v>-5.3332329999999997E-2</v>
      </c>
      <c r="Z99" s="6">
        <f t="shared" si="27"/>
        <v>-9.2284199999999997E-2</v>
      </c>
      <c r="AA99" s="6">
        <f t="shared" si="27"/>
        <v>-0.1212707</v>
      </c>
      <c r="AB99" s="6">
        <f t="shared" si="27"/>
        <v>-0.15870190000000001</v>
      </c>
      <c r="AC99" s="6">
        <f t="shared" si="27"/>
        <v>-0.20747760000000001</v>
      </c>
      <c r="AD99" s="6">
        <f t="shared" si="27"/>
        <v>-0.33667279999999999</v>
      </c>
      <c r="AE99" s="6">
        <f t="shared" si="27"/>
        <v>-0.39229629999999999</v>
      </c>
      <c r="AF99" s="6">
        <f t="shared" si="27"/>
        <v>-0.43364520000000001</v>
      </c>
      <c r="AG99" s="6">
        <f t="shared" si="27"/>
        <v>-0.47478199999999998</v>
      </c>
      <c r="AH99" s="6">
        <f t="shared" si="27"/>
        <v>-0.54318710000000003</v>
      </c>
      <c r="AI99" s="6">
        <f t="shared" si="27"/>
        <v>-0.61431650000000004</v>
      </c>
      <c r="AJ99" s="6">
        <f t="shared" si="27"/>
        <v>-0.64178939999999995</v>
      </c>
      <c r="AK99" s="6">
        <f t="shared" si="27"/>
        <v>-0.76504660000000002</v>
      </c>
      <c r="AL99" s="6">
        <f t="shared" si="27"/>
        <v>-0.91903880000000004</v>
      </c>
      <c r="AM99" s="6">
        <f t="shared" si="27"/>
        <v>-1.124725</v>
      </c>
    </row>
    <row r="100" spans="7:39" x14ac:dyDescent="0.25">
      <c r="G100" s="5">
        <v>9</v>
      </c>
      <c r="H100" s="6">
        <f>G51</f>
        <v>-0.44684309999999999</v>
      </c>
      <c r="I100" s="6">
        <f t="shared" ref="I100:W100" si="28">H51</f>
        <v>0.29748869999999999</v>
      </c>
      <c r="J100" s="6">
        <f t="shared" si="28"/>
        <v>0.2362242</v>
      </c>
      <c r="K100" s="6">
        <f t="shared" si="28"/>
        <v>0.1399965</v>
      </c>
      <c r="L100" s="6">
        <f t="shared" si="28"/>
        <v>7.9190250000000004E-2</v>
      </c>
      <c r="M100" s="6">
        <f t="shared" si="28"/>
        <v>2.055645E-3</v>
      </c>
      <c r="N100" s="6">
        <f t="shared" si="28"/>
        <v>-2.7213569999999999E-2</v>
      </c>
      <c r="O100" s="6">
        <f t="shared" si="28"/>
        <v>-4.3611999999999998E-2</v>
      </c>
      <c r="P100" s="6">
        <f t="shared" si="28"/>
        <v>-6.4649579999999998E-2</v>
      </c>
      <c r="Q100" s="6">
        <f t="shared" si="28"/>
        <v>5.096817E-2</v>
      </c>
      <c r="R100" s="6">
        <f t="shared" si="28"/>
        <v>-9.5419409999999996E-2</v>
      </c>
      <c r="S100" s="6">
        <f t="shared" si="28"/>
        <v>-9.4268320000000003E-2</v>
      </c>
      <c r="T100" s="6">
        <f t="shared" si="28"/>
        <v>4.9814700000000003E-2</v>
      </c>
      <c r="U100" s="6">
        <f t="shared" si="28"/>
        <v>-9.2300889999999997E-2</v>
      </c>
      <c r="V100" s="6">
        <f t="shared" si="28"/>
        <v>-8.0778600000000006E-2</v>
      </c>
      <c r="W100" s="6">
        <f t="shared" si="28"/>
        <v>-6.8355079999999999E-2</v>
      </c>
      <c r="X100" s="6">
        <f>G52</f>
        <v>-6.3090800000000002E-2</v>
      </c>
      <c r="Y100" s="6">
        <f t="shared" ref="Y100:AM100" si="29">H52</f>
        <v>-5.567503E-2</v>
      </c>
      <c r="Z100" s="6">
        <f t="shared" si="29"/>
        <v>-8.9553359999999999E-2</v>
      </c>
      <c r="AA100" s="6">
        <f t="shared" si="29"/>
        <v>-0.11796619999999999</v>
      </c>
      <c r="AB100" s="6">
        <f t="shared" si="29"/>
        <v>-0.15852069999999999</v>
      </c>
      <c r="AC100" s="6">
        <f t="shared" si="29"/>
        <v>-0.20855570000000001</v>
      </c>
      <c r="AD100" s="6">
        <f t="shared" si="29"/>
        <v>-0.3485222</v>
      </c>
      <c r="AE100" s="6">
        <f t="shared" si="29"/>
        <v>-0.41038079999999999</v>
      </c>
      <c r="AF100" s="6">
        <f t="shared" si="29"/>
        <v>-0.45687719999999998</v>
      </c>
      <c r="AG100" s="6">
        <f t="shared" si="29"/>
        <v>-0.50376270000000001</v>
      </c>
      <c r="AH100" s="6">
        <f t="shared" si="29"/>
        <v>-0.58104800000000001</v>
      </c>
      <c r="AI100" s="6">
        <f t="shared" si="29"/>
        <v>-0.6702747</v>
      </c>
      <c r="AJ100" s="6">
        <f t="shared" si="29"/>
        <v>-0.72082710000000005</v>
      </c>
      <c r="AK100" s="6">
        <f t="shared" si="29"/>
        <v>-0.75994399999999995</v>
      </c>
      <c r="AL100" s="6">
        <f t="shared" si="29"/>
        <v>-1.050735</v>
      </c>
      <c r="AM100" s="6">
        <f t="shared" si="29"/>
        <v>-1.2918499999999999</v>
      </c>
    </row>
    <row r="101" spans="7:39" x14ac:dyDescent="0.25">
      <c r="G101" s="5">
        <v>10</v>
      </c>
      <c r="H101" s="6">
        <f>G54</f>
        <v>-0.65989540000000002</v>
      </c>
      <c r="I101" s="6">
        <f t="shared" ref="I101:W101" si="30">H54</f>
        <v>0.29562379999999999</v>
      </c>
      <c r="J101" s="6">
        <f t="shared" si="30"/>
        <v>0.26073499999999999</v>
      </c>
      <c r="K101" s="6">
        <f t="shared" si="30"/>
        <v>0.17201140000000001</v>
      </c>
      <c r="L101" s="6">
        <f t="shared" si="30"/>
        <v>0.110898</v>
      </c>
      <c r="M101" s="6">
        <f t="shared" si="30"/>
        <v>4.6730039999999997E-3</v>
      </c>
      <c r="N101" s="6">
        <f t="shared" si="30"/>
        <v>-7.0714949999999997E-4</v>
      </c>
      <c r="O101" s="6">
        <f t="shared" si="30"/>
        <v>-2.046108E-2</v>
      </c>
      <c r="P101" s="6">
        <f t="shared" si="30"/>
        <v>-4.4986720000000001E-2</v>
      </c>
      <c r="Q101" s="6">
        <f t="shared" si="30"/>
        <v>5.150938E-2</v>
      </c>
      <c r="R101" s="6">
        <f t="shared" si="30"/>
        <v>-8.1427100000000002E-2</v>
      </c>
      <c r="S101" s="6">
        <f t="shared" si="30"/>
        <v>-8.4603789999999998E-2</v>
      </c>
      <c r="T101" s="6">
        <f t="shared" si="30"/>
        <v>4.9635409999999998E-2</v>
      </c>
      <c r="U101" s="6">
        <f t="shared" si="30"/>
        <v>-8.8474750000000005E-2</v>
      </c>
      <c r="V101" s="6">
        <f t="shared" si="30"/>
        <v>-7.9497810000000002E-2</v>
      </c>
      <c r="W101" s="6">
        <f t="shared" si="30"/>
        <v>-7.0806499999999994E-2</v>
      </c>
      <c r="X101" s="6">
        <f>G55</f>
        <v>-6.9304470000000007E-2</v>
      </c>
      <c r="Y101" s="6">
        <f t="shared" ref="Y101:AM101" si="31">H55</f>
        <v>-6.1980250000000001E-2</v>
      </c>
      <c r="Z101" s="6">
        <f t="shared" si="31"/>
        <v>-8.9007849999999999E-2</v>
      </c>
      <c r="AA101" s="6">
        <f t="shared" si="31"/>
        <v>-0.11553289999999999</v>
      </c>
      <c r="AB101" s="6">
        <f t="shared" si="31"/>
        <v>-0.15706680000000001</v>
      </c>
      <c r="AC101" s="6">
        <f t="shared" si="31"/>
        <v>-0.20891570000000001</v>
      </c>
      <c r="AD101" s="6">
        <f t="shared" si="31"/>
        <v>-0.36054560000000002</v>
      </c>
      <c r="AE101" s="6">
        <f t="shared" si="31"/>
        <v>-0.42883729999999998</v>
      </c>
      <c r="AF101" s="6">
        <f t="shared" si="31"/>
        <v>-0.47869489999999998</v>
      </c>
      <c r="AG101" s="6">
        <f t="shared" si="31"/>
        <v>-0.53164480000000003</v>
      </c>
      <c r="AH101" s="6">
        <f t="shared" si="31"/>
        <v>-0.61675639999999998</v>
      </c>
      <c r="AI101" s="6">
        <f t="shared" si="31"/>
        <v>-0.72115609999999997</v>
      </c>
      <c r="AJ101" s="6">
        <f t="shared" si="31"/>
        <v>-0.78493170000000001</v>
      </c>
      <c r="AK101" s="6">
        <f t="shared" si="31"/>
        <v>-0.8627129</v>
      </c>
      <c r="AL101" s="6">
        <f t="shared" si="31"/>
        <v>-1.2031050000000001</v>
      </c>
      <c r="AM101" s="6">
        <f t="shared" si="31"/>
        <v>-1.453732</v>
      </c>
    </row>
    <row r="102" spans="7:39" x14ac:dyDescent="0.25">
      <c r="G102" s="5">
        <v>11</v>
      </c>
      <c r="H102" s="6">
        <f>G57</f>
        <v>-0.87389899999999998</v>
      </c>
      <c r="I102" s="6">
        <f t="shared" ref="I102:W102" si="32">H57</f>
        <v>0.28547529999999999</v>
      </c>
      <c r="J102" s="6">
        <f t="shared" si="32"/>
        <v>0.27605299999999999</v>
      </c>
      <c r="K102" s="6">
        <f t="shared" si="32"/>
        <v>0.19938900000000001</v>
      </c>
      <c r="L102" s="6">
        <f t="shared" si="32"/>
        <v>0.1389813</v>
      </c>
      <c r="M102" s="6">
        <f t="shared" si="32"/>
        <v>6.9150920000000003E-3</v>
      </c>
      <c r="N102" s="6">
        <f t="shared" si="32"/>
        <v>2.704382E-2</v>
      </c>
      <c r="O102" s="6">
        <f t="shared" si="32"/>
        <v>3.9181709999999998E-3</v>
      </c>
      <c r="P102" s="6">
        <f t="shared" si="32"/>
        <v>-2.22621E-2</v>
      </c>
      <c r="Q102" s="6">
        <f t="shared" si="32"/>
        <v>5.1664349999999998E-2</v>
      </c>
      <c r="R102" s="6">
        <f t="shared" si="32"/>
        <v>-6.4578060000000007E-2</v>
      </c>
      <c r="S102" s="6">
        <f t="shared" si="32"/>
        <v>-7.0655819999999994E-2</v>
      </c>
      <c r="T102" s="6">
        <f t="shared" si="32"/>
        <v>4.910088E-2</v>
      </c>
      <c r="U102" s="6">
        <f t="shared" si="32"/>
        <v>-8.0300330000000003E-2</v>
      </c>
      <c r="V102" s="6">
        <f t="shared" si="32"/>
        <v>-7.4014659999999996E-2</v>
      </c>
      <c r="W102" s="6">
        <f t="shared" si="32"/>
        <v>-6.9532389999999999E-2</v>
      </c>
      <c r="X102" s="6">
        <f>G58</f>
        <v>-7.2597499999999995E-2</v>
      </c>
      <c r="Y102" s="6">
        <f t="shared" ref="Y102:AM102" si="33">H58</f>
        <v>-6.5891270000000002E-2</v>
      </c>
      <c r="Z102" s="6">
        <f t="shared" si="33"/>
        <v>-8.6101059999999993E-2</v>
      </c>
      <c r="AA102" s="6">
        <f t="shared" si="33"/>
        <v>-0.109796</v>
      </c>
      <c r="AB102" s="6">
        <f t="shared" si="33"/>
        <v>-0.15091660000000001</v>
      </c>
      <c r="AC102" s="6">
        <f t="shared" si="33"/>
        <v>-0.2022767</v>
      </c>
      <c r="AD102" s="6">
        <f t="shared" si="33"/>
        <v>-0.36176819999999998</v>
      </c>
      <c r="AE102" s="6">
        <f t="shared" si="33"/>
        <v>-0.43473719999999999</v>
      </c>
      <c r="AF102" s="6">
        <f t="shared" si="33"/>
        <v>-0.48907610000000001</v>
      </c>
      <c r="AG102" s="6">
        <f t="shared" si="33"/>
        <v>-0.54623409999999994</v>
      </c>
      <c r="AH102" s="6">
        <f t="shared" si="33"/>
        <v>-0.63853979999999999</v>
      </c>
      <c r="AI102" s="6">
        <f t="shared" si="33"/>
        <v>-0.75561480000000003</v>
      </c>
      <c r="AJ102" s="6">
        <f t="shared" si="33"/>
        <v>-0.82899999999999996</v>
      </c>
      <c r="AK102" s="6">
        <f t="shared" si="33"/>
        <v>-0.94326540000000003</v>
      </c>
      <c r="AL102" s="6">
        <f t="shared" si="33"/>
        <v>-1.3318890000000001</v>
      </c>
      <c r="AM102" s="6">
        <f t="shared" si="33"/>
        <v>-1.5842160000000001</v>
      </c>
    </row>
    <row r="103" spans="7:39" x14ac:dyDescent="0.25">
      <c r="G103" s="5">
        <v>12</v>
      </c>
      <c r="H103" s="6">
        <f>G60</f>
        <v>-1.122241</v>
      </c>
      <c r="I103" s="6">
        <f t="shared" ref="I103:W103" si="34">H60</f>
        <v>0.26661489999999999</v>
      </c>
      <c r="J103" s="6">
        <f t="shared" si="34"/>
        <v>0.285748</v>
      </c>
      <c r="K103" s="6">
        <f t="shared" si="34"/>
        <v>0.2227983</v>
      </c>
      <c r="L103" s="6">
        <f t="shared" si="34"/>
        <v>0.16431380000000001</v>
      </c>
      <c r="M103" s="6">
        <f t="shared" si="34"/>
        <v>8.6512570000000007E-3</v>
      </c>
      <c r="N103" s="6">
        <f t="shared" si="34"/>
        <v>5.0220010000000002E-2</v>
      </c>
      <c r="O103" s="6">
        <f t="shared" si="34"/>
        <v>2.356577E-2</v>
      </c>
      <c r="P103" s="6">
        <f t="shared" si="34"/>
        <v>-3.952026E-3</v>
      </c>
      <c r="Q103" s="6">
        <f t="shared" si="34"/>
        <v>5.2361489999999997E-2</v>
      </c>
      <c r="R103" s="6">
        <f t="shared" si="34"/>
        <v>-5.2017689999999998E-2</v>
      </c>
      <c r="S103" s="6">
        <f t="shared" si="34"/>
        <v>-6.126976E-2</v>
      </c>
      <c r="T103" s="6">
        <f t="shared" si="34"/>
        <v>4.9279209999999997E-2</v>
      </c>
      <c r="U103" s="6">
        <f t="shared" si="34"/>
        <v>-7.5952530000000004E-2</v>
      </c>
      <c r="V103" s="6">
        <f t="shared" si="34"/>
        <v>-7.3281289999999999E-2</v>
      </c>
      <c r="W103" s="6">
        <f t="shared" si="34"/>
        <v>-7.2078699999999996E-2</v>
      </c>
      <c r="X103" s="6">
        <f>G61</f>
        <v>-8.0814360000000002E-2</v>
      </c>
      <c r="Y103" s="6">
        <f t="shared" ref="Y103:AM103" si="35">H61</f>
        <v>-7.7424999999999994E-2</v>
      </c>
      <c r="Z103" s="6">
        <f t="shared" si="35"/>
        <v>-9.0288640000000003E-2</v>
      </c>
      <c r="AA103" s="6">
        <f t="shared" si="35"/>
        <v>-0.1099696</v>
      </c>
      <c r="AB103" s="6">
        <f t="shared" si="35"/>
        <v>-0.14891860000000001</v>
      </c>
      <c r="AC103" s="6">
        <f t="shared" si="35"/>
        <v>-0.2002997</v>
      </c>
      <c r="AD103" s="6">
        <f t="shared" si="35"/>
        <v>-0.37135269999999998</v>
      </c>
      <c r="AE103" s="6">
        <f t="shared" si="35"/>
        <v>-0.45044709999999999</v>
      </c>
      <c r="AF103" s="6">
        <f t="shared" si="35"/>
        <v>-0.50780440000000004</v>
      </c>
      <c r="AG103" s="6">
        <f t="shared" si="35"/>
        <v>-0.57078220000000002</v>
      </c>
      <c r="AH103" s="6">
        <f t="shared" si="35"/>
        <v>-0.67241240000000002</v>
      </c>
      <c r="AI103" s="6">
        <f t="shared" si="35"/>
        <v>-0.80341720000000005</v>
      </c>
      <c r="AJ103" s="6">
        <f t="shared" si="35"/>
        <v>-0.89028309999999999</v>
      </c>
      <c r="AK103" s="6">
        <f t="shared" si="35"/>
        <v>-1.0349060000000001</v>
      </c>
      <c r="AL103" s="6">
        <f t="shared" si="35"/>
        <v>-1.511307</v>
      </c>
      <c r="AM103" s="6">
        <f t="shared" si="35"/>
        <v>-1.7390779999999999</v>
      </c>
    </row>
    <row r="104" spans="7:39" x14ac:dyDescent="0.25">
      <c r="G104" s="5">
        <v>13</v>
      </c>
      <c r="H104" s="6">
        <f>G63</f>
        <v>-1.3488869999999999</v>
      </c>
      <c r="I104" s="6">
        <f t="shared" ref="I104:W104" si="36">H63</f>
        <v>0.23730660000000001</v>
      </c>
      <c r="J104" s="6">
        <f t="shared" si="36"/>
        <v>0.2861438</v>
      </c>
      <c r="K104" s="6">
        <f t="shared" si="36"/>
        <v>0.23877619999999999</v>
      </c>
      <c r="L104" s="6">
        <f t="shared" si="36"/>
        <v>0.18516450000000001</v>
      </c>
      <c r="M104" s="6">
        <f t="shared" si="36"/>
        <v>1.040173E-2</v>
      </c>
      <c r="N104" s="6">
        <f t="shared" si="36"/>
        <v>7.2906970000000001E-2</v>
      </c>
      <c r="O104" s="6">
        <f t="shared" si="36"/>
        <v>4.4969559999999999E-2</v>
      </c>
      <c r="P104" s="6">
        <f t="shared" si="36"/>
        <v>1.6437050000000002E-2</v>
      </c>
      <c r="Q104" s="6">
        <f t="shared" si="36"/>
        <v>5.237961E-2</v>
      </c>
      <c r="R104" s="6">
        <f t="shared" si="36"/>
        <v>-3.5975930000000003E-2</v>
      </c>
      <c r="S104" s="6">
        <f t="shared" si="36"/>
        <v>-4.7487260000000003E-2</v>
      </c>
      <c r="T104" s="6">
        <f t="shared" si="36"/>
        <v>4.8744200000000001E-2</v>
      </c>
      <c r="U104" s="6">
        <f t="shared" si="36"/>
        <v>-6.6906930000000003E-2</v>
      </c>
      <c r="V104" s="6">
        <f t="shared" si="36"/>
        <v>-6.7946909999999999E-2</v>
      </c>
      <c r="W104" s="6">
        <f t="shared" si="36"/>
        <v>-7.1822639999999993E-2</v>
      </c>
      <c r="X104" s="6">
        <f>G64</f>
        <v>-8.5007669999999994E-2</v>
      </c>
      <c r="Y104" s="6">
        <f t="shared" ref="Y104:AM104" si="37">H64</f>
        <v>-8.4676269999999998E-2</v>
      </c>
      <c r="Z104" s="6">
        <f t="shared" si="37"/>
        <v>-9.3202110000000005E-2</v>
      </c>
      <c r="AA104" s="6">
        <f t="shared" si="37"/>
        <v>-0.1077056</v>
      </c>
      <c r="AB104" s="6">
        <f t="shared" si="37"/>
        <v>-0.14090349999999999</v>
      </c>
      <c r="AC104" s="6">
        <f t="shared" si="37"/>
        <v>-0.18824859999999999</v>
      </c>
      <c r="AD104" s="6">
        <f t="shared" si="37"/>
        <v>-0.36525010000000002</v>
      </c>
      <c r="AE104" s="6">
        <f t="shared" si="37"/>
        <v>-0.44839000000000001</v>
      </c>
      <c r="AF104" s="6">
        <f t="shared" si="37"/>
        <v>-0.50987819999999995</v>
      </c>
      <c r="AG104" s="6">
        <f t="shared" si="37"/>
        <v>-0.57685470000000005</v>
      </c>
      <c r="AH104" s="6">
        <f t="shared" si="37"/>
        <v>-0.68267869999999997</v>
      </c>
      <c r="AI104" s="6">
        <f t="shared" si="37"/>
        <v>-0.82545040000000003</v>
      </c>
      <c r="AJ104" s="6">
        <f t="shared" si="37"/>
        <v>-0.92153640000000003</v>
      </c>
      <c r="AK104" s="6">
        <f t="shared" si="37"/>
        <v>-1.0873619999999999</v>
      </c>
      <c r="AL104" s="6">
        <f t="shared" si="37"/>
        <v>-1.6873659999999999</v>
      </c>
      <c r="AM104" s="6">
        <f t="shared" si="37"/>
        <v>-1.837987</v>
      </c>
    </row>
    <row r="105" spans="7:39" x14ac:dyDescent="0.25">
      <c r="G105" s="5">
        <v>14</v>
      </c>
      <c r="H105" s="6">
        <f>G66</f>
        <v>-1.633559</v>
      </c>
      <c r="I105" s="6">
        <f t="shared" ref="I105:W105" si="38">H66</f>
        <v>0.20487639999999999</v>
      </c>
      <c r="J105" s="6">
        <f t="shared" si="38"/>
        <v>0.28808260000000002</v>
      </c>
      <c r="K105" s="6">
        <f t="shared" si="38"/>
        <v>0.25564480000000001</v>
      </c>
      <c r="L105" s="6">
        <f t="shared" si="38"/>
        <v>0.2039504</v>
      </c>
      <c r="M105" s="6">
        <f t="shared" si="38"/>
        <v>1.265955E-2</v>
      </c>
      <c r="N105" s="6">
        <f t="shared" si="38"/>
        <v>9.166241E-2</v>
      </c>
      <c r="O105" s="6">
        <f t="shared" si="38"/>
        <v>6.0935019999999999E-2</v>
      </c>
      <c r="P105" s="6">
        <f t="shared" si="38"/>
        <v>2.95167E-2</v>
      </c>
      <c r="Q105" s="6">
        <f t="shared" si="38"/>
        <v>5.237961E-2</v>
      </c>
      <c r="R105" s="6">
        <f t="shared" si="38"/>
        <v>-2.812576E-2</v>
      </c>
      <c r="S105" s="6">
        <f t="shared" si="38"/>
        <v>-4.3489460000000001E-2</v>
      </c>
      <c r="T105" s="6">
        <f t="shared" si="38"/>
        <v>4.8744200000000001E-2</v>
      </c>
      <c r="U105" s="6">
        <f t="shared" si="38"/>
        <v>-6.8646429999999994E-2</v>
      </c>
      <c r="V105" s="6">
        <f t="shared" si="38"/>
        <v>-7.2531219999999993E-2</v>
      </c>
      <c r="W105" s="6">
        <f t="shared" si="38"/>
        <v>-8.0915929999999997E-2</v>
      </c>
      <c r="X105" s="6">
        <f>G67</f>
        <v>-9.9796770000000007E-2</v>
      </c>
      <c r="Y105" s="6">
        <f t="shared" ref="Y105:AM105" si="39">H67</f>
        <v>-0.1061206</v>
      </c>
      <c r="Z105" s="6">
        <f t="shared" si="39"/>
        <v>-0.1117735</v>
      </c>
      <c r="AA105" s="6">
        <f t="shared" si="39"/>
        <v>-0.12075089999999999</v>
      </c>
      <c r="AB105" s="6">
        <f t="shared" si="39"/>
        <v>-0.1450806</v>
      </c>
      <c r="AC105" s="6">
        <f t="shared" si="39"/>
        <v>-0.1878891</v>
      </c>
      <c r="AD105" s="6">
        <f t="shared" si="39"/>
        <v>-0.37518170000000001</v>
      </c>
      <c r="AE105" s="6">
        <f t="shared" si="39"/>
        <v>-0.46683839999999999</v>
      </c>
      <c r="AF105" s="6">
        <f t="shared" si="39"/>
        <v>-0.5329256</v>
      </c>
      <c r="AG105" s="6">
        <f t="shared" si="39"/>
        <v>-0.60693839999999999</v>
      </c>
      <c r="AH105" s="6">
        <f t="shared" si="39"/>
        <v>-0.72306680000000001</v>
      </c>
      <c r="AI105" s="6">
        <f t="shared" si="39"/>
        <v>-0.88139250000000002</v>
      </c>
      <c r="AJ105" s="6">
        <f t="shared" si="39"/>
        <v>-0.9929886</v>
      </c>
      <c r="AK105" s="6">
        <f t="shared" si="39"/>
        <v>-1.1880919999999999</v>
      </c>
      <c r="AL105" s="6">
        <f t="shared" si="39"/>
        <v>-1.836522</v>
      </c>
      <c r="AM105" s="6">
        <f t="shared" si="39"/>
        <v>-2.0337139999999998</v>
      </c>
    </row>
    <row r="106" spans="7:39" x14ac:dyDescent="0.25">
      <c r="G106" s="5">
        <v>15</v>
      </c>
      <c r="H106" s="6">
        <f>G69</f>
        <v>-1.845442</v>
      </c>
      <c r="I106" s="6">
        <f t="shared" ref="I106:W106" si="40">H69</f>
        <v>0.1701097</v>
      </c>
      <c r="J106" s="6">
        <f t="shared" si="40"/>
        <v>0.28244019999999997</v>
      </c>
      <c r="K106" s="6">
        <f t="shared" si="40"/>
        <v>0.26461459999999998</v>
      </c>
      <c r="L106" s="6">
        <f t="shared" si="40"/>
        <v>0.21740200000000001</v>
      </c>
      <c r="M106" s="6">
        <f t="shared" si="40"/>
        <v>1.387596E-2</v>
      </c>
      <c r="N106" s="6">
        <f t="shared" si="40"/>
        <v>0.10703799999999999</v>
      </c>
      <c r="O106" s="6">
        <f t="shared" si="40"/>
        <v>7.4620249999999999E-2</v>
      </c>
      <c r="P106" s="6">
        <f t="shared" si="40"/>
        <v>4.2047019999999997E-2</v>
      </c>
      <c r="Q106" s="6">
        <f t="shared" si="40"/>
        <v>5.2883630000000001E-2</v>
      </c>
      <c r="R106" s="6">
        <f t="shared" si="40"/>
        <v>-1.8832680000000001E-2</v>
      </c>
      <c r="S106" s="6">
        <f t="shared" si="40"/>
        <v>-3.7065979999999998E-2</v>
      </c>
      <c r="T106" s="6">
        <f t="shared" si="40"/>
        <v>4.892254E-2</v>
      </c>
      <c r="U106" s="6">
        <f t="shared" si="40"/>
        <v>-6.7603109999999994E-2</v>
      </c>
      <c r="V106" s="6">
        <f t="shared" si="40"/>
        <v>-7.6014520000000002E-2</v>
      </c>
      <c r="W106" s="6">
        <f t="shared" si="40"/>
        <v>-8.970976E-2</v>
      </c>
      <c r="X106" s="5">
        <f>G70</f>
        <v>-0.1169524</v>
      </c>
      <c r="Y106" s="5">
        <f t="shared" ref="Y106:AM106" si="41">H70</f>
        <v>-0.13282440000000001</v>
      </c>
      <c r="Z106" s="5">
        <f t="shared" si="41"/>
        <v>-0.1368914</v>
      </c>
      <c r="AA106" s="5">
        <f t="shared" si="41"/>
        <v>-0.14197109999999999</v>
      </c>
      <c r="AB106" s="5">
        <f t="shared" si="41"/>
        <v>-0.1541691</v>
      </c>
      <c r="AC106" s="5">
        <f t="shared" si="41"/>
        <v>-0.1787329</v>
      </c>
      <c r="AD106" s="5">
        <f t="shared" si="41"/>
        <v>-0.35897829999999997</v>
      </c>
      <c r="AE106" s="5">
        <f t="shared" si="41"/>
        <v>-0.45716089999999998</v>
      </c>
      <c r="AF106" s="5">
        <f t="shared" si="41"/>
        <v>-0.52751349999999997</v>
      </c>
      <c r="AG106" s="5">
        <f t="shared" si="41"/>
        <v>-0.60639189999999998</v>
      </c>
      <c r="AH106" s="5">
        <f t="shared" si="41"/>
        <v>-0.7285161</v>
      </c>
      <c r="AI106" s="5">
        <f t="shared" si="41"/>
        <v>-0.89825299999999997</v>
      </c>
      <c r="AJ106" s="5">
        <f t="shared" si="41"/>
        <v>-1.0186139999999999</v>
      </c>
      <c r="AK106" s="5">
        <f t="shared" si="41"/>
        <v>-1.2311810000000001</v>
      </c>
      <c r="AL106" s="5">
        <f t="shared" si="41"/>
        <v>-1.8297330000000001</v>
      </c>
      <c r="AM106" s="5">
        <f t="shared" si="41"/>
        <v>-2.1581299999999999</v>
      </c>
    </row>
    <row r="107" spans="7:39" x14ac:dyDescent="0.25">
      <c r="G107" s="5">
        <v>16</v>
      </c>
      <c r="H107" s="6">
        <f>G72</f>
        <v>-1.62795</v>
      </c>
      <c r="I107" s="6">
        <f t="shared" ref="I107:W107" si="42">H72</f>
        <v>0.19499349999999999</v>
      </c>
      <c r="J107" s="6">
        <f t="shared" si="42"/>
        <v>0.28596779999999999</v>
      </c>
      <c r="K107" s="6">
        <f t="shared" si="42"/>
        <v>0.2584147</v>
      </c>
      <c r="L107" s="6">
        <f t="shared" si="42"/>
        <v>0.2091393</v>
      </c>
      <c r="M107" s="6">
        <f t="shared" si="42"/>
        <v>1.3181689999999999E-2</v>
      </c>
      <c r="N107" s="6">
        <f t="shared" si="42"/>
        <v>9.7476010000000002E-2</v>
      </c>
      <c r="O107" s="6">
        <f t="shared" si="42"/>
        <v>6.4796450000000005E-2</v>
      </c>
      <c r="P107" s="6">
        <f t="shared" si="42"/>
        <v>3.1663419999999998E-2</v>
      </c>
      <c r="Q107" s="6">
        <f t="shared" si="42"/>
        <v>5.237961E-2</v>
      </c>
      <c r="R107" s="6">
        <f t="shared" si="42"/>
        <v>-3.192234E-2</v>
      </c>
      <c r="S107" s="6">
        <f t="shared" si="42"/>
        <v>-5.3756709999999999E-2</v>
      </c>
      <c r="T107" s="6">
        <f t="shared" si="42"/>
        <v>4.7496320000000002E-2</v>
      </c>
      <c r="U107" s="6">
        <f t="shared" si="42"/>
        <v>-9.5432279999999994E-2</v>
      </c>
      <c r="V107" s="6">
        <f t="shared" si="42"/>
        <v>-0.1132364</v>
      </c>
      <c r="W107" s="6">
        <f t="shared" si="42"/>
        <v>-0.14451839999999999</v>
      </c>
      <c r="X107" s="6">
        <f>G73</f>
        <v>-0.19236139999999999</v>
      </c>
      <c r="Y107" s="6">
        <f t="shared" ref="Y107:AM107" si="43">H73</f>
        <v>-0.227406</v>
      </c>
      <c r="Z107" s="6">
        <f t="shared" si="43"/>
        <v>-0.26212259999999998</v>
      </c>
      <c r="AA107" s="6">
        <f t="shared" si="43"/>
        <v>-0.28057720000000003</v>
      </c>
      <c r="AB107" s="6">
        <f t="shared" si="43"/>
        <v>-0.3023129</v>
      </c>
      <c r="AC107" s="6">
        <f t="shared" si="43"/>
        <v>-0.3210459</v>
      </c>
      <c r="AD107" s="6">
        <f t="shared" si="43"/>
        <v>-0.30269380000000001</v>
      </c>
      <c r="AE107" s="6">
        <f t="shared" si="43"/>
        <v>-0.29438969999999998</v>
      </c>
      <c r="AF107" s="6">
        <f t="shared" si="43"/>
        <v>-0.30630350000000001</v>
      </c>
      <c r="AG107" s="6">
        <f t="shared" si="43"/>
        <v>-0.35220479999999998</v>
      </c>
      <c r="AH107" s="6">
        <f t="shared" si="43"/>
        <v>-0.47201589999999999</v>
      </c>
      <c r="AI107" s="6">
        <f t="shared" si="43"/>
        <v>-0.65324689999999996</v>
      </c>
      <c r="AJ107" s="6">
        <f t="shared" si="43"/>
        <v>-0.77246709999999996</v>
      </c>
      <c r="AK107" s="6">
        <f t="shared" si="43"/>
        <v>-0.96292259999999996</v>
      </c>
      <c r="AL107" s="6">
        <f t="shared" si="43"/>
        <v>-1.5115000000000001</v>
      </c>
      <c r="AM107" s="6">
        <f t="shared" si="43"/>
        <v>-1.746481</v>
      </c>
    </row>
    <row r="108" spans="7:39" x14ac:dyDescent="0.25">
      <c r="G108" s="5">
        <v>17</v>
      </c>
      <c r="H108" s="6">
        <f>G75</f>
        <v>-0.3327446</v>
      </c>
      <c r="I108" s="6">
        <f t="shared" ref="I108:W108" si="44">H75</f>
        <v>0.28611950000000003</v>
      </c>
      <c r="J108" s="6">
        <f t="shared" si="44"/>
        <v>0.26622489999999999</v>
      </c>
      <c r="K108" s="6">
        <f t="shared" si="44"/>
        <v>0.1986861</v>
      </c>
      <c r="L108" s="6">
        <f t="shared" si="44"/>
        <v>0.1464038</v>
      </c>
      <c r="M108" s="6">
        <f t="shared" si="44"/>
        <v>7.2765349999999998E-3</v>
      </c>
      <c r="N108" s="6">
        <f t="shared" si="44"/>
        <v>4.1566369999999998E-2</v>
      </c>
      <c r="O108" s="6">
        <f t="shared" si="44"/>
        <v>1.6551969999999999E-2</v>
      </c>
      <c r="P108" s="6">
        <f t="shared" si="44"/>
        <v>-1.38526E-2</v>
      </c>
      <c r="Q108" s="6">
        <f t="shared" si="44"/>
        <v>5.1508900000000003E-2</v>
      </c>
      <c r="R108" s="6">
        <f t="shared" si="44"/>
        <v>-7.2569369999999994E-2</v>
      </c>
      <c r="S108" s="6">
        <f t="shared" si="44"/>
        <v>-9.2865939999999994E-2</v>
      </c>
      <c r="T108" s="6">
        <f t="shared" si="44"/>
        <v>4.7139639999999997E-2</v>
      </c>
      <c r="U108" s="6">
        <f t="shared" si="44"/>
        <v>-0.13978199999999999</v>
      </c>
      <c r="V108" s="6">
        <f t="shared" si="44"/>
        <v>-0.16145709999999999</v>
      </c>
      <c r="W108" s="6">
        <f t="shared" si="44"/>
        <v>-0.1983461</v>
      </c>
      <c r="X108" s="6">
        <f>G76</f>
        <v>-0.24968000000000001</v>
      </c>
      <c r="Y108" s="6">
        <f t="shared" ref="Y108:AM108" si="45">H76</f>
        <v>-0.32540229999999998</v>
      </c>
      <c r="Z108" s="6">
        <f t="shared" si="45"/>
        <v>-0.34475040000000001</v>
      </c>
      <c r="AA108" s="6">
        <f t="shared" si="45"/>
        <v>-0.36351440000000002</v>
      </c>
      <c r="AB108" s="6">
        <f t="shared" si="45"/>
        <v>-0.37075140000000001</v>
      </c>
      <c r="AC108" s="6">
        <f t="shared" si="45"/>
        <v>-0.37332579999999999</v>
      </c>
      <c r="AD108" s="6">
        <f t="shared" si="45"/>
        <v>-0.34242489999999998</v>
      </c>
      <c r="AE108" s="6">
        <f t="shared" si="45"/>
        <v>-0.33038139999999999</v>
      </c>
      <c r="AF108" s="6">
        <f t="shared" si="45"/>
        <v>-0.32593820000000001</v>
      </c>
      <c r="AG108" s="6">
        <f t="shared" si="45"/>
        <v>-0.32063249999999999</v>
      </c>
      <c r="AH108" s="6">
        <f t="shared" si="45"/>
        <v>-0.31726500000000002</v>
      </c>
      <c r="AI108" s="6">
        <f t="shared" si="45"/>
        <v>-0.31632379999999999</v>
      </c>
      <c r="AJ108" s="6">
        <f t="shared" si="45"/>
        <v>-0.30921599999999999</v>
      </c>
      <c r="AK108" s="6">
        <f t="shared" si="45"/>
        <v>-0.32075690000000001</v>
      </c>
      <c r="AL108" s="6">
        <f t="shared" si="45"/>
        <v>-0.3212547</v>
      </c>
      <c r="AM108" s="6">
        <f t="shared" si="45"/>
        <v>-0.31683489999999997</v>
      </c>
    </row>
    <row r="109" spans="7:39" x14ac:dyDescent="0.25">
      <c r="G109" s="5">
        <v>18</v>
      </c>
      <c r="H109" s="6">
        <f>G78</f>
        <v>-0.36948730000000002</v>
      </c>
      <c r="I109" s="6">
        <f t="shared" ref="I109:W109" si="46">H78</f>
        <v>0.28417439999999999</v>
      </c>
      <c r="J109" s="6">
        <f t="shared" si="46"/>
        <v>0.27341460000000001</v>
      </c>
      <c r="K109" s="6">
        <f t="shared" si="46"/>
        <v>0.21143819999999999</v>
      </c>
      <c r="L109" s="6">
        <f t="shared" si="46"/>
        <v>0.15950780000000001</v>
      </c>
      <c r="M109" s="6">
        <f t="shared" si="46"/>
        <v>8.4939000000000004E-3</v>
      </c>
      <c r="N109" s="6">
        <f t="shared" si="46"/>
        <v>5.5394649999999997E-2</v>
      </c>
      <c r="O109" s="6">
        <f t="shared" si="46"/>
        <v>2.847862E-2</v>
      </c>
      <c r="P109" s="6">
        <f t="shared" si="46"/>
        <v>-2.8271680000000001E-3</v>
      </c>
      <c r="Q109" s="6">
        <f t="shared" si="46"/>
        <v>5.150938E-2</v>
      </c>
      <c r="R109" s="6">
        <f t="shared" si="46"/>
        <v>-6.5097810000000006E-2</v>
      </c>
      <c r="S109" s="6">
        <f t="shared" si="46"/>
        <v>-8.7504860000000004E-2</v>
      </c>
      <c r="T109" s="6">
        <f t="shared" si="46"/>
        <v>4.6786309999999998E-2</v>
      </c>
      <c r="U109" s="6">
        <f t="shared" si="46"/>
        <v>-0.13769390000000001</v>
      </c>
      <c r="V109" s="6">
        <f t="shared" si="46"/>
        <v>-0.16181229999999999</v>
      </c>
      <c r="W109" s="6">
        <f t="shared" si="46"/>
        <v>-0.20118240000000001</v>
      </c>
      <c r="X109" s="5">
        <f>G79</f>
        <v>-0.25479220000000002</v>
      </c>
      <c r="Y109" s="5">
        <f t="shared" ref="Y109:AM109" si="47">H79</f>
        <v>-0.33636379999999999</v>
      </c>
      <c r="Z109" s="5">
        <f t="shared" si="47"/>
        <v>-0.35129929999999998</v>
      </c>
      <c r="AA109" s="5">
        <f t="shared" si="47"/>
        <v>-0.36663200000000001</v>
      </c>
      <c r="AB109" s="5">
        <f t="shared" si="47"/>
        <v>-0.37150620000000001</v>
      </c>
      <c r="AC109" s="5">
        <f t="shared" si="47"/>
        <v>-0.37206410000000001</v>
      </c>
      <c r="AD109" s="5">
        <f t="shared" si="47"/>
        <v>-0.34137919999999999</v>
      </c>
      <c r="AE109" s="5">
        <f t="shared" si="47"/>
        <v>-0.3300362</v>
      </c>
      <c r="AF109" s="5">
        <f t="shared" si="47"/>
        <v>-0.3252583</v>
      </c>
      <c r="AG109" s="5">
        <f t="shared" si="47"/>
        <v>-0.3206406</v>
      </c>
      <c r="AH109" s="5">
        <f t="shared" si="47"/>
        <v>-0.31797890000000001</v>
      </c>
      <c r="AI109" s="5">
        <f t="shared" si="47"/>
        <v>-0.31670429999999999</v>
      </c>
      <c r="AJ109" s="5">
        <f t="shared" si="47"/>
        <v>-0.30974479999999999</v>
      </c>
      <c r="AK109" s="5">
        <f t="shared" si="47"/>
        <v>-0.31947039999999999</v>
      </c>
      <c r="AL109" s="5">
        <f t="shared" si="47"/>
        <v>-0.3201466</v>
      </c>
      <c r="AM109" s="5">
        <f t="shared" si="47"/>
        <v>-0.31432579999999999</v>
      </c>
    </row>
    <row r="110" spans="7:39" x14ac:dyDescent="0.25"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Coord</vt:lpstr>
      <vt:lpstr>Calcs</vt:lpstr>
      <vt:lpstr>FMS Data</vt:lpstr>
      <vt:lpstr>25fps</vt:lpstr>
      <vt:lpstr>50fps</vt:lpstr>
      <vt:lpstr>75fps</vt:lpstr>
      <vt:lpstr>100fps</vt:lpstr>
      <vt:lpstr>120fps</vt:lpstr>
      <vt:lpstr>140fps</vt:lpstr>
      <vt:lpstr>160fps</vt:lpstr>
      <vt:lpstr>180fps</vt:lpstr>
      <vt:lpstr>200fps</vt:lpstr>
      <vt:lpstr>220fps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elias.wilson</dc:creator>
  <cp:lastModifiedBy>Justin Millsap</cp:lastModifiedBy>
  <dcterms:created xsi:type="dcterms:W3CDTF">2017-11-05T05:56:50Z</dcterms:created>
  <dcterms:modified xsi:type="dcterms:W3CDTF">2024-02-23T02:15:27Z</dcterms:modified>
</cp:coreProperties>
</file>